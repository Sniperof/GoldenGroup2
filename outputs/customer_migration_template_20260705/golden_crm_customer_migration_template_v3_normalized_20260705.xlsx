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baid\OneDrive\سطح المكتب\GoldenGroup2\outputs\customer_migration_template_20260705\"/>
    </mc:Choice>
  </mc:AlternateContent>
  <bookViews>
    <workbookView xWindow="0" yWindow="0" windowWidth="28800" windowHeight="11475" activeTab="7"/>
  </bookViews>
  <sheets>
    <sheet name="تعليمات" sheetId="1" r:id="rId1"/>
    <sheet name="الزبائن" sheetId="2" r:id="rId2"/>
    <sheet name="أرقام التواصل" sheetId="3" r:id="rId3"/>
    <sheet name="الوسطاء" sheetId="4" r:id="rId4"/>
    <sheet name="أسماء مقترحة" sheetId="5" r:id="rId5"/>
    <sheet name="قاموس الأعمدة" sheetId="6" r:id="rId6"/>
    <sheet name="قوائم مرجعية" sheetId="7" r:id="rId7"/>
    <sheet name="عينات" sheetId="8" r:id="rId8"/>
  </sheets>
  <calcPr calcId="162913"/>
</workbook>
</file>

<file path=xl/calcChain.xml><?xml version="1.0" encoding="utf-8"?>
<calcChain xmlns="http://schemas.openxmlformats.org/spreadsheetml/2006/main">
  <c r="AB505" i="5" l="1"/>
  <c r="AC505" i="5" s="1"/>
  <c r="AA505" i="5"/>
  <c r="Z505" i="5"/>
  <c r="N505" i="5"/>
  <c r="AB504" i="5"/>
  <c r="AC504" i="5" s="1"/>
  <c r="AA504" i="5"/>
  <c r="Z504" i="5"/>
  <c r="N504" i="5"/>
  <c r="AB503" i="5"/>
  <c r="AC503" i="5" s="1"/>
  <c r="AA503" i="5"/>
  <c r="Z503" i="5"/>
  <c r="N503" i="5"/>
  <c r="AB502" i="5"/>
  <c r="AC502" i="5" s="1"/>
  <c r="AA502" i="5"/>
  <c r="Z502" i="5"/>
  <c r="N502" i="5"/>
  <c r="AB501" i="5"/>
  <c r="AC501" i="5" s="1"/>
  <c r="AA501" i="5"/>
  <c r="Z501" i="5"/>
  <c r="N501" i="5"/>
  <c r="AB500" i="5"/>
  <c r="AC500" i="5" s="1"/>
  <c r="AA500" i="5"/>
  <c r="Z500" i="5"/>
  <c r="N500" i="5"/>
  <c r="AB499" i="5"/>
  <c r="AC499" i="5" s="1"/>
  <c r="AA499" i="5"/>
  <c r="Z499" i="5"/>
  <c r="N499" i="5"/>
  <c r="AB498" i="5"/>
  <c r="AC498" i="5" s="1"/>
  <c r="AA498" i="5"/>
  <c r="Z498" i="5"/>
  <c r="N498" i="5"/>
  <c r="AB497" i="5"/>
  <c r="AC497" i="5" s="1"/>
  <c r="AA497" i="5"/>
  <c r="Z497" i="5"/>
  <c r="N497" i="5"/>
  <c r="AC496" i="5"/>
  <c r="AB496" i="5"/>
  <c r="AA496" i="5"/>
  <c r="Z496" i="5"/>
  <c r="N496" i="5"/>
  <c r="AB495" i="5"/>
  <c r="AC495" i="5" s="1"/>
  <c r="AA495" i="5"/>
  <c r="Z495" i="5"/>
  <c r="N495" i="5"/>
  <c r="AC494" i="5"/>
  <c r="AB494" i="5"/>
  <c r="AA494" i="5"/>
  <c r="Z494" i="5"/>
  <c r="N494" i="5"/>
  <c r="AB493" i="5"/>
  <c r="AC493" i="5" s="1"/>
  <c r="AA493" i="5"/>
  <c r="Z493" i="5"/>
  <c r="N493" i="5"/>
  <c r="AB492" i="5"/>
  <c r="AC492" i="5" s="1"/>
  <c r="AA492" i="5"/>
  <c r="Z492" i="5"/>
  <c r="N492" i="5"/>
  <c r="AB491" i="5"/>
  <c r="AC491" i="5" s="1"/>
  <c r="AA491" i="5"/>
  <c r="Z491" i="5"/>
  <c r="N491" i="5"/>
  <c r="AB490" i="5"/>
  <c r="AC490" i="5" s="1"/>
  <c r="AA490" i="5"/>
  <c r="Z490" i="5"/>
  <c r="N490" i="5"/>
  <c r="AB489" i="5"/>
  <c r="AC489" i="5" s="1"/>
  <c r="AA489" i="5"/>
  <c r="Z489" i="5"/>
  <c r="N489" i="5"/>
  <c r="AB488" i="5"/>
  <c r="AC488" i="5" s="1"/>
  <c r="AA488" i="5"/>
  <c r="Z488" i="5"/>
  <c r="N488" i="5"/>
  <c r="AB487" i="5"/>
  <c r="AC487" i="5" s="1"/>
  <c r="AA487" i="5"/>
  <c r="Z487" i="5"/>
  <c r="N487" i="5"/>
  <c r="AB486" i="5"/>
  <c r="AC486" i="5" s="1"/>
  <c r="AA486" i="5"/>
  <c r="Z486" i="5"/>
  <c r="N486" i="5"/>
  <c r="AB485" i="5"/>
  <c r="AC485" i="5" s="1"/>
  <c r="AA485" i="5"/>
  <c r="Z485" i="5"/>
  <c r="N485" i="5"/>
  <c r="AB484" i="5"/>
  <c r="AC484" i="5" s="1"/>
  <c r="AA484" i="5"/>
  <c r="Z484" i="5"/>
  <c r="N484" i="5"/>
  <c r="AB483" i="5"/>
  <c r="AC483" i="5" s="1"/>
  <c r="AA483" i="5"/>
  <c r="Z483" i="5"/>
  <c r="N483" i="5"/>
  <c r="AB482" i="5"/>
  <c r="AC482" i="5" s="1"/>
  <c r="AA482" i="5"/>
  <c r="Z482" i="5"/>
  <c r="N482" i="5"/>
  <c r="AB481" i="5"/>
  <c r="AC481" i="5" s="1"/>
  <c r="AA481" i="5"/>
  <c r="Z481" i="5"/>
  <c r="N481" i="5"/>
  <c r="AB480" i="5"/>
  <c r="AC480" i="5" s="1"/>
  <c r="AA480" i="5"/>
  <c r="Z480" i="5"/>
  <c r="N480" i="5"/>
  <c r="AB479" i="5"/>
  <c r="AC479" i="5" s="1"/>
  <c r="AA479" i="5"/>
  <c r="Z479" i="5"/>
  <c r="N479" i="5"/>
  <c r="AB478" i="5"/>
  <c r="AC478" i="5" s="1"/>
  <c r="AA478" i="5"/>
  <c r="Z478" i="5"/>
  <c r="N478" i="5"/>
  <c r="AB477" i="5"/>
  <c r="AC477" i="5" s="1"/>
  <c r="AA477" i="5"/>
  <c r="Z477" i="5"/>
  <c r="N477" i="5"/>
  <c r="AB476" i="5"/>
  <c r="AC476" i="5" s="1"/>
  <c r="AA476" i="5"/>
  <c r="Z476" i="5"/>
  <c r="N476" i="5"/>
  <c r="AB475" i="5"/>
  <c r="AC475" i="5" s="1"/>
  <c r="AA475" i="5"/>
  <c r="Z475" i="5"/>
  <c r="N475" i="5"/>
  <c r="AB474" i="5"/>
  <c r="AC474" i="5" s="1"/>
  <c r="AA474" i="5"/>
  <c r="Z474" i="5"/>
  <c r="N474" i="5"/>
  <c r="AB473" i="5"/>
  <c r="AC473" i="5" s="1"/>
  <c r="AA473" i="5"/>
  <c r="Z473" i="5"/>
  <c r="N473" i="5"/>
  <c r="AB472" i="5"/>
  <c r="AC472" i="5" s="1"/>
  <c r="AA472" i="5"/>
  <c r="Z472" i="5"/>
  <c r="N472" i="5"/>
  <c r="AB471" i="5"/>
  <c r="AC471" i="5" s="1"/>
  <c r="AA471" i="5"/>
  <c r="Z471" i="5"/>
  <c r="N471" i="5"/>
  <c r="AB470" i="5"/>
  <c r="AC470" i="5" s="1"/>
  <c r="AA470" i="5"/>
  <c r="Z470" i="5"/>
  <c r="N470" i="5"/>
  <c r="AB469" i="5"/>
  <c r="AC469" i="5" s="1"/>
  <c r="AA469" i="5"/>
  <c r="Z469" i="5"/>
  <c r="N469" i="5"/>
  <c r="AB468" i="5"/>
  <c r="AC468" i="5" s="1"/>
  <c r="AA468" i="5"/>
  <c r="Z468" i="5"/>
  <c r="N468" i="5"/>
  <c r="AB467" i="5"/>
  <c r="AC467" i="5" s="1"/>
  <c r="AA467" i="5"/>
  <c r="Z467" i="5"/>
  <c r="N467" i="5"/>
  <c r="AB466" i="5"/>
  <c r="AC466" i="5" s="1"/>
  <c r="AA466" i="5"/>
  <c r="Z466" i="5"/>
  <c r="N466" i="5"/>
  <c r="AB465" i="5"/>
  <c r="AC465" i="5" s="1"/>
  <c r="AA465" i="5"/>
  <c r="Z465" i="5"/>
  <c r="N465" i="5"/>
  <c r="AB464" i="5"/>
  <c r="AC464" i="5" s="1"/>
  <c r="AA464" i="5"/>
  <c r="Z464" i="5"/>
  <c r="N464" i="5"/>
  <c r="AB463" i="5"/>
  <c r="AC463" i="5" s="1"/>
  <c r="AA463" i="5"/>
  <c r="Z463" i="5"/>
  <c r="N463" i="5"/>
  <c r="AB462" i="5"/>
  <c r="AC462" i="5" s="1"/>
  <c r="AA462" i="5"/>
  <c r="Z462" i="5"/>
  <c r="N462" i="5"/>
  <c r="AB461" i="5"/>
  <c r="AC461" i="5" s="1"/>
  <c r="AA461" i="5"/>
  <c r="Z461" i="5"/>
  <c r="N461" i="5"/>
  <c r="AB460" i="5"/>
  <c r="AC460" i="5" s="1"/>
  <c r="AA460" i="5"/>
  <c r="Z460" i="5"/>
  <c r="N460" i="5"/>
  <c r="AB459" i="5"/>
  <c r="AC459" i="5" s="1"/>
  <c r="AA459" i="5"/>
  <c r="Z459" i="5"/>
  <c r="N459" i="5"/>
  <c r="AB458" i="5"/>
  <c r="AC458" i="5" s="1"/>
  <c r="AA458" i="5"/>
  <c r="Z458" i="5"/>
  <c r="N458" i="5"/>
  <c r="AB457" i="5"/>
  <c r="AC457" i="5" s="1"/>
  <c r="AA457" i="5"/>
  <c r="Z457" i="5"/>
  <c r="N457" i="5"/>
  <c r="AB456" i="5"/>
  <c r="AC456" i="5" s="1"/>
  <c r="AA456" i="5"/>
  <c r="Z456" i="5"/>
  <c r="N456" i="5"/>
  <c r="AB455" i="5"/>
  <c r="AC455" i="5" s="1"/>
  <c r="AA455" i="5"/>
  <c r="Z455" i="5"/>
  <c r="N455" i="5"/>
  <c r="AB454" i="5"/>
  <c r="AC454" i="5" s="1"/>
  <c r="AA454" i="5"/>
  <c r="Z454" i="5"/>
  <c r="N454" i="5"/>
  <c r="AB453" i="5"/>
  <c r="AC453" i="5" s="1"/>
  <c r="AA453" i="5"/>
  <c r="Z453" i="5"/>
  <c r="N453" i="5"/>
  <c r="AB452" i="5"/>
  <c r="AC452" i="5" s="1"/>
  <c r="AA452" i="5"/>
  <c r="Z452" i="5"/>
  <c r="N452" i="5"/>
  <c r="AB451" i="5"/>
  <c r="AC451" i="5" s="1"/>
  <c r="AA451" i="5"/>
  <c r="Z451" i="5"/>
  <c r="N451" i="5"/>
  <c r="AB450" i="5"/>
  <c r="AC450" i="5" s="1"/>
  <c r="AA450" i="5"/>
  <c r="Z450" i="5"/>
  <c r="N450" i="5"/>
  <c r="AB449" i="5"/>
  <c r="AC449" i="5" s="1"/>
  <c r="AA449" i="5"/>
  <c r="Z449" i="5"/>
  <c r="N449" i="5"/>
  <c r="AB448" i="5"/>
  <c r="AC448" i="5" s="1"/>
  <c r="AA448" i="5"/>
  <c r="Z448" i="5"/>
  <c r="N448" i="5"/>
  <c r="AB447" i="5"/>
  <c r="AC447" i="5" s="1"/>
  <c r="AA447" i="5"/>
  <c r="Z447" i="5"/>
  <c r="N447" i="5"/>
  <c r="AB446" i="5"/>
  <c r="AC446" i="5" s="1"/>
  <c r="AA446" i="5"/>
  <c r="Z446" i="5"/>
  <c r="N446" i="5"/>
  <c r="AB445" i="5"/>
  <c r="AC445" i="5" s="1"/>
  <c r="AA445" i="5"/>
  <c r="Z445" i="5"/>
  <c r="N445" i="5"/>
  <c r="AB444" i="5"/>
  <c r="AC444" i="5" s="1"/>
  <c r="AA444" i="5"/>
  <c r="Z444" i="5"/>
  <c r="N444" i="5"/>
  <c r="AB443" i="5"/>
  <c r="AC443" i="5" s="1"/>
  <c r="AA443" i="5"/>
  <c r="Z443" i="5"/>
  <c r="N443" i="5"/>
  <c r="AB442" i="5"/>
  <c r="AC442" i="5" s="1"/>
  <c r="AA442" i="5"/>
  <c r="Z442" i="5"/>
  <c r="N442" i="5"/>
  <c r="AB441" i="5"/>
  <c r="AC441" i="5" s="1"/>
  <c r="AA441" i="5"/>
  <c r="Z441" i="5"/>
  <c r="N441" i="5"/>
  <c r="AB440" i="5"/>
  <c r="AC440" i="5" s="1"/>
  <c r="AA440" i="5"/>
  <c r="Z440" i="5"/>
  <c r="N440" i="5"/>
  <c r="AB439" i="5"/>
  <c r="AC439" i="5" s="1"/>
  <c r="AA439" i="5"/>
  <c r="Z439" i="5"/>
  <c r="N439" i="5"/>
  <c r="AB438" i="5"/>
  <c r="AC438" i="5" s="1"/>
  <c r="AA438" i="5"/>
  <c r="Z438" i="5"/>
  <c r="N438" i="5"/>
  <c r="AB437" i="5"/>
  <c r="AC437" i="5" s="1"/>
  <c r="AA437" i="5"/>
  <c r="Z437" i="5"/>
  <c r="N437" i="5"/>
  <c r="AB436" i="5"/>
  <c r="AC436" i="5" s="1"/>
  <c r="AA436" i="5"/>
  <c r="Z436" i="5"/>
  <c r="N436" i="5"/>
  <c r="AB435" i="5"/>
  <c r="AC435" i="5" s="1"/>
  <c r="AA435" i="5"/>
  <c r="Z435" i="5"/>
  <c r="N435" i="5"/>
  <c r="AB434" i="5"/>
  <c r="AC434" i="5" s="1"/>
  <c r="AA434" i="5"/>
  <c r="Z434" i="5"/>
  <c r="N434" i="5"/>
  <c r="AB433" i="5"/>
  <c r="AC433" i="5" s="1"/>
  <c r="AA433" i="5"/>
  <c r="Z433" i="5"/>
  <c r="N433" i="5"/>
  <c r="AB432" i="5"/>
  <c r="AC432" i="5" s="1"/>
  <c r="AA432" i="5"/>
  <c r="Z432" i="5"/>
  <c r="N432" i="5"/>
  <c r="AB431" i="5"/>
  <c r="AC431" i="5" s="1"/>
  <c r="AA431" i="5"/>
  <c r="Z431" i="5"/>
  <c r="N431" i="5"/>
  <c r="AB430" i="5"/>
  <c r="AC430" i="5" s="1"/>
  <c r="AA430" i="5"/>
  <c r="Z430" i="5"/>
  <c r="N430" i="5"/>
  <c r="AB429" i="5"/>
  <c r="AC429" i="5" s="1"/>
  <c r="AA429" i="5"/>
  <c r="Z429" i="5"/>
  <c r="N429" i="5"/>
  <c r="AB428" i="5"/>
  <c r="AC428" i="5" s="1"/>
  <c r="AA428" i="5"/>
  <c r="Z428" i="5"/>
  <c r="N428" i="5"/>
  <c r="AB427" i="5"/>
  <c r="AC427" i="5" s="1"/>
  <c r="AA427" i="5"/>
  <c r="Z427" i="5"/>
  <c r="N427" i="5"/>
  <c r="AB426" i="5"/>
  <c r="AC426" i="5" s="1"/>
  <c r="AA426" i="5"/>
  <c r="Z426" i="5"/>
  <c r="N426" i="5"/>
  <c r="AB425" i="5"/>
  <c r="AC425" i="5" s="1"/>
  <c r="AA425" i="5"/>
  <c r="Z425" i="5"/>
  <c r="N425" i="5"/>
  <c r="AB424" i="5"/>
  <c r="AC424" i="5" s="1"/>
  <c r="AA424" i="5"/>
  <c r="Z424" i="5"/>
  <c r="N424" i="5"/>
  <c r="AB423" i="5"/>
  <c r="AC423" i="5" s="1"/>
  <c r="AA423" i="5"/>
  <c r="Z423" i="5"/>
  <c r="N423" i="5"/>
  <c r="AC422" i="5"/>
  <c r="AB422" i="5"/>
  <c r="AA422" i="5"/>
  <c r="Z422" i="5"/>
  <c r="N422" i="5"/>
  <c r="AB421" i="5"/>
  <c r="AC421" i="5" s="1"/>
  <c r="AA421" i="5"/>
  <c r="Z421" i="5"/>
  <c r="N421" i="5"/>
  <c r="AB420" i="5"/>
  <c r="AC420" i="5" s="1"/>
  <c r="AA420" i="5"/>
  <c r="Z420" i="5"/>
  <c r="N420" i="5"/>
  <c r="AB419" i="5"/>
  <c r="AC419" i="5" s="1"/>
  <c r="AA419" i="5"/>
  <c r="Z419" i="5"/>
  <c r="N419" i="5"/>
  <c r="AB418" i="5"/>
  <c r="AC418" i="5" s="1"/>
  <c r="AA418" i="5"/>
  <c r="Z418" i="5"/>
  <c r="N418" i="5"/>
  <c r="AB417" i="5"/>
  <c r="AC417" i="5" s="1"/>
  <c r="AA417" i="5"/>
  <c r="Z417" i="5"/>
  <c r="N417" i="5"/>
  <c r="AB416" i="5"/>
  <c r="AC416" i="5" s="1"/>
  <c r="AA416" i="5"/>
  <c r="Z416" i="5"/>
  <c r="N416" i="5"/>
  <c r="AB415" i="5"/>
  <c r="AC415" i="5" s="1"/>
  <c r="AA415" i="5"/>
  <c r="Z415" i="5"/>
  <c r="N415" i="5"/>
  <c r="AB414" i="5"/>
  <c r="AC414" i="5" s="1"/>
  <c r="AA414" i="5"/>
  <c r="Z414" i="5"/>
  <c r="N414" i="5"/>
  <c r="AB413" i="5"/>
  <c r="AC413" i="5" s="1"/>
  <c r="AA413" i="5"/>
  <c r="Z413" i="5"/>
  <c r="N413" i="5"/>
  <c r="AB412" i="5"/>
  <c r="AC412" i="5" s="1"/>
  <c r="AA412" i="5"/>
  <c r="Z412" i="5"/>
  <c r="N412" i="5"/>
  <c r="AB411" i="5"/>
  <c r="AC411" i="5" s="1"/>
  <c r="AA411" i="5"/>
  <c r="Z411" i="5"/>
  <c r="N411" i="5"/>
  <c r="AB410" i="5"/>
  <c r="AC410" i="5" s="1"/>
  <c r="AA410" i="5"/>
  <c r="Z410" i="5"/>
  <c r="N410" i="5"/>
  <c r="AB409" i="5"/>
  <c r="AC409" i="5" s="1"/>
  <c r="AA409" i="5"/>
  <c r="Z409" i="5"/>
  <c r="N409" i="5"/>
  <c r="AB408" i="5"/>
  <c r="AC408" i="5" s="1"/>
  <c r="AA408" i="5"/>
  <c r="Z408" i="5"/>
  <c r="N408" i="5"/>
  <c r="AB407" i="5"/>
  <c r="AC407" i="5" s="1"/>
  <c r="AA407" i="5"/>
  <c r="Z407" i="5"/>
  <c r="N407" i="5"/>
  <c r="AB406" i="5"/>
  <c r="AC406" i="5" s="1"/>
  <c r="AA406" i="5"/>
  <c r="Z406" i="5"/>
  <c r="N406" i="5"/>
  <c r="AB405" i="5"/>
  <c r="AC405" i="5" s="1"/>
  <c r="AA405" i="5"/>
  <c r="Z405" i="5"/>
  <c r="N405" i="5"/>
  <c r="AB404" i="5"/>
  <c r="AC404" i="5" s="1"/>
  <c r="AA404" i="5"/>
  <c r="Z404" i="5"/>
  <c r="N404" i="5"/>
  <c r="AB403" i="5"/>
  <c r="AC403" i="5" s="1"/>
  <c r="AA403" i="5"/>
  <c r="Z403" i="5"/>
  <c r="N403" i="5"/>
  <c r="AB402" i="5"/>
  <c r="AC402" i="5" s="1"/>
  <c r="AA402" i="5"/>
  <c r="Z402" i="5"/>
  <c r="N402" i="5"/>
  <c r="AB401" i="5"/>
  <c r="AC401" i="5" s="1"/>
  <c r="AA401" i="5"/>
  <c r="Z401" i="5"/>
  <c r="N401" i="5"/>
  <c r="AB400" i="5"/>
  <c r="AC400" i="5" s="1"/>
  <c r="AA400" i="5"/>
  <c r="Z400" i="5"/>
  <c r="N400" i="5"/>
  <c r="AB399" i="5"/>
  <c r="AC399" i="5" s="1"/>
  <c r="AA399" i="5"/>
  <c r="Z399" i="5"/>
  <c r="N399" i="5"/>
  <c r="AC398" i="5"/>
  <c r="AB398" i="5"/>
  <c r="AA398" i="5"/>
  <c r="Z398" i="5"/>
  <c r="N398" i="5"/>
  <c r="AB397" i="5"/>
  <c r="AC397" i="5" s="1"/>
  <c r="AA397" i="5"/>
  <c r="Z397" i="5"/>
  <c r="N397" i="5"/>
  <c r="AB396" i="5"/>
  <c r="AC396" i="5" s="1"/>
  <c r="AA396" i="5"/>
  <c r="Z396" i="5"/>
  <c r="N396" i="5"/>
  <c r="AB395" i="5"/>
  <c r="AC395" i="5" s="1"/>
  <c r="AA395" i="5"/>
  <c r="Z395" i="5"/>
  <c r="N395" i="5"/>
  <c r="AB394" i="5"/>
  <c r="AC394" i="5" s="1"/>
  <c r="AA394" i="5"/>
  <c r="Z394" i="5"/>
  <c r="N394" i="5"/>
  <c r="AB393" i="5"/>
  <c r="AC393" i="5" s="1"/>
  <c r="AA393" i="5"/>
  <c r="Z393" i="5"/>
  <c r="N393" i="5"/>
  <c r="AB392" i="5"/>
  <c r="AC392" i="5" s="1"/>
  <c r="AA392" i="5"/>
  <c r="Z392" i="5"/>
  <c r="N392" i="5"/>
  <c r="AB391" i="5"/>
  <c r="AC391" i="5" s="1"/>
  <c r="AA391" i="5"/>
  <c r="Z391" i="5"/>
  <c r="N391" i="5"/>
  <c r="AB390" i="5"/>
  <c r="AC390" i="5" s="1"/>
  <c r="AA390" i="5"/>
  <c r="Z390" i="5"/>
  <c r="N390" i="5"/>
  <c r="AB389" i="5"/>
  <c r="AC389" i="5" s="1"/>
  <c r="AA389" i="5"/>
  <c r="Z389" i="5"/>
  <c r="N389" i="5"/>
  <c r="AB388" i="5"/>
  <c r="AC388" i="5" s="1"/>
  <c r="AA388" i="5"/>
  <c r="Z388" i="5"/>
  <c r="N388" i="5"/>
  <c r="AB387" i="5"/>
  <c r="AC387" i="5" s="1"/>
  <c r="AA387" i="5"/>
  <c r="Z387" i="5"/>
  <c r="N387" i="5"/>
  <c r="AB386" i="5"/>
  <c r="AC386" i="5" s="1"/>
  <c r="AA386" i="5"/>
  <c r="Z386" i="5"/>
  <c r="N386" i="5"/>
  <c r="AB385" i="5"/>
  <c r="AC385" i="5" s="1"/>
  <c r="AA385" i="5"/>
  <c r="Z385" i="5"/>
  <c r="N385" i="5"/>
  <c r="AB384" i="5"/>
  <c r="AC384" i="5" s="1"/>
  <c r="AA384" i="5"/>
  <c r="Z384" i="5"/>
  <c r="N384" i="5"/>
  <c r="AB383" i="5"/>
  <c r="AC383" i="5" s="1"/>
  <c r="AA383" i="5"/>
  <c r="Z383" i="5"/>
  <c r="N383" i="5"/>
  <c r="AB382" i="5"/>
  <c r="AC382" i="5" s="1"/>
  <c r="AA382" i="5"/>
  <c r="Z382" i="5"/>
  <c r="N382" i="5"/>
  <c r="AB381" i="5"/>
  <c r="AC381" i="5" s="1"/>
  <c r="AA381" i="5"/>
  <c r="Z381" i="5"/>
  <c r="N381" i="5"/>
  <c r="AB380" i="5"/>
  <c r="AC380" i="5" s="1"/>
  <c r="AA380" i="5"/>
  <c r="Z380" i="5"/>
  <c r="N380" i="5"/>
  <c r="AB379" i="5"/>
  <c r="AC379" i="5" s="1"/>
  <c r="AA379" i="5"/>
  <c r="Z379" i="5"/>
  <c r="N379" i="5"/>
  <c r="AB378" i="5"/>
  <c r="AC378" i="5" s="1"/>
  <c r="AA378" i="5"/>
  <c r="Z378" i="5"/>
  <c r="N378" i="5"/>
  <c r="AB377" i="5"/>
  <c r="AC377" i="5" s="1"/>
  <c r="AA377" i="5"/>
  <c r="Z377" i="5"/>
  <c r="N377" i="5"/>
  <c r="AB376" i="5"/>
  <c r="AC376" i="5" s="1"/>
  <c r="AA376" i="5"/>
  <c r="Z376" i="5"/>
  <c r="N376" i="5"/>
  <c r="AB375" i="5"/>
  <c r="AC375" i="5" s="1"/>
  <c r="AA375" i="5"/>
  <c r="Z375" i="5"/>
  <c r="N375" i="5"/>
  <c r="AB374" i="5"/>
  <c r="AC374" i="5" s="1"/>
  <c r="AA374" i="5"/>
  <c r="Z374" i="5"/>
  <c r="N374" i="5"/>
  <c r="AB373" i="5"/>
  <c r="AC373" i="5" s="1"/>
  <c r="AA373" i="5"/>
  <c r="Z373" i="5"/>
  <c r="N373" i="5"/>
  <c r="AB372" i="5"/>
  <c r="AC372" i="5" s="1"/>
  <c r="AA372" i="5"/>
  <c r="Z372" i="5"/>
  <c r="N372" i="5"/>
  <c r="AC371" i="5"/>
  <c r="AB371" i="5"/>
  <c r="AA371" i="5"/>
  <c r="Z371" i="5"/>
  <c r="N371" i="5"/>
  <c r="AB370" i="5"/>
  <c r="AC370" i="5" s="1"/>
  <c r="AA370" i="5"/>
  <c r="Z370" i="5"/>
  <c r="N370" i="5"/>
  <c r="AB369" i="5"/>
  <c r="AC369" i="5" s="1"/>
  <c r="AA369" i="5"/>
  <c r="Z369" i="5"/>
  <c r="N369" i="5"/>
  <c r="AB368" i="5"/>
  <c r="AC368" i="5" s="1"/>
  <c r="AA368" i="5"/>
  <c r="Z368" i="5"/>
  <c r="N368" i="5"/>
  <c r="AB367" i="5"/>
  <c r="AC367" i="5" s="1"/>
  <c r="AA367" i="5"/>
  <c r="Z367" i="5"/>
  <c r="N367" i="5"/>
  <c r="AB366" i="5"/>
  <c r="AC366" i="5" s="1"/>
  <c r="AA366" i="5"/>
  <c r="Z366" i="5"/>
  <c r="N366" i="5"/>
  <c r="AB365" i="5"/>
  <c r="AC365" i="5" s="1"/>
  <c r="AA365" i="5"/>
  <c r="Z365" i="5"/>
  <c r="N365" i="5"/>
  <c r="AB364" i="5"/>
  <c r="AC364" i="5" s="1"/>
  <c r="AA364" i="5"/>
  <c r="Z364" i="5"/>
  <c r="N364" i="5"/>
  <c r="AB363" i="5"/>
  <c r="AC363" i="5" s="1"/>
  <c r="AA363" i="5"/>
  <c r="Z363" i="5"/>
  <c r="N363" i="5"/>
  <c r="AB362" i="5"/>
  <c r="AC362" i="5" s="1"/>
  <c r="AA362" i="5"/>
  <c r="Z362" i="5"/>
  <c r="N362" i="5"/>
  <c r="AC361" i="5"/>
  <c r="AB361" i="5"/>
  <c r="AA361" i="5"/>
  <c r="Z361" i="5"/>
  <c r="N361" i="5"/>
  <c r="AB360" i="5"/>
  <c r="AC360" i="5" s="1"/>
  <c r="AA360" i="5"/>
  <c r="Z360" i="5"/>
  <c r="N360" i="5"/>
  <c r="AB359" i="5"/>
  <c r="AC359" i="5" s="1"/>
  <c r="AA359" i="5"/>
  <c r="Z359" i="5"/>
  <c r="N359" i="5"/>
  <c r="AB358" i="5"/>
  <c r="AC358" i="5" s="1"/>
  <c r="AA358" i="5"/>
  <c r="Z358" i="5"/>
  <c r="N358" i="5"/>
  <c r="AB357" i="5"/>
  <c r="AC357" i="5" s="1"/>
  <c r="AA357" i="5"/>
  <c r="Z357" i="5"/>
  <c r="N357" i="5"/>
  <c r="AB356" i="5"/>
  <c r="AC356" i="5" s="1"/>
  <c r="AA356" i="5"/>
  <c r="Z356" i="5"/>
  <c r="N356" i="5"/>
  <c r="AB355" i="5"/>
  <c r="AC355" i="5" s="1"/>
  <c r="AA355" i="5"/>
  <c r="Z355" i="5"/>
  <c r="N355" i="5"/>
  <c r="AB354" i="5"/>
  <c r="AC354" i="5" s="1"/>
  <c r="AA354" i="5"/>
  <c r="Z354" i="5"/>
  <c r="N354" i="5"/>
  <c r="AB353" i="5"/>
  <c r="AC353" i="5" s="1"/>
  <c r="AA353" i="5"/>
  <c r="Z353" i="5"/>
  <c r="N353" i="5"/>
  <c r="AB352" i="5"/>
  <c r="AC352" i="5" s="1"/>
  <c r="AA352" i="5"/>
  <c r="Z352" i="5"/>
  <c r="N352" i="5"/>
  <c r="AB351" i="5"/>
  <c r="AC351" i="5" s="1"/>
  <c r="AA351" i="5"/>
  <c r="Z351" i="5"/>
  <c r="N351" i="5"/>
  <c r="AB350" i="5"/>
  <c r="AC350" i="5" s="1"/>
  <c r="AA350" i="5"/>
  <c r="Z350" i="5"/>
  <c r="N350" i="5"/>
  <c r="AB349" i="5"/>
  <c r="AC349" i="5" s="1"/>
  <c r="AA349" i="5"/>
  <c r="Z349" i="5"/>
  <c r="N349" i="5"/>
  <c r="AB348" i="5"/>
  <c r="AC348" i="5" s="1"/>
  <c r="AA348" i="5"/>
  <c r="Z348" i="5"/>
  <c r="N348" i="5"/>
  <c r="AB347" i="5"/>
  <c r="AC347" i="5" s="1"/>
  <c r="AA347" i="5"/>
  <c r="Z347" i="5"/>
  <c r="N347" i="5"/>
  <c r="AB346" i="5"/>
  <c r="AC346" i="5" s="1"/>
  <c r="AA346" i="5"/>
  <c r="Z346" i="5"/>
  <c r="N346" i="5"/>
  <c r="AB345" i="5"/>
  <c r="AC345" i="5" s="1"/>
  <c r="AA345" i="5"/>
  <c r="Z345" i="5"/>
  <c r="N345" i="5"/>
  <c r="AB344" i="5"/>
  <c r="AC344" i="5" s="1"/>
  <c r="AA344" i="5"/>
  <c r="Z344" i="5"/>
  <c r="N344" i="5"/>
  <c r="AB343" i="5"/>
  <c r="AC343" i="5" s="1"/>
  <c r="AA343" i="5"/>
  <c r="Z343" i="5"/>
  <c r="N343" i="5"/>
  <c r="AB342" i="5"/>
  <c r="AC342" i="5" s="1"/>
  <c r="AA342" i="5"/>
  <c r="Z342" i="5"/>
  <c r="N342" i="5"/>
  <c r="AB341" i="5"/>
  <c r="AC341" i="5" s="1"/>
  <c r="AA341" i="5"/>
  <c r="Z341" i="5"/>
  <c r="N341" i="5"/>
  <c r="AB340" i="5"/>
  <c r="AC340" i="5" s="1"/>
  <c r="AA340" i="5"/>
  <c r="Z340" i="5"/>
  <c r="N340" i="5"/>
  <c r="AB339" i="5"/>
  <c r="AC339" i="5" s="1"/>
  <c r="AA339" i="5"/>
  <c r="Z339" i="5"/>
  <c r="N339" i="5"/>
  <c r="AB338" i="5"/>
  <c r="AC338" i="5" s="1"/>
  <c r="AA338" i="5"/>
  <c r="Z338" i="5"/>
  <c r="N338" i="5"/>
  <c r="AC337" i="5"/>
  <c r="AB337" i="5"/>
  <c r="AA337" i="5"/>
  <c r="Z337" i="5"/>
  <c r="N337" i="5"/>
  <c r="AB336" i="5"/>
  <c r="AC336" i="5" s="1"/>
  <c r="AA336" i="5"/>
  <c r="Z336" i="5"/>
  <c r="N336" i="5"/>
  <c r="AB335" i="5"/>
  <c r="AC335" i="5" s="1"/>
  <c r="AA335" i="5"/>
  <c r="Z335" i="5"/>
  <c r="N335" i="5"/>
  <c r="AB334" i="5"/>
  <c r="AC334" i="5" s="1"/>
  <c r="AA334" i="5"/>
  <c r="Z334" i="5"/>
  <c r="N334" i="5"/>
  <c r="AB333" i="5"/>
  <c r="AC333" i="5" s="1"/>
  <c r="AA333" i="5"/>
  <c r="Z333" i="5"/>
  <c r="N333" i="5"/>
  <c r="AB332" i="5"/>
  <c r="AC332" i="5" s="1"/>
  <c r="AA332" i="5"/>
  <c r="Z332" i="5"/>
  <c r="N332" i="5"/>
  <c r="AB331" i="5"/>
  <c r="AC331" i="5" s="1"/>
  <c r="AA331" i="5"/>
  <c r="Z331" i="5"/>
  <c r="N331" i="5"/>
  <c r="AB330" i="5"/>
  <c r="AC330" i="5" s="1"/>
  <c r="AA330" i="5"/>
  <c r="Z330" i="5"/>
  <c r="N330" i="5"/>
  <c r="AB329" i="5"/>
  <c r="AC329" i="5" s="1"/>
  <c r="AA329" i="5"/>
  <c r="Z329" i="5"/>
  <c r="N329" i="5"/>
  <c r="AB328" i="5"/>
  <c r="AC328" i="5" s="1"/>
  <c r="AA328" i="5"/>
  <c r="Z328" i="5"/>
  <c r="N328" i="5"/>
  <c r="AB327" i="5"/>
  <c r="AC327" i="5" s="1"/>
  <c r="AA327" i="5"/>
  <c r="Z327" i="5"/>
  <c r="N327" i="5"/>
  <c r="AB326" i="5"/>
  <c r="AC326" i="5" s="1"/>
  <c r="AA326" i="5"/>
  <c r="Z326" i="5"/>
  <c r="N326" i="5"/>
  <c r="AB325" i="5"/>
  <c r="AC325" i="5" s="1"/>
  <c r="AA325" i="5"/>
  <c r="Z325" i="5"/>
  <c r="N325" i="5"/>
  <c r="AB324" i="5"/>
  <c r="AC324" i="5" s="1"/>
  <c r="AA324" i="5"/>
  <c r="Z324" i="5"/>
  <c r="N324" i="5"/>
  <c r="AB323" i="5"/>
  <c r="AC323" i="5" s="1"/>
  <c r="AA323" i="5"/>
  <c r="Z323" i="5"/>
  <c r="N323" i="5"/>
  <c r="AB322" i="5"/>
  <c r="AC322" i="5" s="1"/>
  <c r="AA322" i="5"/>
  <c r="Z322" i="5"/>
  <c r="N322" i="5"/>
  <c r="AB321" i="5"/>
  <c r="AC321" i="5" s="1"/>
  <c r="AA321" i="5"/>
  <c r="Z321" i="5"/>
  <c r="N321" i="5"/>
  <c r="AB320" i="5"/>
  <c r="AC320" i="5" s="1"/>
  <c r="AA320" i="5"/>
  <c r="Z320" i="5"/>
  <c r="N320" i="5"/>
  <c r="AB319" i="5"/>
  <c r="AC319" i="5" s="1"/>
  <c r="AA319" i="5"/>
  <c r="Z319" i="5"/>
  <c r="N319" i="5"/>
  <c r="AB318" i="5"/>
  <c r="AC318" i="5" s="1"/>
  <c r="AA318" i="5"/>
  <c r="Z318" i="5"/>
  <c r="N318" i="5"/>
  <c r="AC317" i="5"/>
  <c r="AB317" i="5"/>
  <c r="AA317" i="5"/>
  <c r="Z317" i="5"/>
  <c r="N317" i="5"/>
  <c r="AB316" i="5"/>
  <c r="AC316" i="5" s="1"/>
  <c r="AA316" i="5"/>
  <c r="Z316" i="5"/>
  <c r="N316" i="5"/>
  <c r="AB315" i="5"/>
  <c r="AC315" i="5" s="1"/>
  <c r="AA315" i="5"/>
  <c r="Z315" i="5"/>
  <c r="N315" i="5"/>
  <c r="AB314" i="5"/>
  <c r="AC314" i="5" s="1"/>
  <c r="AA314" i="5"/>
  <c r="Z314" i="5"/>
  <c r="N314" i="5"/>
  <c r="AB313" i="5"/>
  <c r="AC313" i="5" s="1"/>
  <c r="AA313" i="5"/>
  <c r="Z313" i="5"/>
  <c r="N313" i="5"/>
  <c r="AB312" i="5"/>
  <c r="AC312" i="5" s="1"/>
  <c r="AA312" i="5"/>
  <c r="Z312" i="5"/>
  <c r="N312" i="5"/>
  <c r="AB311" i="5"/>
  <c r="AC311" i="5" s="1"/>
  <c r="AA311" i="5"/>
  <c r="Z311" i="5"/>
  <c r="N311" i="5"/>
  <c r="AB310" i="5"/>
  <c r="AC310" i="5" s="1"/>
  <c r="AA310" i="5"/>
  <c r="Z310" i="5"/>
  <c r="N310" i="5"/>
  <c r="AB309" i="5"/>
  <c r="AC309" i="5" s="1"/>
  <c r="AA309" i="5"/>
  <c r="Z309" i="5"/>
  <c r="N309" i="5"/>
  <c r="AB308" i="5"/>
  <c r="AC308" i="5" s="1"/>
  <c r="AA308" i="5"/>
  <c r="Z308" i="5"/>
  <c r="N308" i="5"/>
  <c r="AB307" i="5"/>
  <c r="AC307" i="5" s="1"/>
  <c r="AA307" i="5"/>
  <c r="Z307" i="5"/>
  <c r="N307" i="5"/>
  <c r="AB306" i="5"/>
  <c r="AC306" i="5" s="1"/>
  <c r="AA306" i="5"/>
  <c r="Z306" i="5"/>
  <c r="N306" i="5"/>
  <c r="AB305" i="5"/>
  <c r="AC305" i="5" s="1"/>
  <c r="AA305" i="5"/>
  <c r="Z305" i="5"/>
  <c r="N305" i="5"/>
  <c r="AB304" i="5"/>
  <c r="AC304" i="5" s="1"/>
  <c r="AA304" i="5"/>
  <c r="Z304" i="5"/>
  <c r="N304" i="5"/>
  <c r="AB303" i="5"/>
  <c r="AC303" i="5" s="1"/>
  <c r="AA303" i="5"/>
  <c r="Z303" i="5"/>
  <c r="N303" i="5"/>
  <c r="AB302" i="5"/>
  <c r="AC302" i="5" s="1"/>
  <c r="AA302" i="5"/>
  <c r="Z302" i="5"/>
  <c r="N302" i="5"/>
  <c r="AB301" i="5"/>
  <c r="AC301" i="5" s="1"/>
  <c r="AA301" i="5"/>
  <c r="Z301" i="5"/>
  <c r="N301" i="5"/>
  <c r="AC300" i="5"/>
  <c r="AB300" i="5"/>
  <c r="AA300" i="5"/>
  <c r="Z300" i="5"/>
  <c r="N300" i="5"/>
  <c r="AB299" i="5"/>
  <c r="AC299" i="5" s="1"/>
  <c r="AA299" i="5"/>
  <c r="Z299" i="5"/>
  <c r="N299" i="5"/>
  <c r="AB298" i="5"/>
  <c r="AC298" i="5" s="1"/>
  <c r="AA298" i="5"/>
  <c r="Z298" i="5"/>
  <c r="N298" i="5"/>
  <c r="AB297" i="5"/>
  <c r="AC297" i="5" s="1"/>
  <c r="AA297" i="5"/>
  <c r="Z297" i="5"/>
  <c r="N297" i="5"/>
  <c r="AB296" i="5"/>
  <c r="AC296" i="5" s="1"/>
  <c r="AA296" i="5"/>
  <c r="Z296" i="5"/>
  <c r="N296" i="5"/>
  <c r="AB295" i="5"/>
  <c r="AC295" i="5" s="1"/>
  <c r="AA295" i="5"/>
  <c r="Z295" i="5"/>
  <c r="N295" i="5"/>
  <c r="AB294" i="5"/>
  <c r="AC294" i="5" s="1"/>
  <c r="AA294" i="5"/>
  <c r="Z294" i="5"/>
  <c r="N294" i="5"/>
  <c r="AB293" i="5"/>
  <c r="AC293" i="5" s="1"/>
  <c r="AA293" i="5"/>
  <c r="Z293" i="5"/>
  <c r="N293" i="5"/>
  <c r="AB292" i="5"/>
  <c r="AC292" i="5" s="1"/>
  <c r="AA292" i="5"/>
  <c r="Z292" i="5"/>
  <c r="N292" i="5"/>
  <c r="AB291" i="5"/>
  <c r="AC291" i="5" s="1"/>
  <c r="AA291" i="5"/>
  <c r="Z291" i="5"/>
  <c r="N291" i="5"/>
  <c r="AB290" i="5"/>
  <c r="AC290" i="5" s="1"/>
  <c r="AA290" i="5"/>
  <c r="Z290" i="5"/>
  <c r="N290" i="5"/>
  <c r="AB289" i="5"/>
  <c r="AC289" i="5" s="1"/>
  <c r="AA289" i="5"/>
  <c r="Z289" i="5"/>
  <c r="N289" i="5"/>
  <c r="AC288" i="5"/>
  <c r="AB288" i="5"/>
  <c r="AA288" i="5"/>
  <c r="Z288" i="5"/>
  <c r="N288" i="5"/>
  <c r="AB287" i="5"/>
  <c r="AC287" i="5" s="1"/>
  <c r="AA287" i="5"/>
  <c r="Z287" i="5"/>
  <c r="N287" i="5"/>
  <c r="AB286" i="5"/>
  <c r="AC286" i="5" s="1"/>
  <c r="AA286" i="5"/>
  <c r="Z286" i="5"/>
  <c r="N286" i="5"/>
  <c r="AB285" i="5"/>
  <c r="AC285" i="5" s="1"/>
  <c r="AA285" i="5"/>
  <c r="Z285" i="5"/>
  <c r="N285" i="5"/>
  <c r="AB284" i="5"/>
  <c r="AC284" i="5" s="1"/>
  <c r="AA284" i="5"/>
  <c r="Z284" i="5"/>
  <c r="N284" i="5"/>
  <c r="AB283" i="5"/>
  <c r="AC283" i="5" s="1"/>
  <c r="AA283" i="5"/>
  <c r="Z283" i="5"/>
  <c r="N283" i="5"/>
  <c r="AB282" i="5"/>
  <c r="AC282" i="5" s="1"/>
  <c r="AA282" i="5"/>
  <c r="Z282" i="5"/>
  <c r="N282" i="5"/>
  <c r="AB281" i="5"/>
  <c r="AC281" i="5" s="1"/>
  <c r="AA281" i="5"/>
  <c r="Z281" i="5"/>
  <c r="N281" i="5"/>
  <c r="AB280" i="5"/>
  <c r="AC280" i="5" s="1"/>
  <c r="AA280" i="5"/>
  <c r="Z280" i="5"/>
  <c r="N280" i="5"/>
  <c r="AB279" i="5"/>
  <c r="AC279" i="5" s="1"/>
  <c r="AA279" i="5"/>
  <c r="Z279" i="5"/>
  <c r="N279" i="5"/>
  <c r="AB278" i="5"/>
  <c r="AC278" i="5" s="1"/>
  <c r="AA278" i="5"/>
  <c r="Z278" i="5"/>
  <c r="N278" i="5"/>
  <c r="AB277" i="5"/>
  <c r="AC277" i="5" s="1"/>
  <c r="AA277" i="5"/>
  <c r="Z277" i="5"/>
  <c r="N277" i="5"/>
  <c r="AB276" i="5"/>
  <c r="AC276" i="5" s="1"/>
  <c r="AA276" i="5"/>
  <c r="Z276" i="5"/>
  <c r="N276" i="5"/>
  <c r="AB275" i="5"/>
  <c r="AC275" i="5" s="1"/>
  <c r="AA275" i="5"/>
  <c r="Z275" i="5"/>
  <c r="N275" i="5"/>
  <c r="AB274" i="5"/>
  <c r="AC274" i="5" s="1"/>
  <c r="AA274" i="5"/>
  <c r="Z274" i="5"/>
  <c r="N274" i="5"/>
  <c r="AB273" i="5"/>
  <c r="AC273" i="5" s="1"/>
  <c r="AA273" i="5"/>
  <c r="Z273" i="5"/>
  <c r="N273" i="5"/>
  <c r="AB272" i="5"/>
  <c r="AC272" i="5" s="1"/>
  <c r="AA272" i="5"/>
  <c r="Z272" i="5"/>
  <c r="N272" i="5"/>
  <c r="AB271" i="5"/>
  <c r="AC271" i="5" s="1"/>
  <c r="AA271" i="5"/>
  <c r="Z271" i="5"/>
  <c r="N271" i="5"/>
  <c r="AB270" i="5"/>
  <c r="AC270" i="5" s="1"/>
  <c r="AA270" i="5"/>
  <c r="Z270" i="5"/>
  <c r="N270" i="5"/>
  <c r="AB269" i="5"/>
  <c r="AC269" i="5" s="1"/>
  <c r="AA269" i="5"/>
  <c r="Z269" i="5"/>
  <c r="N269" i="5"/>
  <c r="AB268" i="5"/>
  <c r="AC268" i="5" s="1"/>
  <c r="AA268" i="5"/>
  <c r="Z268" i="5"/>
  <c r="N268" i="5"/>
  <c r="AC267" i="5"/>
  <c r="AB267" i="5"/>
  <c r="AA267" i="5"/>
  <c r="Z267" i="5"/>
  <c r="N267" i="5"/>
  <c r="AC266" i="5"/>
  <c r="AB266" i="5"/>
  <c r="AA266" i="5"/>
  <c r="Z266" i="5"/>
  <c r="N266" i="5"/>
  <c r="AB265" i="5"/>
  <c r="AC265" i="5" s="1"/>
  <c r="AA265" i="5"/>
  <c r="Z265" i="5"/>
  <c r="N265" i="5"/>
  <c r="AB264" i="5"/>
  <c r="AC264" i="5" s="1"/>
  <c r="AA264" i="5"/>
  <c r="Z264" i="5"/>
  <c r="N264" i="5"/>
  <c r="AB263" i="5"/>
  <c r="AC263" i="5" s="1"/>
  <c r="AA263" i="5"/>
  <c r="Z263" i="5"/>
  <c r="N263" i="5"/>
  <c r="AB262" i="5"/>
  <c r="AC262" i="5" s="1"/>
  <c r="AA262" i="5"/>
  <c r="Z262" i="5"/>
  <c r="N262" i="5"/>
  <c r="AB261" i="5"/>
  <c r="AC261" i="5" s="1"/>
  <c r="AA261" i="5"/>
  <c r="Z261" i="5"/>
  <c r="N261" i="5"/>
  <c r="AB260" i="5"/>
  <c r="AC260" i="5" s="1"/>
  <c r="AA260" i="5"/>
  <c r="Z260" i="5"/>
  <c r="N260" i="5"/>
  <c r="AB259" i="5"/>
  <c r="AC259" i="5" s="1"/>
  <c r="AA259" i="5"/>
  <c r="Z259" i="5"/>
  <c r="N259" i="5"/>
  <c r="AB258" i="5"/>
  <c r="AC258" i="5" s="1"/>
  <c r="AA258" i="5"/>
  <c r="Z258" i="5"/>
  <c r="N258" i="5"/>
  <c r="AB257" i="5"/>
  <c r="AC257" i="5" s="1"/>
  <c r="AA257" i="5"/>
  <c r="Z257" i="5"/>
  <c r="N257" i="5"/>
  <c r="AB256" i="5"/>
  <c r="AC256" i="5" s="1"/>
  <c r="AA256" i="5"/>
  <c r="Z256" i="5"/>
  <c r="N256" i="5"/>
  <c r="AB255" i="5"/>
  <c r="AC255" i="5" s="1"/>
  <c r="AA255" i="5"/>
  <c r="Z255" i="5"/>
  <c r="N255" i="5"/>
  <c r="AB254" i="5"/>
  <c r="AC254" i="5" s="1"/>
  <c r="AA254" i="5"/>
  <c r="Z254" i="5"/>
  <c r="N254" i="5"/>
  <c r="AB253" i="5"/>
  <c r="AC253" i="5" s="1"/>
  <c r="AA253" i="5"/>
  <c r="Z253" i="5"/>
  <c r="N253" i="5"/>
  <c r="AB252" i="5"/>
  <c r="AC252" i="5" s="1"/>
  <c r="AA252" i="5"/>
  <c r="Z252" i="5"/>
  <c r="N252" i="5"/>
  <c r="AB251" i="5"/>
  <c r="AC251" i="5" s="1"/>
  <c r="AA251" i="5"/>
  <c r="Z251" i="5"/>
  <c r="N251" i="5"/>
  <c r="AB250" i="5"/>
  <c r="AC250" i="5" s="1"/>
  <c r="AA250" i="5"/>
  <c r="Z250" i="5"/>
  <c r="N250" i="5"/>
  <c r="AB249" i="5"/>
  <c r="AC249" i="5" s="1"/>
  <c r="AA249" i="5"/>
  <c r="Z249" i="5"/>
  <c r="N249" i="5"/>
  <c r="AB248" i="5"/>
  <c r="AC248" i="5" s="1"/>
  <c r="AA248" i="5"/>
  <c r="Z248" i="5"/>
  <c r="N248" i="5"/>
  <c r="AC247" i="5"/>
  <c r="AB247" i="5"/>
  <c r="AA247" i="5"/>
  <c r="Z247" i="5"/>
  <c r="N247" i="5"/>
  <c r="AB246" i="5"/>
  <c r="AC246" i="5" s="1"/>
  <c r="AA246" i="5"/>
  <c r="Z246" i="5"/>
  <c r="N246" i="5"/>
  <c r="AB245" i="5"/>
  <c r="AC245" i="5" s="1"/>
  <c r="AA245" i="5"/>
  <c r="Z245" i="5"/>
  <c r="N245" i="5"/>
  <c r="AB244" i="5"/>
  <c r="AC244" i="5" s="1"/>
  <c r="AA244" i="5"/>
  <c r="Z244" i="5"/>
  <c r="N244" i="5"/>
  <c r="AB243" i="5"/>
  <c r="AC243" i="5" s="1"/>
  <c r="AA243" i="5"/>
  <c r="Z243" i="5"/>
  <c r="N243" i="5"/>
  <c r="AB242" i="5"/>
  <c r="AC242" i="5" s="1"/>
  <c r="AA242" i="5"/>
  <c r="Z242" i="5"/>
  <c r="N242" i="5"/>
  <c r="AB241" i="5"/>
  <c r="AC241" i="5" s="1"/>
  <c r="AA241" i="5"/>
  <c r="Z241" i="5"/>
  <c r="N241" i="5"/>
  <c r="AB240" i="5"/>
  <c r="AC240" i="5" s="1"/>
  <c r="AA240" i="5"/>
  <c r="Z240" i="5"/>
  <c r="N240" i="5"/>
  <c r="AB239" i="5"/>
  <c r="AC239" i="5" s="1"/>
  <c r="AA239" i="5"/>
  <c r="Z239" i="5"/>
  <c r="N239" i="5"/>
  <c r="AB238" i="5"/>
  <c r="AC238" i="5" s="1"/>
  <c r="AA238" i="5"/>
  <c r="Z238" i="5"/>
  <c r="N238" i="5"/>
  <c r="AB237" i="5"/>
  <c r="AC237" i="5" s="1"/>
  <c r="AA237" i="5"/>
  <c r="Z237" i="5"/>
  <c r="N237" i="5"/>
  <c r="AB236" i="5"/>
  <c r="AC236" i="5" s="1"/>
  <c r="AA236" i="5"/>
  <c r="Z236" i="5"/>
  <c r="N236" i="5"/>
  <c r="AB235" i="5"/>
  <c r="AC235" i="5" s="1"/>
  <c r="AA235" i="5"/>
  <c r="Z235" i="5"/>
  <c r="N235" i="5"/>
  <c r="AB234" i="5"/>
  <c r="AC234" i="5" s="1"/>
  <c r="AA234" i="5"/>
  <c r="Z234" i="5"/>
  <c r="N234" i="5"/>
  <c r="AB233" i="5"/>
  <c r="AC233" i="5" s="1"/>
  <c r="AA233" i="5"/>
  <c r="Z233" i="5"/>
  <c r="N233" i="5"/>
  <c r="AB232" i="5"/>
  <c r="AC232" i="5" s="1"/>
  <c r="AA232" i="5"/>
  <c r="Z232" i="5"/>
  <c r="N232" i="5"/>
  <c r="AB231" i="5"/>
  <c r="AC231" i="5" s="1"/>
  <c r="AA231" i="5"/>
  <c r="Z231" i="5"/>
  <c r="N231" i="5"/>
  <c r="AB230" i="5"/>
  <c r="AC230" i="5" s="1"/>
  <c r="AA230" i="5"/>
  <c r="Z230" i="5"/>
  <c r="N230" i="5"/>
  <c r="AB229" i="5"/>
  <c r="AC229" i="5" s="1"/>
  <c r="AA229" i="5"/>
  <c r="Z229" i="5"/>
  <c r="N229" i="5"/>
  <c r="AB228" i="5"/>
  <c r="AC228" i="5" s="1"/>
  <c r="AA228" i="5"/>
  <c r="Z228" i="5"/>
  <c r="N228" i="5"/>
  <c r="AB227" i="5"/>
  <c r="AC227" i="5" s="1"/>
  <c r="AA227" i="5"/>
  <c r="Z227" i="5"/>
  <c r="N227" i="5"/>
  <c r="AB226" i="5"/>
  <c r="AC226" i="5" s="1"/>
  <c r="AA226" i="5"/>
  <c r="Z226" i="5"/>
  <c r="N226" i="5"/>
  <c r="AB225" i="5"/>
  <c r="AC225" i="5" s="1"/>
  <c r="AA225" i="5"/>
  <c r="Z225" i="5"/>
  <c r="N225" i="5"/>
  <c r="AB224" i="5"/>
  <c r="AC224" i="5" s="1"/>
  <c r="AA224" i="5"/>
  <c r="Z224" i="5"/>
  <c r="N224" i="5"/>
  <c r="AB223" i="5"/>
  <c r="AC223" i="5" s="1"/>
  <c r="AA223" i="5"/>
  <c r="Z223" i="5"/>
  <c r="N223" i="5"/>
  <c r="AB222" i="5"/>
  <c r="AC222" i="5" s="1"/>
  <c r="AA222" i="5"/>
  <c r="Z222" i="5"/>
  <c r="N222" i="5"/>
  <c r="AB221" i="5"/>
  <c r="AC221" i="5" s="1"/>
  <c r="AA221" i="5"/>
  <c r="Z221" i="5"/>
  <c r="N221" i="5"/>
  <c r="AB220" i="5"/>
  <c r="AC220" i="5" s="1"/>
  <c r="AA220" i="5"/>
  <c r="Z220" i="5"/>
  <c r="N220" i="5"/>
  <c r="AC219" i="5"/>
  <c r="AB219" i="5"/>
  <c r="AA219" i="5"/>
  <c r="Z219" i="5"/>
  <c r="N219" i="5"/>
  <c r="AB218" i="5"/>
  <c r="AC218" i="5" s="1"/>
  <c r="AA218" i="5"/>
  <c r="Z218" i="5"/>
  <c r="N218" i="5"/>
  <c r="AB217" i="5"/>
  <c r="AC217" i="5" s="1"/>
  <c r="AA217" i="5"/>
  <c r="Z217" i="5"/>
  <c r="N217" i="5"/>
  <c r="AB216" i="5"/>
  <c r="AC216" i="5" s="1"/>
  <c r="AA216" i="5"/>
  <c r="Z216" i="5"/>
  <c r="N216" i="5"/>
  <c r="AB215" i="5"/>
  <c r="AC215" i="5" s="1"/>
  <c r="AA215" i="5"/>
  <c r="Z215" i="5"/>
  <c r="N215" i="5"/>
  <c r="AB214" i="5"/>
  <c r="AC214" i="5" s="1"/>
  <c r="AA214" i="5"/>
  <c r="Z214" i="5"/>
  <c r="N214" i="5"/>
  <c r="AB213" i="5"/>
  <c r="AC213" i="5" s="1"/>
  <c r="AA213" i="5"/>
  <c r="Z213" i="5"/>
  <c r="N213" i="5"/>
  <c r="AB212" i="5"/>
  <c r="AC212" i="5" s="1"/>
  <c r="AA212" i="5"/>
  <c r="Z212" i="5"/>
  <c r="N212" i="5"/>
  <c r="AB211" i="5"/>
  <c r="AC211" i="5" s="1"/>
  <c r="AA211" i="5"/>
  <c r="Z211" i="5"/>
  <c r="N211" i="5"/>
  <c r="AB210" i="5"/>
  <c r="AC210" i="5" s="1"/>
  <c r="AA210" i="5"/>
  <c r="Z210" i="5"/>
  <c r="N210" i="5"/>
  <c r="AB209" i="5"/>
  <c r="AC209" i="5" s="1"/>
  <c r="AA209" i="5"/>
  <c r="Z209" i="5"/>
  <c r="N209" i="5"/>
  <c r="AB208" i="5"/>
  <c r="AC208" i="5" s="1"/>
  <c r="AA208" i="5"/>
  <c r="Z208" i="5"/>
  <c r="N208" i="5"/>
  <c r="AB207" i="5"/>
  <c r="AC207" i="5" s="1"/>
  <c r="AA207" i="5"/>
  <c r="Z207" i="5"/>
  <c r="N207" i="5"/>
  <c r="AB206" i="5"/>
  <c r="AC206" i="5" s="1"/>
  <c r="AA206" i="5"/>
  <c r="Z206" i="5"/>
  <c r="N206" i="5"/>
  <c r="AB205" i="5"/>
  <c r="AC205" i="5" s="1"/>
  <c r="AA205" i="5"/>
  <c r="Z205" i="5"/>
  <c r="N205" i="5"/>
  <c r="AB204" i="5"/>
  <c r="AC204" i="5" s="1"/>
  <c r="AA204" i="5"/>
  <c r="Z204" i="5"/>
  <c r="N204" i="5"/>
  <c r="AB203" i="5"/>
  <c r="AC203" i="5" s="1"/>
  <c r="AA203" i="5"/>
  <c r="Z203" i="5"/>
  <c r="N203" i="5"/>
  <c r="AB202" i="5"/>
  <c r="AC202" i="5" s="1"/>
  <c r="AA202" i="5"/>
  <c r="Z202" i="5"/>
  <c r="N202" i="5"/>
  <c r="AB201" i="5"/>
  <c r="AC201" i="5" s="1"/>
  <c r="AA201" i="5"/>
  <c r="Z201" i="5"/>
  <c r="N201" i="5"/>
  <c r="AB200" i="5"/>
  <c r="AC200" i="5" s="1"/>
  <c r="AA200" i="5"/>
  <c r="Z200" i="5"/>
  <c r="N200" i="5"/>
  <c r="AB199" i="5"/>
  <c r="AC199" i="5" s="1"/>
  <c r="AA199" i="5"/>
  <c r="Z199" i="5"/>
  <c r="N199" i="5"/>
  <c r="AB198" i="5"/>
  <c r="AC198" i="5" s="1"/>
  <c r="AA198" i="5"/>
  <c r="Z198" i="5"/>
  <c r="N198" i="5"/>
  <c r="AB197" i="5"/>
  <c r="AC197" i="5" s="1"/>
  <c r="AA197" i="5"/>
  <c r="Z197" i="5"/>
  <c r="N197" i="5"/>
  <c r="AB196" i="5"/>
  <c r="AC196" i="5" s="1"/>
  <c r="AA196" i="5"/>
  <c r="Z196" i="5"/>
  <c r="N196" i="5"/>
  <c r="AB195" i="5"/>
  <c r="AC195" i="5" s="1"/>
  <c r="AA195" i="5"/>
  <c r="Z195" i="5"/>
  <c r="N195" i="5"/>
  <c r="AB194" i="5"/>
  <c r="AC194" i="5" s="1"/>
  <c r="AA194" i="5"/>
  <c r="Z194" i="5"/>
  <c r="N194" i="5"/>
  <c r="AC193" i="5"/>
  <c r="AB193" i="5"/>
  <c r="AA193" i="5"/>
  <c r="Z193" i="5"/>
  <c r="N193" i="5"/>
  <c r="AB192" i="5"/>
  <c r="AC192" i="5" s="1"/>
  <c r="AA192" i="5"/>
  <c r="Z192" i="5"/>
  <c r="N192" i="5"/>
  <c r="AB191" i="5"/>
  <c r="AC191" i="5" s="1"/>
  <c r="AA191" i="5"/>
  <c r="Z191" i="5"/>
  <c r="N191" i="5"/>
  <c r="AB190" i="5"/>
  <c r="AC190" i="5" s="1"/>
  <c r="AA190" i="5"/>
  <c r="Z190" i="5"/>
  <c r="N190" i="5"/>
  <c r="AB189" i="5"/>
  <c r="AC189" i="5" s="1"/>
  <c r="AA189" i="5"/>
  <c r="Z189" i="5"/>
  <c r="N189" i="5"/>
  <c r="AB188" i="5"/>
  <c r="AC188" i="5" s="1"/>
  <c r="AA188" i="5"/>
  <c r="Z188" i="5"/>
  <c r="N188" i="5"/>
  <c r="AB187" i="5"/>
  <c r="AC187" i="5" s="1"/>
  <c r="AA187" i="5"/>
  <c r="Z187" i="5"/>
  <c r="N187" i="5"/>
  <c r="AB186" i="5"/>
  <c r="AC186" i="5" s="1"/>
  <c r="AA186" i="5"/>
  <c r="Z186" i="5"/>
  <c r="N186" i="5"/>
  <c r="AB185" i="5"/>
  <c r="AC185" i="5" s="1"/>
  <c r="AA185" i="5"/>
  <c r="Z185" i="5"/>
  <c r="N185" i="5"/>
  <c r="AB184" i="5"/>
  <c r="AC184" i="5" s="1"/>
  <c r="AA184" i="5"/>
  <c r="Z184" i="5"/>
  <c r="N184" i="5"/>
  <c r="AB183" i="5"/>
  <c r="AC183" i="5" s="1"/>
  <c r="AA183" i="5"/>
  <c r="Z183" i="5"/>
  <c r="N183" i="5"/>
  <c r="AB182" i="5"/>
  <c r="AC182" i="5" s="1"/>
  <c r="AA182" i="5"/>
  <c r="Z182" i="5"/>
  <c r="N182" i="5"/>
  <c r="AB181" i="5"/>
  <c r="AC181" i="5" s="1"/>
  <c r="AA181" i="5"/>
  <c r="Z181" i="5"/>
  <c r="N181" i="5"/>
  <c r="AB180" i="5"/>
  <c r="AC180" i="5" s="1"/>
  <c r="AA180" i="5"/>
  <c r="Z180" i="5"/>
  <c r="N180" i="5"/>
  <c r="AB179" i="5"/>
  <c r="AC179" i="5" s="1"/>
  <c r="AA179" i="5"/>
  <c r="Z179" i="5"/>
  <c r="N179" i="5"/>
  <c r="AB178" i="5"/>
  <c r="AC178" i="5" s="1"/>
  <c r="AA178" i="5"/>
  <c r="Z178" i="5"/>
  <c r="N178" i="5"/>
  <c r="AB177" i="5"/>
  <c r="AC177" i="5" s="1"/>
  <c r="AA177" i="5"/>
  <c r="Z177" i="5"/>
  <c r="N177" i="5"/>
  <c r="AB176" i="5"/>
  <c r="AC176" i="5" s="1"/>
  <c r="AA176" i="5"/>
  <c r="Z176" i="5"/>
  <c r="N176" i="5"/>
  <c r="AB175" i="5"/>
  <c r="AC175" i="5" s="1"/>
  <c r="AA175" i="5"/>
  <c r="Z175" i="5"/>
  <c r="N175" i="5"/>
  <c r="AB174" i="5"/>
  <c r="AC174" i="5" s="1"/>
  <c r="AA174" i="5"/>
  <c r="Z174" i="5"/>
  <c r="N174" i="5"/>
  <c r="AB173" i="5"/>
  <c r="AC173" i="5" s="1"/>
  <c r="AA173" i="5"/>
  <c r="Z173" i="5"/>
  <c r="N173" i="5"/>
  <c r="AB172" i="5"/>
  <c r="AC172" i="5" s="1"/>
  <c r="AA172" i="5"/>
  <c r="Z172" i="5"/>
  <c r="N172" i="5"/>
  <c r="AB171" i="5"/>
  <c r="AC171" i="5" s="1"/>
  <c r="AA171" i="5"/>
  <c r="Z171" i="5"/>
  <c r="N171" i="5"/>
  <c r="AB170" i="5"/>
  <c r="AC170" i="5" s="1"/>
  <c r="AA170" i="5"/>
  <c r="Z170" i="5"/>
  <c r="N170" i="5"/>
  <c r="AC169" i="5"/>
  <c r="AB169" i="5"/>
  <c r="AA169" i="5"/>
  <c r="Z169" i="5"/>
  <c r="N169" i="5"/>
  <c r="AB168" i="5"/>
  <c r="AC168" i="5" s="1"/>
  <c r="AA168" i="5"/>
  <c r="Z168" i="5"/>
  <c r="N168" i="5"/>
  <c r="AB167" i="5"/>
  <c r="AC167" i="5" s="1"/>
  <c r="AA167" i="5"/>
  <c r="Z167" i="5"/>
  <c r="N167" i="5"/>
  <c r="AB166" i="5"/>
  <c r="AC166" i="5" s="1"/>
  <c r="AA166" i="5"/>
  <c r="Z166" i="5"/>
  <c r="N166" i="5"/>
  <c r="AB165" i="5"/>
  <c r="AC165" i="5" s="1"/>
  <c r="AA165" i="5"/>
  <c r="Z165" i="5"/>
  <c r="N165" i="5"/>
  <c r="AB164" i="5"/>
  <c r="AC164" i="5" s="1"/>
  <c r="AA164" i="5"/>
  <c r="Z164" i="5"/>
  <c r="N164" i="5"/>
  <c r="AB163" i="5"/>
  <c r="AC163" i="5" s="1"/>
  <c r="AA163" i="5"/>
  <c r="Z163" i="5"/>
  <c r="N163" i="5"/>
  <c r="AB162" i="5"/>
  <c r="AC162" i="5" s="1"/>
  <c r="AA162" i="5"/>
  <c r="Z162" i="5"/>
  <c r="N162" i="5"/>
  <c r="AB161" i="5"/>
  <c r="AC161" i="5" s="1"/>
  <c r="AA161" i="5"/>
  <c r="Z161" i="5"/>
  <c r="N161" i="5"/>
  <c r="AB160" i="5"/>
  <c r="AC160" i="5" s="1"/>
  <c r="AA160" i="5"/>
  <c r="Z160" i="5"/>
  <c r="N160" i="5"/>
  <c r="AB159" i="5"/>
  <c r="AC159" i="5" s="1"/>
  <c r="AA159" i="5"/>
  <c r="Z159" i="5"/>
  <c r="N159" i="5"/>
  <c r="AB158" i="5"/>
  <c r="AC158" i="5" s="1"/>
  <c r="AA158" i="5"/>
  <c r="Z158" i="5"/>
  <c r="N158" i="5"/>
  <c r="AB157" i="5"/>
  <c r="AC157" i="5" s="1"/>
  <c r="AA157" i="5"/>
  <c r="Z157" i="5"/>
  <c r="N157" i="5"/>
  <c r="AB156" i="5"/>
  <c r="AC156" i="5" s="1"/>
  <c r="AA156" i="5"/>
  <c r="Z156" i="5"/>
  <c r="N156" i="5"/>
  <c r="AB155" i="5"/>
  <c r="AC155" i="5" s="1"/>
  <c r="AA155" i="5"/>
  <c r="Z155" i="5"/>
  <c r="N155" i="5"/>
  <c r="AB154" i="5"/>
  <c r="AC154" i="5" s="1"/>
  <c r="AA154" i="5"/>
  <c r="Z154" i="5"/>
  <c r="N154" i="5"/>
  <c r="AB153" i="5"/>
  <c r="AC153" i="5" s="1"/>
  <c r="AA153" i="5"/>
  <c r="Z153" i="5"/>
  <c r="N153" i="5"/>
  <c r="AB152" i="5"/>
  <c r="AC152" i="5" s="1"/>
  <c r="AA152" i="5"/>
  <c r="Z152" i="5"/>
  <c r="N152" i="5"/>
  <c r="AB151" i="5"/>
  <c r="AC151" i="5" s="1"/>
  <c r="AA151" i="5"/>
  <c r="Z151" i="5"/>
  <c r="N151" i="5"/>
  <c r="AB150" i="5"/>
  <c r="AC150" i="5" s="1"/>
  <c r="AA150" i="5"/>
  <c r="Z150" i="5"/>
  <c r="N150" i="5"/>
  <c r="AB149" i="5"/>
  <c r="AC149" i="5" s="1"/>
  <c r="AA149" i="5"/>
  <c r="Z149" i="5"/>
  <c r="N149" i="5"/>
  <c r="AB148" i="5"/>
  <c r="AC148" i="5" s="1"/>
  <c r="AA148" i="5"/>
  <c r="Z148" i="5"/>
  <c r="N148" i="5"/>
  <c r="AB147" i="5"/>
  <c r="AC147" i="5" s="1"/>
  <c r="AA147" i="5"/>
  <c r="Z147" i="5"/>
  <c r="N147" i="5"/>
  <c r="AB146" i="5"/>
  <c r="AC146" i="5" s="1"/>
  <c r="AA146" i="5"/>
  <c r="Z146" i="5"/>
  <c r="N146" i="5"/>
  <c r="AB145" i="5"/>
  <c r="AC145" i="5" s="1"/>
  <c r="AA145" i="5"/>
  <c r="Z145" i="5"/>
  <c r="N145" i="5"/>
  <c r="AB144" i="5"/>
  <c r="AC144" i="5" s="1"/>
  <c r="AA144" i="5"/>
  <c r="Z144" i="5"/>
  <c r="N144" i="5"/>
  <c r="AB143" i="5"/>
  <c r="AC143" i="5" s="1"/>
  <c r="AA143" i="5"/>
  <c r="Z143" i="5"/>
  <c r="N143" i="5"/>
  <c r="AB142" i="5"/>
  <c r="AC142" i="5" s="1"/>
  <c r="AA142" i="5"/>
  <c r="Z142" i="5"/>
  <c r="N142" i="5"/>
  <c r="AB141" i="5"/>
  <c r="AC141" i="5" s="1"/>
  <c r="AA141" i="5"/>
  <c r="Z141" i="5"/>
  <c r="N141" i="5"/>
  <c r="AB140" i="5"/>
  <c r="AC140" i="5" s="1"/>
  <c r="AA140" i="5"/>
  <c r="Z140" i="5"/>
  <c r="N140" i="5"/>
  <c r="AB139" i="5"/>
  <c r="AC139" i="5" s="1"/>
  <c r="AA139" i="5"/>
  <c r="Z139" i="5"/>
  <c r="N139" i="5"/>
  <c r="AB138" i="5"/>
  <c r="AC138" i="5" s="1"/>
  <c r="AA138" i="5"/>
  <c r="Z138" i="5"/>
  <c r="N138" i="5"/>
  <c r="AB137" i="5"/>
  <c r="AC137" i="5" s="1"/>
  <c r="AA137" i="5"/>
  <c r="Z137" i="5"/>
  <c r="N137" i="5"/>
  <c r="AB136" i="5"/>
  <c r="AC136" i="5" s="1"/>
  <c r="AA136" i="5"/>
  <c r="Z136" i="5"/>
  <c r="N136" i="5"/>
  <c r="AB135" i="5"/>
  <c r="AC135" i="5" s="1"/>
  <c r="AA135" i="5"/>
  <c r="Z135" i="5"/>
  <c r="N135" i="5"/>
  <c r="AB134" i="5"/>
  <c r="AC134" i="5" s="1"/>
  <c r="AA134" i="5"/>
  <c r="Z134" i="5"/>
  <c r="N134" i="5"/>
  <c r="AB133" i="5"/>
  <c r="AC133" i="5" s="1"/>
  <c r="AA133" i="5"/>
  <c r="Z133" i="5"/>
  <c r="N133" i="5"/>
  <c r="AB132" i="5"/>
  <c r="AC132" i="5" s="1"/>
  <c r="AA132" i="5"/>
  <c r="Z132" i="5"/>
  <c r="N132" i="5"/>
  <c r="AB131" i="5"/>
  <c r="AC131" i="5" s="1"/>
  <c r="AA131" i="5"/>
  <c r="Z131" i="5"/>
  <c r="N131" i="5"/>
  <c r="AB130" i="5"/>
  <c r="AC130" i="5" s="1"/>
  <c r="AA130" i="5"/>
  <c r="Z130" i="5"/>
  <c r="N130" i="5"/>
  <c r="AB129" i="5"/>
  <c r="AC129" i="5" s="1"/>
  <c r="AA129" i="5"/>
  <c r="Z129" i="5"/>
  <c r="N129" i="5"/>
  <c r="AC128" i="5"/>
  <c r="AB128" i="5"/>
  <c r="AA128" i="5"/>
  <c r="Z128" i="5"/>
  <c r="N128" i="5"/>
  <c r="AB127" i="5"/>
  <c r="AC127" i="5" s="1"/>
  <c r="AA127" i="5"/>
  <c r="Z127" i="5"/>
  <c r="N127" i="5"/>
  <c r="AB126" i="5"/>
  <c r="AC126" i="5" s="1"/>
  <c r="AA126" i="5"/>
  <c r="Z126" i="5"/>
  <c r="N126" i="5"/>
  <c r="AB125" i="5"/>
  <c r="AC125" i="5" s="1"/>
  <c r="AA125" i="5"/>
  <c r="Z125" i="5"/>
  <c r="N125" i="5"/>
  <c r="AB124" i="5"/>
  <c r="AC124" i="5" s="1"/>
  <c r="AA124" i="5"/>
  <c r="Z124" i="5"/>
  <c r="N124" i="5"/>
  <c r="AB123" i="5"/>
  <c r="AC123" i="5" s="1"/>
  <c r="AA123" i="5"/>
  <c r="Z123" i="5"/>
  <c r="N123" i="5"/>
  <c r="AB122" i="5"/>
  <c r="AC122" i="5" s="1"/>
  <c r="AA122" i="5"/>
  <c r="Z122" i="5"/>
  <c r="N122" i="5"/>
  <c r="AB121" i="5"/>
  <c r="AC121" i="5" s="1"/>
  <c r="AA121" i="5"/>
  <c r="Z121" i="5"/>
  <c r="N121" i="5"/>
  <c r="AB120" i="5"/>
  <c r="AC120" i="5" s="1"/>
  <c r="AA120" i="5"/>
  <c r="Z120" i="5"/>
  <c r="N120" i="5"/>
  <c r="AB119" i="5"/>
  <c r="AC119" i="5" s="1"/>
  <c r="AA119" i="5"/>
  <c r="Z119" i="5"/>
  <c r="N119" i="5"/>
  <c r="AB118" i="5"/>
  <c r="AC118" i="5" s="1"/>
  <c r="AA118" i="5"/>
  <c r="Z118" i="5"/>
  <c r="N118" i="5"/>
  <c r="AB117" i="5"/>
  <c r="AC117" i="5" s="1"/>
  <c r="AA117" i="5"/>
  <c r="Z117" i="5"/>
  <c r="N117" i="5"/>
  <c r="AB116" i="5"/>
  <c r="AC116" i="5" s="1"/>
  <c r="AA116" i="5"/>
  <c r="Z116" i="5"/>
  <c r="N116" i="5"/>
  <c r="AB115" i="5"/>
  <c r="AC115" i="5" s="1"/>
  <c r="AA115" i="5"/>
  <c r="Z115" i="5"/>
  <c r="N115" i="5"/>
  <c r="AB114" i="5"/>
  <c r="AC114" i="5" s="1"/>
  <c r="AA114" i="5"/>
  <c r="Z114" i="5"/>
  <c r="N114" i="5"/>
  <c r="AB113" i="5"/>
  <c r="AC113" i="5" s="1"/>
  <c r="AA113" i="5"/>
  <c r="Z113" i="5"/>
  <c r="N113" i="5"/>
  <c r="AB112" i="5"/>
  <c r="AC112" i="5" s="1"/>
  <c r="AA112" i="5"/>
  <c r="Z112" i="5"/>
  <c r="N112" i="5"/>
  <c r="AB111" i="5"/>
  <c r="AC111" i="5" s="1"/>
  <c r="AA111" i="5"/>
  <c r="Z111" i="5"/>
  <c r="N111" i="5"/>
  <c r="AB110" i="5"/>
  <c r="AC110" i="5" s="1"/>
  <c r="AA110" i="5"/>
  <c r="Z110" i="5"/>
  <c r="N110" i="5"/>
  <c r="AB109" i="5"/>
  <c r="AC109" i="5" s="1"/>
  <c r="AA109" i="5"/>
  <c r="Z109" i="5"/>
  <c r="N109" i="5"/>
  <c r="AB108" i="5"/>
  <c r="AC108" i="5" s="1"/>
  <c r="AA108" i="5"/>
  <c r="Z108" i="5"/>
  <c r="N108" i="5"/>
  <c r="AB107" i="5"/>
  <c r="AC107" i="5" s="1"/>
  <c r="AA107" i="5"/>
  <c r="Z107" i="5"/>
  <c r="N107" i="5"/>
  <c r="AB106" i="5"/>
  <c r="AC106" i="5" s="1"/>
  <c r="AA106" i="5"/>
  <c r="Z106" i="5"/>
  <c r="N106" i="5"/>
  <c r="AB105" i="5"/>
  <c r="AC105" i="5" s="1"/>
  <c r="AA105" i="5"/>
  <c r="Z105" i="5"/>
  <c r="N105" i="5"/>
  <c r="AB104" i="5"/>
  <c r="AC104" i="5" s="1"/>
  <c r="AA104" i="5"/>
  <c r="Z104" i="5"/>
  <c r="N104" i="5"/>
  <c r="AB103" i="5"/>
  <c r="AC103" i="5" s="1"/>
  <c r="AA103" i="5"/>
  <c r="Z103" i="5"/>
  <c r="N103" i="5"/>
  <c r="AB102" i="5"/>
  <c r="AC102" i="5" s="1"/>
  <c r="AA102" i="5"/>
  <c r="Z102" i="5"/>
  <c r="N102" i="5"/>
  <c r="AB101" i="5"/>
  <c r="AC101" i="5" s="1"/>
  <c r="AA101" i="5"/>
  <c r="Z101" i="5"/>
  <c r="N101" i="5"/>
  <c r="AB100" i="5"/>
  <c r="AC100" i="5" s="1"/>
  <c r="AA100" i="5"/>
  <c r="Z100" i="5"/>
  <c r="N100" i="5"/>
  <c r="AB99" i="5"/>
  <c r="AC99" i="5" s="1"/>
  <c r="AA99" i="5"/>
  <c r="Z99" i="5"/>
  <c r="N99" i="5"/>
  <c r="AB98" i="5"/>
  <c r="AC98" i="5" s="1"/>
  <c r="AA98" i="5"/>
  <c r="Z98" i="5"/>
  <c r="N98" i="5"/>
  <c r="AB97" i="5"/>
  <c r="AC97" i="5" s="1"/>
  <c r="AA97" i="5"/>
  <c r="Z97" i="5"/>
  <c r="N97" i="5"/>
  <c r="AB96" i="5"/>
  <c r="AC96" i="5" s="1"/>
  <c r="AA96" i="5"/>
  <c r="Z96" i="5"/>
  <c r="N96" i="5"/>
  <c r="AB95" i="5"/>
  <c r="AC95" i="5" s="1"/>
  <c r="AA95" i="5"/>
  <c r="Z95" i="5"/>
  <c r="N95" i="5"/>
  <c r="AB94" i="5"/>
  <c r="AC94" i="5" s="1"/>
  <c r="AA94" i="5"/>
  <c r="Z94" i="5"/>
  <c r="N94" i="5"/>
  <c r="AB93" i="5"/>
  <c r="AC93" i="5" s="1"/>
  <c r="AA93" i="5"/>
  <c r="Z93" i="5"/>
  <c r="N93" i="5"/>
  <c r="AB92" i="5"/>
  <c r="AC92" i="5" s="1"/>
  <c r="AA92" i="5"/>
  <c r="Z92" i="5"/>
  <c r="N92" i="5"/>
  <c r="AB91" i="5"/>
  <c r="AC91" i="5" s="1"/>
  <c r="AA91" i="5"/>
  <c r="Z91" i="5"/>
  <c r="N91" i="5"/>
  <c r="AB90" i="5"/>
  <c r="AC90" i="5" s="1"/>
  <c r="AA90" i="5"/>
  <c r="Z90" i="5"/>
  <c r="N90" i="5"/>
  <c r="AB89" i="5"/>
  <c r="AC89" i="5" s="1"/>
  <c r="AA89" i="5"/>
  <c r="Z89" i="5"/>
  <c r="N89" i="5"/>
  <c r="AB88" i="5"/>
  <c r="AC88" i="5" s="1"/>
  <c r="AA88" i="5"/>
  <c r="Z88" i="5"/>
  <c r="N88" i="5"/>
  <c r="AB87" i="5"/>
  <c r="AC87" i="5" s="1"/>
  <c r="AA87" i="5"/>
  <c r="Z87" i="5"/>
  <c r="N87" i="5"/>
  <c r="AB86" i="5"/>
  <c r="AC86" i="5" s="1"/>
  <c r="AA86" i="5"/>
  <c r="Z86" i="5"/>
  <c r="N86" i="5"/>
  <c r="AB85" i="5"/>
  <c r="AC85" i="5" s="1"/>
  <c r="AA85" i="5"/>
  <c r="Z85" i="5"/>
  <c r="N85" i="5"/>
  <c r="AB84" i="5"/>
  <c r="AC84" i="5" s="1"/>
  <c r="AA84" i="5"/>
  <c r="Z84" i="5"/>
  <c r="N84" i="5"/>
  <c r="AB83" i="5"/>
  <c r="AC83" i="5" s="1"/>
  <c r="AA83" i="5"/>
  <c r="Z83" i="5"/>
  <c r="N83" i="5"/>
  <c r="AB82" i="5"/>
  <c r="AC82" i="5" s="1"/>
  <c r="AA82" i="5"/>
  <c r="Z82" i="5"/>
  <c r="N82" i="5"/>
  <c r="AB81" i="5"/>
  <c r="AC81" i="5" s="1"/>
  <c r="AA81" i="5"/>
  <c r="Z81" i="5"/>
  <c r="N81" i="5"/>
  <c r="AB80" i="5"/>
  <c r="AC80" i="5" s="1"/>
  <c r="AA80" i="5"/>
  <c r="Z80" i="5"/>
  <c r="N80" i="5"/>
  <c r="AB79" i="5"/>
  <c r="AC79" i="5" s="1"/>
  <c r="AA79" i="5"/>
  <c r="Z79" i="5"/>
  <c r="N79" i="5"/>
  <c r="AB78" i="5"/>
  <c r="AC78" i="5" s="1"/>
  <c r="AA78" i="5"/>
  <c r="Z78" i="5"/>
  <c r="N78" i="5"/>
  <c r="AB77" i="5"/>
  <c r="AC77" i="5" s="1"/>
  <c r="AA77" i="5"/>
  <c r="Z77" i="5"/>
  <c r="N77" i="5"/>
  <c r="AB76" i="5"/>
  <c r="AC76" i="5" s="1"/>
  <c r="AA76" i="5"/>
  <c r="Z76" i="5"/>
  <c r="N76" i="5"/>
  <c r="AB75" i="5"/>
  <c r="AC75" i="5" s="1"/>
  <c r="AA75" i="5"/>
  <c r="Z75" i="5"/>
  <c r="N75" i="5"/>
  <c r="AB74" i="5"/>
  <c r="AC74" i="5" s="1"/>
  <c r="AA74" i="5"/>
  <c r="Z74" i="5"/>
  <c r="N74" i="5"/>
  <c r="AB73" i="5"/>
  <c r="AC73" i="5" s="1"/>
  <c r="AA73" i="5"/>
  <c r="Z73" i="5"/>
  <c r="N73" i="5"/>
  <c r="AB72" i="5"/>
  <c r="AC72" i="5" s="1"/>
  <c r="AA72" i="5"/>
  <c r="Z72" i="5"/>
  <c r="N72" i="5"/>
  <c r="AB71" i="5"/>
  <c r="AC71" i="5" s="1"/>
  <c r="AA71" i="5"/>
  <c r="Z71" i="5"/>
  <c r="N71" i="5"/>
  <c r="AB70" i="5"/>
  <c r="AC70" i="5" s="1"/>
  <c r="AA70" i="5"/>
  <c r="Z70" i="5"/>
  <c r="N70" i="5"/>
  <c r="AB69" i="5"/>
  <c r="AC69" i="5" s="1"/>
  <c r="AA69" i="5"/>
  <c r="Z69" i="5"/>
  <c r="N69" i="5"/>
  <c r="AB68" i="5"/>
  <c r="AC68" i="5" s="1"/>
  <c r="AA68" i="5"/>
  <c r="Z68" i="5"/>
  <c r="N68" i="5"/>
  <c r="AB67" i="5"/>
  <c r="AC67" i="5" s="1"/>
  <c r="AA67" i="5"/>
  <c r="Z67" i="5"/>
  <c r="N67" i="5"/>
  <c r="AB66" i="5"/>
  <c r="AC66" i="5" s="1"/>
  <c r="AA66" i="5"/>
  <c r="Z66" i="5"/>
  <c r="N66" i="5"/>
  <c r="AB65" i="5"/>
  <c r="AC65" i="5" s="1"/>
  <c r="AA65" i="5"/>
  <c r="Z65" i="5"/>
  <c r="N65" i="5"/>
  <c r="AB64" i="5"/>
  <c r="AC64" i="5" s="1"/>
  <c r="AA64" i="5"/>
  <c r="Z64" i="5"/>
  <c r="N64" i="5"/>
  <c r="AB63" i="5"/>
  <c r="AC63" i="5" s="1"/>
  <c r="AA63" i="5"/>
  <c r="Z63" i="5"/>
  <c r="N63" i="5"/>
  <c r="AB62" i="5"/>
  <c r="AC62" i="5" s="1"/>
  <c r="AA62" i="5"/>
  <c r="Z62" i="5"/>
  <c r="N62" i="5"/>
  <c r="AB61" i="5"/>
  <c r="AC61" i="5" s="1"/>
  <c r="AA61" i="5"/>
  <c r="Z61" i="5"/>
  <c r="N61" i="5"/>
  <c r="AB60" i="5"/>
  <c r="AC60" i="5" s="1"/>
  <c r="AA60" i="5"/>
  <c r="Z60" i="5"/>
  <c r="N60" i="5"/>
  <c r="AB59" i="5"/>
  <c r="AC59" i="5" s="1"/>
  <c r="AA59" i="5"/>
  <c r="Z59" i="5"/>
  <c r="N59" i="5"/>
  <c r="AB58" i="5"/>
  <c r="AC58" i="5" s="1"/>
  <c r="AA58" i="5"/>
  <c r="Z58" i="5"/>
  <c r="N58" i="5"/>
  <c r="AB57" i="5"/>
  <c r="AC57" i="5" s="1"/>
  <c r="AA57" i="5"/>
  <c r="Z57" i="5"/>
  <c r="N57" i="5"/>
  <c r="AB56" i="5"/>
  <c r="AC56" i="5" s="1"/>
  <c r="AA56" i="5"/>
  <c r="Z56" i="5"/>
  <c r="N56" i="5"/>
  <c r="AB55" i="5"/>
  <c r="AC55" i="5" s="1"/>
  <c r="AA55" i="5"/>
  <c r="Z55" i="5"/>
  <c r="N55" i="5"/>
  <c r="AB54" i="5"/>
  <c r="AC54" i="5" s="1"/>
  <c r="AA54" i="5"/>
  <c r="Z54" i="5"/>
  <c r="N54" i="5"/>
  <c r="AB53" i="5"/>
  <c r="AC53" i="5" s="1"/>
  <c r="AA53" i="5"/>
  <c r="Z53" i="5"/>
  <c r="N53" i="5"/>
  <c r="AB52" i="5"/>
  <c r="AC52" i="5" s="1"/>
  <c r="AA52" i="5"/>
  <c r="Z52" i="5"/>
  <c r="N52" i="5"/>
  <c r="AB51" i="5"/>
  <c r="AC51" i="5" s="1"/>
  <c r="AA51" i="5"/>
  <c r="Z51" i="5"/>
  <c r="N51" i="5"/>
  <c r="AB50" i="5"/>
  <c r="AC50" i="5" s="1"/>
  <c r="AA50" i="5"/>
  <c r="Z50" i="5"/>
  <c r="N50" i="5"/>
  <c r="AB49" i="5"/>
  <c r="AC49" i="5" s="1"/>
  <c r="AA49" i="5"/>
  <c r="Z49" i="5"/>
  <c r="N49" i="5"/>
  <c r="AB48" i="5"/>
  <c r="AC48" i="5" s="1"/>
  <c r="AA48" i="5"/>
  <c r="Z48" i="5"/>
  <c r="N48" i="5"/>
  <c r="AB47" i="5"/>
  <c r="AC47" i="5" s="1"/>
  <c r="AA47" i="5"/>
  <c r="Z47" i="5"/>
  <c r="N47" i="5"/>
  <c r="AB46" i="5"/>
  <c r="AC46" i="5" s="1"/>
  <c r="AA46" i="5"/>
  <c r="Z46" i="5"/>
  <c r="N46" i="5"/>
  <c r="AB45" i="5"/>
  <c r="AC45" i="5" s="1"/>
  <c r="AA45" i="5"/>
  <c r="Z45" i="5"/>
  <c r="N45" i="5"/>
  <c r="AB44" i="5"/>
  <c r="AC44" i="5" s="1"/>
  <c r="AA44" i="5"/>
  <c r="Z44" i="5"/>
  <c r="N44" i="5"/>
  <c r="AB43" i="5"/>
  <c r="AC43" i="5" s="1"/>
  <c r="AA43" i="5"/>
  <c r="Z43" i="5"/>
  <c r="N43" i="5"/>
  <c r="AB42" i="5"/>
  <c r="AC42" i="5" s="1"/>
  <c r="AA42" i="5"/>
  <c r="Z42" i="5"/>
  <c r="N42" i="5"/>
  <c r="AB41" i="5"/>
  <c r="AC41" i="5" s="1"/>
  <c r="AA41" i="5"/>
  <c r="Z41" i="5"/>
  <c r="N41" i="5"/>
  <c r="AB40" i="5"/>
  <c r="AC40" i="5" s="1"/>
  <c r="AA40" i="5"/>
  <c r="Z40" i="5"/>
  <c r="N40" i="5"/>
  <c r="AB39" i="5"/>
  <c r="AC39" i="5" s="1"/>
  <c r="AA39" i="5"/>
  <c r="Z39" i="5"/>
  <c r="N39" i="5"/>
  <c r="AB38" i="5"/>
  <c r="AC38" i="5" s="1"/>
  <c r="AA38" i="5"/>
  <c r="Z38" i="5"/>
  <c r="N38" i="5"/>
  <c r="AB37" i="5"/>
  <c r="AC37" i="5" s="1"/>
  <c r="AA37" i="5"/>
  <c r="Z37" i="5"/>
  <c r="N37" i="5"/>
  <c r="AB36" i="5"/>
  <c r="AC36" i="5" s="1"/>
  <c r="AA36" i="5"/>
  <c r="Z36" i="5"/>
  <c r="N36" i="5"/>
  <c r="AB35" i="5"/>
  <c r="AC35" i="5" s="1"/>
  <c r="AA35" i="5"/>
  <c r="Z35" i="5"/>
  <c r="N35" i="5"/>
  <c r="AC34" i="5"/>
  <c r="AB34" i="5"/>
  <c r="AA34" i="5"/>
  <c r="Z34" i="5"/>
  <c r="N34" i="5"/>
  <c r="AB33" i="5"/>
  <c r="AC33" i="5" s="1"/>
  <c r="AA33" i="5"/>
  <c r="Z33" i="5"/>
  <c r="N33" i="5"/>
  <c r="AB32" i="5"/>
  <c r="AC32" i="5" s="1"/>
  <c r="AA32" i="5"/>
  <c r="Z32" i="5"/>
  <c r="N32" i="5"/>
  <c r="AB31" i="5"/>
  <c r="AC31" i="5" s="1"/>
  <c r="AA31" i="5"/>
  <c r="Z31" i="5"/>
  <c r="N31" i="5"/>
  <c r="AB30" i="5"/>
  <c r="AC30" i="5" s="1"/>
  <c r="AA30" i="5"/>
  <c r="Z30" i="5"/>
  <c r="N30" i="5"/>
  <c r="AB29" i="5"/>
  <c r="AC29" i="5" s="1"/>
  <c r="AA29" i="5"/>
  <c r="Z29" i="5"/>
  <c r="N29" i="5"/>
  <c r="AB28" i="5"/>
  <c r="AC28" i="5" s="1"/>
  <c r="AA28" i="5"/>
  <c r="Z28" i="5"/>
  <c r="N28" i="5"/>
  <c r="AB27" i="5"/>
  <c r="AC27" i="5" s="1"/>
  <c r="AA27" i="5"/>
  <c r="Z27" i="5"/>
  <c r="N27" i="5"/>
  <c r="AB26" i="5"/>
  <c r="AC26" i="5" s="1"/>
  <c r="AA26" i="5"/>
  <c r="Z26" i="5"/>
  <c r="N26" i="5"/>
  <c r="AB25" i="5"/>
  <c r="AC25" i="5" s="1"/>
  <c r="AA25" i="5"/>
  <c r="Z25" i="5"/>
  <c r="N25" i="5"/>
  <c r="AB24" i="5"/>
  <c r="AC24" i="5" s="1"/>
  <c r="AA24" i="5"/>
  <c r="Z24" i="5"/>
  <c r="N24" i="5"/>
  <c r="AB23" i="5"/>
  <c r="AC23" i="5" s="1"/>
  <c r="AA23" i="5"/>
  <c r="Z23" i="5"/>
  <c r="N23" i="5"/>
  <c r="AB22" i="5"/>
  <c r="AC22" i="5" s="1"/>
  <c r="AA22" i="5"/>
  <c r="Z22" i="5"/>
  <c r="N22" i="5"/>
  <c r="AB21" i="5"/>
  <c r="AC21" i="5" s="1"/>
  <c r="AA21" i="5"/>
  <c r="Z21" i="5"/>
  <c r="N21" i="5"/>
  <c r="AB20" i="5"/>
  <c r="AC20" i="5" s="1"/>
  <c r="AA20" i="5"/>
  <c r="Z20" i="5"/>
  <c r="N20" i="5"/>
  <c r="AB19" i="5"/>
  <c r="AC19" i="5" s="1"/>
  <c r="AA19" i="5"/>
  <c r="Z19" i="5"/>
  <c r="N19" i="5"/>
  <c r="AB18" i="5"/>
  <c r="AC18" i="5" s="1"/>
  <c r="AA18" i="5"/>
  <c r="Z18" i="5"/>
  <c r="N18" i="5"/>
  <c r="AC17" i="5"/>
  <c r="AB17" i="5"/>
  <c r="AA17" i="5"/>
  <c r="Z17" i="5"/>
  <c r="N17" i="5"/>
  <c r="AB16" i="5"/>
  <c r="AC16" i="5" s="1"/>
  <c r="AA16" i="5"/>
  <c r="Z16" i="5"/>
  <c r="N16" i="5"/>
  <c r="AB15" i="5"/>
  <c r="AC15" i="5" s="1"/>
  <c r="AA15" i="5"/>
  <c r="Z15" i="5"/>
  <c r="N15" i="5"/>
  <c r="AB14" i="5"/>
  <c r="AC14" i="5" s="1"/>
  <c r="AA14" i="5"/>
  <c r="Z14" i="5"/>
  <c r="N14" i="5"/>
  <c r="AB13" i="5"/>
  <c r="AC13" i="5" s="1"/>
  <c r="AA13" i="5"/>
  <c r="Z13" i="5"/>
  <c r="N13" i="5"/>
  <c r="AB12" i="5"/>
  <c r="AC12" i="5" s="1"/>
  <c r="AA12" i="5"/>
  <c r="Z12" i="5"/>
  <c r="N12" i="5"/>
  <c r="AB11" i="5"/>
  <c r="AC11" i="5" s="1"/>
  <c r="AA11" i="5"/>
  <c r="Z11" i="5"/>
  <c r="N11" i="5"/>
  <c r="AB10" i="5"/>
  <c r="AC10" i="5" s="1"/>
  <c r="AA10" i="5"/>
  <c r="Z10" i="5"/>
  <c r="N10" i="5"/>
  <c r="AB9" i="5"/>
  <c r="AC9" i="5" s="1"/>
  <c r="AA9" i="5"/>
  <c r="Z9" i="5"/>
  <c r="N9" i="5"/>
  <c r="AB8" i="5"/>
  <c r="AC8" i="5" s="1"/>
  <c r="AA8" i="5"/>
  <c r="Z8" i="5"/>
  <c r="N8" i="5"/>
  <c r="AB7" i="5"/>
  <c r="AC7" i="5" s="1"/>
  <c r="AA7" i="5"/>
  <c r="Z7" i="5"/>
  <c r="N7" i="5"/>
  <c r="AB6" i="5"/>
  <c r="AC6" i="5" s="1"/>
  <c r="N6" i="5"/>
  <c r="P505" i="4"/>
  <c r="Q505" i="4" s="1"/>
  <c r="P504" i="4"/>
  <c r="Q504" i="4" s="1"/>
  <c r="P503" i="4"/>
  <c r="Q503" i="4" s="1"/>
  <c r="P502" i="4"/>
  <c r="Q502" i="4" s="1"/>
  <c r="P501" i="4"/>
  <c r="Q501" i="4" s="1"/>
  <c r="P500" i="4"/>
  <c r="Q500" i="4" s="1"/>
  <c r="P499" i="4"/>
  <c r="Q499" i="4" s="1"/>
  <c r="P498" i="4"/>
  <c r="Q498" i="4" s="1"/>
  <c r="P497" i="4"/>
  <c r="Q497" i="4" s="1"/>
  <c r="Q496" i="4"/>
  <c r="P496" i="4"/>
  <c r="P495" i="4"/>
  <c r="Q495" i="4" s="1"/>
  <c r="P494" i="4"/>
  <c r="Q494" i="4" s="1"/>
  <c r="P493" i="4"/>
  <c r="Q493" i="4" s="1"/>
  <c r="Q492" i="4"/>
  <c r="P492" i="4"/>
  <c r="P491" i="4"/>
  <c r="Q491" i="4" s="1"/>
  <c r="P490" i="4"/>
  <c r="Q490" i="4" s="1"/>
  <c r="P489" i="4"/>
  <c r="Q489" i="4" s="1"/>
  <c r="P488" i="4"/>
  <c r="Q488" i="4" s="1"/>
  <c r="P487" i="4"/>
  <c r="Q487" i="4" s="1"/>
  <c r="P486" i="4"/>
  <c r="Q486" i="4" s="1"/>
  <c r="P485" i="4"/>
  <c r="Q485" i="4" s="1"/>
  <c r="P484" i="4"/>
  <c r="Q484" i="4" s="1"/>
  <c r="P483" i="4"/>
  <c r="Q483" i="4" s="1"/>
  <c r="P482" i="4"/>
  <c r="Q482" i="4" s="1"/>
  <c r="P481" i="4"/>
  <c r="Q481" i="4" s="1"/>
  <c r="P480" i="4"/>
  <c r="Q480" i="4" s="1"/>
  <c r="P479" i="4"/>
  <c r="Q479" i="4" s="1"/>
  <c r="P478" i="4"/>
  <c r="Q478" i="4" s="1"/>
  <c r="P477" i="4"/>
  <c r="Q477" i="4" s="1"/>
  <c r="P476" i="4"/>
  <c r="Q476" i="4" s="1"/>
  <c r="P475" i="4"/>
  <c r="Q475" i="4" s="1"/>
  <c r="P474" i="4"/>
  <c r="Q474" i="4" s="1"/>
  <c r="P473" i="4"/>
  <c r="Q473" i="4" s="1"/>
  <c r="P472" i="4"/>
  <c r="Q472" i="4" s="1"/>
  <c r="Q471" i="4"/>
  <c r="P471" i="4"/>
  <c r="P470" i="4"/>
  <c r="Q470" i="4" s="1"/>
  <c r="P469" i="4"/>
  <c r="Q469" i="4" s="1"/>
  <c r="P468" i="4"/>
  <c r="Q468" i="4" s="1"/>
  <c r="P467" i="4"/>
  <c r="Q467" i="4" s="1"/>
  <c r="P466" i="4"/>
  <c r="Q466" i="4" s="1"/>
  <c r="P465" i="4"/>
  <c r="Q465" i="4" s="1"/>
  <c r="P464" i="4"/>
  <c r="Q464" i="4" s="1"/>
  <c r="P463" i="4"/>
  <c r="Q463" i="4" s="1"/>
  <c r="P462" i="4"/>
  <c r="Q462" i="4" s="1"/>
  <c r="P461" i="4"/>
  <c r="Q461" i="4" s="1"/>
  <c r="P460" i="4"/>
  <c r="Q460" i="4" s="1"/>
  <c r="P459" i="4"/>
  <c r="Q459" i="4" s="1"/>
  <c r="P458" i="4"/>
  <c r="Q458" i="4" s="1"/>
  <c r="P457" i="4"/>
  <c r="Q457" i="4" s="1"/>
  <c r="P456" i="4"/>
  <c r="Q456" i="4" s="1"/>
  <c r="P455" i="4"/>
  <c r="Q455" i="4" s="1"/>
  <c r="P454" i="4"/>
  <c r="Q454" i="4" s="1"/>
  <c r="P453" i="4"/>
  <c r="Q453" i="4" s="1"/>
  <c r="P452" i="4"/>
  <c r="Q452" i="4" s="1"/>
  <c r="P451" i="4"/>
  <c r="Q451" i="4" s="1"/>
  <c r="P450" i="4"/>
  <c r="Q450" i="4" s="1"/>
  <c r="P449" i="4"/>
  <c r="Q449" i="4" s="1"/>
  <c r="P448" i="4"/>
  <c r="Q448" i="4" s="1"/>
  <c r="Q447" i="4"/>
  <c r="P447" i="4"/>
  <c r="P446" i="4"/>
  <c r="Q446" i="4" s="1"/>
  <c r="P445" i="4"/>
  <c r="Q445" i="4" s="1"/>
  <c r="P444" i="4"/>
  <c r="Q444" i="4" s="1"/>
  <c r="P443" i="4"/>
  <c r="Q443" i="4" s="1"/>
  <c r="P442" i="4"/>
  <c r="Q442" i="4" s="1"/>
  <c r="P441" i="4"/>
  <c r="Q441" i="4" s="1"/>
  <c r="P440" i="4"/>
  <c r="Q440" i="4" s="1"/>
  <c r="P439" i="4"/>
  <c r="Q439" i="4" s="1"/>
  <c r="P438" i="4"/>
  <c r="Q438" i="4" s="1"/>
  <c r="P437" i="4"/>
  <c r="Q437" i="4" s="1"/>
  <c r="P436" i="4"/>
  <c r="Q436" i="4" s="1"/>
  <c r="Q435" i="4"/>
  <c r="P435" i="4"/>
  <c r="P434" i="4"/>
  <c r="Q434" i="4" s="1"/>
  <c r="P433" i="4"/>
  <c r="Q433" i="4" s="1"/>
  <c r="P432" i="4"/>
  <c r="Q432" i="4" s="1"/>
  <c r="P431" i="4"/>
  <c r="Q431" i="4" s="1"/>
  <c r="P430" i="4"/>
  <c r="Q430" i="4" s="1"/>
  <c r="P429" i="4"/>
  <c r="Q429" i="4" s="1"/>
  <c r="P428" i="4"/>
  <c r="Q428" i="4" s="1"/>
  <c r="P427" i="4"/>
  <c r="Q427" i="4" s="1"/>
  <c r="P426" i="4"/>
  <c r="Q426" i="4" s="1"/>
  <c r="P425" i="4"/>
  <c r="Q425" i="4" s="1"/>
  <c r="P424" i="4"/>
  <c r="Q424" i="4" s="1"/>
  <c r="P423" i="4"/>
  <c r="Q423" i="4" s="1"/>
  <c r="P422" i="4"/>
  <c r="Q422" i="4" s="1"/>
  <c r="P421" i="4"/>
  <c r="Q421" i="4" s="1"/>
  <c r="P420" i="4"/>
  <c r="Q420" i="4" s="1"/>
  <c r="P419" i="4"/>
  <c r="Q419" i="4" s="1"/>
  <c r="P418" i="4"/>
  <c r="Q418" i="4" s="1"/>
  <c r="P417" i="4"/>
  <c r="Q417" i="4" s="1"/>
  <c r="P416" i="4"/>
  <c r="Q416" i="4" s="1"/>
  <c r="P415" i="4"/>
  <c r="Q415" i="4" s="1"/>
  <c r="P414" i="4"/>
  <c r="Q414" i="4" s="1"/>
  <c r="P413" i="4"/>
  <c r="Q413" i="4" s="1"/>
  <c r="P412" i="4"/>
  <c r="Q412" i="4" s="1"/>
  <c r="P411" i="4"/>
  <c r="Q411" i="4" s="1"/>
  <c r="P410" i="4"/>
  <c r="Q410" i="4" s="1"/>
  <c r="P409" i="4"/>
  <c r="Q409" i="4" s="1"/>
  <c r="P408" i="4"/>
  <c r="Q408" i="4" s="1"/>
  <c r="P407" i="4"/>
  <c r="Q407" i="4" s="1"/>
  <c r="P406" i="4"/>
  <c r="Q406" i="4" s="1"/>
  <c r="P405" i="4"/>
  <c r="Q405" i="4" s="1"/>
  <c r="P404" i="4"/>
  <c r="Q404" i="4" s="1"/>
  <c r="P403" i="4"/>
  <c r="Q403" i="4" s="1"/>
  <c r="P402" i="4"/>
  <c r="Q402" i="4" s="1"/>
  <c r="P401" i="4"/>
  <c r="Q401" i="4" s="1"/>
  <c r="P400" i="4"/>
  <c r="Q400" i="4" s="1"/>
  <c r="P399" i="4"/>
  <c r="Q399" i="4" s="1"/>
  <c r="P398" i="4"/>
  <c r="Q398" i="4" s="1"/>
  <c r="P397" i="4"/>
  <c r="Q397" i="4" s="1"/>
  <c r="Q396" i="4"/>
  <c r="P396" i="4"/>
  <c r="P395" i="4"/>
  <c r="Q395" i="4" s="1"/>
  <c r="P394" i="4"/>
  <c r="Q394" i="4" s="1"/>
  <c r="P393" i="4"/>
  <c r="Q393" i="4" s="1"/>
  <c r="P392" i="4"/>
  <c r="Q392" i="4" s="1"/>
  <c r="P391" i="4"/>
  <c r="Q391" i="4" s="1"/>
  <c r="P390" i="4"/>
  <c r="Q390" i="4" s="1"/>
  <c r="P389" i="4"/>
  <c r="Q389" i="4" s="1"/>
  <c r="P388" i="4"/>
  <c r="Q388" i="4" s="1"/>
  <c r="P387" i="4"/>
  <c r="Q387" i="4" s="1"/>
  <c r="P386" i="4"/>
  <c r="Q386" i="4" s="1"/>
  <c r="P385" i="4"/>
  <c r="Q385" i="4" s="1"/>
  <c r="P384" i="4"/>
  <c r="Q384" i="4" s="1"/>
  <c r="P383" i="4"/>
  <c r="Q383" i="4" s="1"/>
  <c r="Q382" i="4"/>
  <c r="P382" i="4"/>
  <c r="P381" i="4"/>
  <c r="Q381" i="4" s="1"/>
  <c r="P380" i="4"/>
  <c r="Q380" i="4" s="1"/>
  <c r="P379" i="4"/>
  <c r="Q379" i="4" s="1"/>
  <c r="P378" i="4"/>
  <c r="Q378" i="4" s="1"/>
  <c r="P377" i="4"/>
  <c r="Q377" i="4" s="1"/>
  <c r="P376" i="4"/>
  <c r="Q376" i="4" s="1"/>
  <c r="P375" i="4"/>
  <c r="Q375" i="4" s="1"/>
  <c r="P374" i="4"/>
  <c r="Q374" i="4" s="1"/>
  <c r="P373" i="4"/>
  <c r="Q373" i="4" s="1"/>
  <c r="P372" i="4"/>
  <c r="Q372" i="4" s="1"/>
  <c r="P371" i="4"/>
  <c r="Q371" i="4" s="1"/>
  <c r="P370" i="4"/>
  <c r="Q370" i="4" s="1"/>
  <c r="P369" i="4"/>
  <c r="Q369" i="4" s="1"/>
  <c r="P368" i="4"/>
  <c r="Q368" i="4" s="1"/>
  <c r="P367" i="4"/>
  <c r="Q367" i="4" s="1"/>
  <c r="P366" i="4"/>
  <c r="Q366" i="4" s="1"/>
  <c r="P365" i="4"/>
  <c r="Q365" i="4" s="1"/>
  <c r="P364" i="4"/>
  <c r="Q364" i="4" s="1"/>
  <c r="P363" i="4"/>
  <c r="Q363" i="4" s="1"/>
  <c r="P362" i="4"/>
  <c r="Q362" i="4" s="1"/>
  <c r="P361" i="4"/>
  <c r="Q361" i="4" s="1"/>
  <c r="P360" i="4"/>
  <c r="Q360" i="4" s="1"/>
  <c r="P359" i="4"/>
  <c r="Q359" i="4" s="1"/>
  <c r="P358" i="4"/>
  <c r="Q358" i="4" s="1"/>
  <c r="P357" i="4"/>
  <c r="Q357" i="4" s="1"/>
  <c r="P356" i="4"/>
  <c r="Q356" i="4" s="1"/>
  <c r="P355" i="4"/>
  <c r="Q355" i="4" s="1"/>
  <c r="P354" i="4"/>
  <c r="Q354" i="4" s="1"/>
  <c r="P353" i="4"/>
  <c r="Q353" i="4" s="1"/>
  <c r="P352" i="4"/>
  <c r="Q352" i="4" s="1"/>
  <c r="P351" i="4"/>
  <c r="Q351" i="4" s="1"/>
  <c r="P350" i="4"/>
  <c r="Q350" i="4" s="1"/>
  <c r="P349" i="4"/>
  <c r="Q349" i="4" s="1"/>
  <c r="P348" i="4"/>
  <c r="Q348" i="4" s="1"/>
  <c r="P347" i="4"/>
  <c r="Q347" i="4" s="1"/>
  <c r="P346" i="4"/>
  <c r="Q346" i="4" s="1"/>
  <c r="P345" i="4"/>
  <c r="Q345" i="4" s="1"/>
  <c r="P344" i="4"/>
  <c r="Q344" i="4" s="1"/>
  <c r="P343" i="4"/>
  <c r="Q343" i="4" s="1"/>
  <c r="Q342" i="4"/>
  <c r="P342" i="4"/>
  <c r="P341" i="4"/>
  <c r="Q341" i="4" s="1"/>
  <c r="P340" i="4"/>
  <c r="Q340" i="4" s="1"/>
  <c r="P339" i="4"/>
  <c r="Q339" i="4" s="1"/>
  <c r="P338" i="4"/>
  <c r="Q338" i="4" s="1"/>
  <c r="P337" i="4"/>
  <c r="Q337" i="4" s="1"/>
  <c r="P336" i="4"/>
  <c r="Q336" i="4" s="1"/>
  <c r="P335" i="4"/>
  <c r="Q335" i="4" s="1"/>
  <c r="P334" i="4"/>
  <c r="Q334" i="4" s="1"/>
  <c r="P333" i="4"/>
  <c r="Q333" i="4" s="1"/>
  <c r="P332" i="4"/>
  <c r="Q332" i="4" s="1"/>
  <c r="Q331" i="4"/>
  <c r="P331" i="4"/>
  <c r="P330" i="4"/>
  <c r="Q330" i="4" s="1"/>
  <c r="P329" i="4"/>
  <c r="Q329" i="4" s="1"/>
  <c r="P328" i="4"/>
  <c r="Q328" i="4" s="1"/>
  <c r="P327" i="4"/>
  <c r="Q327" i="4" s="1"/>
  <c r="P326" i="4"/>
  <c r="Q326" i="4" s="1"/>
  <c r="P325" i="4"/>
  <c r="Q325" i="4" s="1"/>
  <c r="P324" i="4"/>
  <c r="Q324" i="4" s="1"/>
  <c r="P323" i="4"/>
  <c r="Q323" i="4" s="1"/>
  <c r="P322" i="4"/>
  <c r="Q322" i="4" s="1"/>
  <c r="P321" i="4"/>
  <c r="Q321" i="4" s="1"/>
  <c r="P320" i="4"/>
  <c r="Q320" i="4" s="1"/>
  <c r="P319" i="4"/>
  <c r="Q319" i="4" s="1"/>
  <c r="P318" i="4"/>
  <c r="Q318" i="4" s="1"/>
  <c r="P317" i="4"/>
  <c r="Q317" i="4" s="1"/>
  <c r="P316" i="4"/>
  <c r="Q316" i="4" s="1"/>
  <c r="P315" i="4"/>
  <c r="Q315" i="4" s="1"/>
  <c r="P314" i="4"/>
  <c r="Q314" i="4" s="1"/>
  <c r="P313" i="4"/>
  <c r="Q313" i="4" s="1"/>
  <c r="P312" i="4"/>
  <c r="Q312" i="4" s="1"/>
  <c r="P311" i="4"/>
  <c r="Q311" i="4" s="1"/>
  <c r="P310" i="4"/>
  <c r="Q310" i="4" s="1"/>
  <c r="P309" i="4"/>
  <c r="Q309" i="4" s="1"/>
  <c r="P308" i="4"/>
  <c r="Q308" i="4" s="1"/>
  <c r="P307" i="4"/>
  <c r="Q307" i="4" s="1"/>
  <c r="P306" i="4"/>
  <c r="Q306" i="4" s="1"/>
  <c r="P305" i="4"/>
  <c r="Q305" i="4" s="1"/>
  <c r="P304" i="4"/>
  <c r="Q304" i="4" s="1"/>
  <c r="P303" i="4"/>
  <c r="Q303" i="4" s="1"/>
  <c r="P302" i="4"/>
  <c r="Q302" i="4" s="1"/>
  <c r="P301" i="4"/>
  <c r="Q301" i="4" s="1"/>
  <c r="P300" i="4"/>
  <c r="Q300" i="4" s="1"/>
  <c r="P299" i="4"/>
  <c r="Q299" i="4" s="1"/>
  <c r="P298" i="4"/>
  <c r="Q298" i="4" s="1"/>
  <c r="P297" i="4"/>
  <c r="Q297" i="4" s="1"/>
  <c r="Q296" i="4"/>
  <c r="P296" i="4"/>
  <c r="P295" i="4"/>
  <c r="Q295" i="4" s="1"/>
  <c r="P294" i="4"/>
  <c r="Q294" i="4" s="1"/>
  <c r="P293" i="4"/>
  <c r="Q293" i="4" s="1"/>
  <c r="P292" i="4"/>
  <c r="Q292" i="4" s="1"/>
  <c r="P291" i="4"/>
  <c r="Q291" i="4" s="1"/>
  <c r="P290" i="4"/>
  <c r="Q290" i="4" s="1"/>
  <c r="P289" i="4"/>
  <c r="Q289" i="4" s="1"/>
  <c r="P288" i="4"/>
  <c r="Q288" i="4" s="1"/>
  <c r="P287" i="4"/>
  <c r="Q287" i="4" s="1"/>
  <c r="P286" i="4"/>
  <c r="Q286" i="4" s="1"/>
  <c r="P285" i="4"/>
  <c r="Q285" i="4" s="1"/>
  <c r="P284" i="4"/>
  <c r="Q284" i="4" s="1"/>
  <c r="P283" i="4"/>
  <c r="Q283" i="4" s="1"/>
  <c r="P282" i="4"/>
  <c r="Q282" i="4" s="1"/>
  <c r="P281" i="4"/>
  <c r="Q281" i="4" s="1"/>
  <c r="P280" i="4"/>
  <c r="Q280" i="4" s="1"/>
  <c r="P279" i="4"/>
  <c r="Q279" i="4" s="1"/>
  <c r="P278" i="4"/>
  <c r="Q278" i="4" s="1"/>
  <c r="P277" i="4"/>
  <c r="Q277" i="4" s="1"/>
  <c r="Q276" i="4"/>
  <c r="P276" i="4"/>
  <c r="P275" i="4"/>
  <c r="Q275" i="4" s="1"/>
  <c r="P274" i="4"/>
  <c r="Q274" i="4" s="1"/>
  <c r="P273" i="4"/>
  <c r="Q273" i="4" s="1"/>
  <c r="P272" i="4"/>
  <c r="Q272" i="4" s="1"/>
  <c r="P271" i="4"/>
  <c r="Q271" i="4" s="1"/>
  <c r="P270" i="4"/>
  <c r="Q270" i="4" s="1"/>
  <c r="P269" i="4"/>
  <c r="Q269" i="4" s="1"/>
  <c r="P268" i="4"/>
  <c r="Q268" i="4" s="1"/>
  <c r="P267" i="4"/>
  <c r="Q267" i="4" s="1"/>
  <c r="P266" i="4"/>
  <c r="Q266" i="4" s="1"/>
  <c r="P265" i="4"/>
  <c r="Q265" i="4" s="1"/>
  <c r="P264" i="4"/>
  <c r="Q264" i="4" s="1"/>
  <c r="P263" i="4"/>
  <c r="Q263" i="4" s="1"/>
  <c r="P262" i="4"/>
  <c r="Q262" i="4" s="1"/>
  <c r="P261" i="4"/>
  <c r="Q261" i="4" s="1"/>
  <c r="P260" i="4"/>
  <c r="Q260" i="4" s="1"/>
  <c r="P259" i="4"/>
  <c r="Q259" i="4" s="1"/>
  <c r="P258" i="4"/>
  <c r="Q258" i="4" s="1"/>
  <c r="P257" i="4"/>
  <c r="Q257" i="4" s="1"/>
  <c r="P256" i="4"/>
  <c r="Q256" i="4" s="1"/>
  <c r="Q255" i="4"/>
  <c r="P255" i="4"/>
  <c r="P254" i="4"/>
  <c r="Q254" i="4" s="1"/>
  <c r="P253" i="4"/>
  <c r="Q253" i="4" s="1"/>
  <c r="P252" i="4"/>
  <c r="Q252" i="4" s="1"/>
  <c r="P251" i="4"/>
  <c r="Q251" i="4" s="1"/>
  <c r="P250" i="4"/>
  <c r="Q250" i="4" s="1"/>
  <c r="P249" i="4"/>
  <c r="Q249" i="4" s="1"/>
  <c r="P248" i="4"/>
  <c r="Q248" i="4" s="1"/>
  <c r="P247" i="4"/>
  <c r="Q247" i="4" s="1"/>
  <c r="P246" i="4"/>
  <c r="Q246" i="4" s="1"/>
  <c r="P245" i="4"/>
  <c r="Q245" i="4" s="1"/>
  <c r="P244" i="4"/>
  <c r="Q244" i="4" s="1"/>
  <c r="P243" i="4"/>
  <c r="Q243" i="4" s="1"/>
  <c r="P242" i="4"/>
  <c r="Q242" i="4" s="1"/>
  <c r="P241" i="4"/>
  <c r="Q241" i="4" s="1"/>
  <c r="P240" i="4"/>
  <c r="Q240" i="4" s="1"/>
  <c r="P239" i="4"/>
  <c r="Q239" i="4" s="1"/>
  <c r="P238" i="4"/>
  <c r="Q238" i="4" s="1"/>
  <c r="P237" i="4"/>
  <c r="Q237" i="4" s="1"/>
  <c r="P236" i="4"/>
  <c r="Q236" i="4" s="1"/>
  <c r="P235" i="4"/>
  <c r="Q235" i="4" s="1"/>
  <c r="P234" i="4"/>
  <c r="Q234" i="4" s="1"/>
  <c r="P233" i="4"/>
  <c r="Q233" i="4" s="1"/>
  <c r="Q232" i="4"/>
  <c r="P232" i="4"/>
  <c r="P231" i="4"/>
  <c r="Q231" i="4" s="1"/>
  <c r="P230" i="4"/>
  <c r="Q230" i="4" s="1"/>
  <c r="P229" i="4"/>
  <c r="Q229" i="4" s="1"/>
  <c r="P228" i="4"/>
  <c r="Q228" i="4" s="1"/>
  <c r="P227" i="4"/>
  <c r="Q227" i="4" s="1"/>
  <c r="P226" i="4"/>
  <c r="Q226" i="4" s="1"/>
  <c r="P225" i="4"/>
  <c r="Q225" i="4" s="1"/>
  <c r="P224" i="4"/>
  <c r="Q224" i="4" s="1"/>
  <c r="P223" i="4"/>
  <c r="Q223" i="4" s="1"/>
  <c r="P222" i="4"/>
  <c r="Q222" i="4" s="1"/>
  <c r="P221" i="4"/>
  <c r="Q221" i="4" s="1"/>
  <c r="P220" i="4"/>
  <c r="Q220" i="4" s="1"/>
  <c r="P219" i="4"/>
  <c r="Q219" i="4" s="1"/>
  <c r="P218" i="4"/>
  <c r="Q218" i="4" s="1"/>
  <c r="P217" i="4"/>
  <c r="Q217" i="4" s="1"/>
  <c r="P216" i="4"/>
  <c r="Q216" i="4" s="1"/>
  <c r="P215" i="4"/>
  <c r="Q215" i="4" s="1"/>
  <c r="P214" i="4"/>
  <c r="Q214" i="4" s="1"/>
  <c r="P213" i="4"/>
  <c r="Q213" i="4" s="1"/>
  <c r="P212" i="4"/>
  <c r="Q212" i="4" s="1"/>
  <c r="P211" i="4"/>
  <c r="Q211" i="4" s="1"/>
  <c r="P210" i="4"/>
  <c r="Q210" i="4" s="1"/>
  <c r="P209" i="4"/>
  <c r="Q209" i="4" s="1"/>
  <c r="P208" i="4"/>
  <c r="Q208" i="4" s="1"/>
  <c r="P207" i="4"/>
  <c r="Q207" i="4" s="1"/>
  <c r="P206" i="4"/>
  <c r="Q206" i="4" s="1"/>
  <c r="P205" i="4"/>
  <c r="Q205" i="4" s="1"/>
  <c r="P204" i="4"/>
  <c r="Q204" i="4" s="1"/>
  <c r="P203" i="4"/>
  <c r="Q203" i="4" s="1"/>
  <c r="P202" i="4"/>
  <c r="Q202" i="4" s="1"/>
  <c r="P201" i="4"/>
  <c r="Q201" i="4" s="1"/>
  <c r="P200" i="4"/>
  <c r="Q200" i="4" s="1"/>
  <c r="P199" i="4"/>
  <c r="Q199" i="4" s="1"/>
  <c r="P198" i="4"/>
  <c r="Q198" i="4" s="1"/>
  <c r="P197" i="4"/>
  <c r="Q197" i="4" s="1"/>
  <c r="P196" i="4"/>
  <c r="Q196" i="4" s="1"/>
  <c r="P195" i="4"/>
  <c r="Q195" i="4" s="1"/>
  <c r="P194" i="4"/>
  <c r="Q194" i="4" s="1"/>
  <c r="P193" i="4"/>
  <c r="Q193" i="4" s="1"/>
  <c r="P192" i="4"/>
  <c r="Q192" i="4" s="1"/>
  <c r="P191" i="4"/>
  <c r="Q191" i="4" s="1"/>
  <c r="P190" i="4"/>
  <c r="Q190" i="4" s="1"/>
  <c r="P189" i="4"/>
  <c r="Q189" i="4" s="1"/>
  <c r="P188" i="4"/>
  <c r="Q188" i="4" s="1"/>
  <c r="P187" i="4"/>
  <c r="Q187" i="4" s="1"/>
  <c r="P186" i="4"/>
  <c r="Q186" i="4" s="1"/>
  <c r="P185" i="4"/>
  <c r="Q185" i="4" s="1"/>
  <c r="P184" i="4"/>
  <c r="Q184" i="4" s="1"/>
  <c r="P183" i="4"/>
  <c r="Q183" i="4" s="1"/>
  <c r="P182" i="4"/>
  <c r="Q182" i="4" s="1"/>
  <c r="P181" i="4"/>
  <c r="Q181" i="4" s="1"/>
  <c r="P180" i="4"/>
  <c r="Q180" i="4" s="1"/>
  <c r="P179" i="4"/>
  <c r="Q179" i="4" s="1"/>
  <c r="P178" i="4"/>
  <c r="Q178" i="4" s="1"/>
  <c r="P177" i="4"/>
  <c r="Q177" i="4" s="1"/>
  <c r="P176" i="4"/>
  <c r="Q176" i="4" s="1"/>
  <c r="P175" i="4"/>
  <c r="Q175" i="4" s="1"/>
  <c r="P174" i="4"/>
  <c r="Q174" i="4" s="1"/>
  <c r="P173" i="4"/>
  <c r="Q173" i="4" s="1"/>
  <c r="P172" i="4"/>
  <c r="Q172" i="4" s="1"/>
  <c r="P171" i="4"/>
  <c r="Q171" i="4" s="1"/>
  <c r="P170" i="4"/>
  <c r="Q170" i="4" s="1"/>
  <c r="P169" i="4"/>
  <c r="Q169" i="4" s="1"/>
  <c r="P168" i="4"/>
  <c r="Q168" i="4" s="1"/>
  <c r="P167" i="4"/>
  <c r="Q167" i="4" s="1"/>
  <c r="P166" i="4"/>
  <c r="Q166" i="4" s="1"/>
  <c r="P165" i="4"/>
  <c r="Q165" i="4" s="1"/>
  <c r="P164" i="4"/>
  <c r="Q164" i="4" s="1"/>
  <c r="P163" i="4"/>
  <c r="Q163" i="4" s="1"/>
  <c r="P162" i="4"/>
  <c r="Q162" i="4" s="1"/>
  <c r="P161" i="4"/>
  <c r="Q161" i="4" s="1"/>
  <c r="P160" i="4"/>
  <c r="Q160" i="4" s="1"/>
  <c r="P159" i="4"/>
  <c r="Q159" i="4" s="1"/>
  <c r="P158" i="4"/>
  <c r="Q158" i="4" s="1"/>
  <c r="P157" i="4"/>
  <c r="Q157" i="4" s="1"/>
  <c r="P156" i="4"/>
  <c r="Q156" i="4" s="1"/>
  <c r="P155" i="4"/>
  <c r="Q155" i="4" s="1"/>
  <c r="P154" i="4"/>
  <c r="Q154" i="4" s="1"/>
  <c r="P153" i="4"/>
  <c r="Q153" i="4" s="1"/>
  <c r="P152" i="4"/>
  <c r="Q152" i="4" s="1"/>
  <c r="P151" i="4"/>
  <c r="Q151" i="4" s="1"/>
  <c r="P150" i="4"/>
  <c r="Q150" i="4" s="1"/>
  <c r="P149" i="4"/>
  <c r="Q149" i="4" s="1"/>
  <c r="P148" i="4"/>
  <c r="Q148" i="4" s="1"/>
  <c r="P147" i="4"/>
  <c r="Q147" i="4" s="1"/>
  <c r="P146" i="4"/>
  <c r="Q146" i="4" s="1"/>
  <c r="P145" i="4"/>
  <c r="Q145" i="4" s="1"/>
  <c r="P144" i="4"/>
  <c r="Q144" i="4" s="1"/>
  <c r="P143" i="4"/>
  <c r="Q143" i="4" s="1"/>
  <c r="P142" i="4"/>
  <c r="Q142" i="4" s="1"/>
  <c r="P141" i="4"/>
  <c r="Q141" i="4" s="1"/>
  <c r="P140" i="4"/>
  <c r="Q140" i="4" s="1"/>
  <c r="P139" i="4"/>
  <c r="Q139" i="4" s="1"/>
  <c r="P138" i="4"/>
  <c r="Q138" i="4" s="1"/>
  <c r="P137" i="4"/>
  <c r="Q137" i="4" s="1"/>
  <c r="P136" i="4"/>
  <c r="Q136" i="4" s="1"/>
  <c r="P135" i="4"/>
  <c r="Q135" i="4" s="1"/>
  <c r="P134" i="4"/>
  <c r="Q134" i="4" s="1"/>
  <c r="P133" i="4"/>
  <c r="Q133" i="4" s="1"/>
  <c r="P132" i="4"/>
  <c r="Q132" i="4" s="1"/>
  <c r="P131" i="4"/>
  <c r="Q131" i="4" s="1"/>
  <c r="P130" i="4"/>
  <c r="Q130" i="4" s="1"/>
  <c r="P129" i="4"/>
  <c r="Q129" i="4" s="1"/>
  <c r="P128" i="4"/>
  <c r="Q128" i="4" s="1"/>
  <c r="P127" i="4"/>
  <c r="Q127" i="4" s="1"/>
  <c r="P126" i="4"/>
  <c r="Q126" i="4" s="1"/>
  <c r="P125" i="4"/>
  <c r="Q125" i="4" s="1"/>
  <c r="P124" i="4"/>
  <c r="Q124" i="4" s="1"/>
  <c r="P123" i="4"/>
  <c r="Q123" i="4" s="1"/>
  <c r="P122" i="4"/>
  <c r="Q122" i="4" s="1"/>
  <c r="P121" i="4"/>
  <c r="Q121" i="4" s="1"/>
  <c r="P120" i="4"/>
  <c r="Q120" i="4" s="1"/>
  <c r="P119" i="4"/>
  <c r="Q119" i="4" s="1"/>
  <c r="P118" i="4"/>
  <c r="Q118" i="4" s="1"/>
  <c r="P117" i="4"/>
  <c r="Q117" i="4" s="1"/>
  <c r="P116" i="4"/>
  <c r="Q116" i="4" s="1"/>
  <c r="P115" i="4"/>
  <c r="Q115" i="4" s="1"/>
  <c r="P114" i="4"/>
  <c r="Q114" i="4" s="1"/>
  <c r="P113" i="4"/>
  <c r="Q113" i="4" s="1"/>
  <c r="P112" i="4"/>
  <c r="Q112" i="4" s="1"/>
  <c r="P111" i="4"/>
  <c r="Q111" i="4" s="1"/>
  <c r="P110" i="4"/>
  <c r="Q110" i="4" s="1"/>
  <c r="P109" i="4"/>
  <c r="Q109" i="4" s="1"/>
  <c r="P108" i="4"/>
  <c r="Q108" i="4" s="1"/>
  <c r="P107" i="4"/>
  <c r="Q107" i="4" s="1"/>
  <c r="P106" i="4"/>
  <c r="Q106" i="4" s="1"/>
  <c r="P105" i="4"/>
  <c r="Q105" i="4" s="1"/>
  <c r="P104" i="4"/>
  <c r="Q104" i="4" s="1"/>
  <c r="P103" i="4"/>
  <c r="Q103" i="4" s="1"/>
  <c r="P102" i="4"/>
  <c r="Q102" i="4" s="1"/>
  <c r="P101" i="4"/>
  <c r="Q101" i="4" s="1"/>
  <c r="P100" i="4"/>
  <c r="Q100" i="4" s="1"/>
  <c r="P99" i="4"/>
  <c r="Q99" i="4" s="1"/>
  <c r="P98" i="4"/>
  <c r="Q98" i="4" s="1"/>
  <c r="P97" i="4"/>
  <c r="Q97" i="4" s="1"/>
  <c r="P96" i="4"/>
  <c r="Q96" i="4" s="1"/>
  <c r="P95" i="4"/>
  <c r="Q95" i="4" s="1"/>
  <c r="P94" i="4"/>
  <c r="Q94" i="4" s="1"/>
  <c r="Q93" i="4"/>
  <c r="P93" i="4"/>
  <c r="P92" i="4"/>
  <c r="Q92" i="4" s="1"/>
  <c r="P91" i="4"/>
  <c r="Q91" i="4" s="1"/>
  <c r="P90" i="4"/>
  <c r="Q90" i="4" s="1"/>
  <c r="P89" i="4"/>
  <c r="Q89" i="4" s="1"/>
  <c r="P88" i="4"/>
  <c r="Q88" i="4" s="1"/>
  <c r="P87" i="4"/>
  <c r="Q87" i="4" s="1"/>
  <c r="P86" i="4"/>
  <c r="Q86" i="4" s="1"/>
  <c r="P85" i="4"/>
  <c r="Q85" i="4" s="1"/>
  <c r="P84" i="4"/>
  <c r="Q84" i="4" s="1"/>
  <c r="P83" i="4"/>
  <c r="Q83" i="4" s="1"/>
  <c r="P82" i="4"/>
  <c r="Q82" i="4" s="1"/>
  <c r="P81" i="4"/>
  <c r="Q81" i="4" s="1"/>
  <c r="P80" i="4"/>
  <c r="Q80" i="4" s="1"/>
  <c r="P79" i="4"/>
  <c r="Q79" i="4" s="1"/>
  <c r="P78" i="4"/>
  <c r="Q78" i="4" s="1"/>
  <c r="P77" i="4"/>
  <c r="Q77" i="4" s="1"/>
  <c r="P76" i="4"/>
  <c r="Q76" i="4" s="1"/>
  <c r="P75" i="4"/>
  <c r="Q75" i="4" s="1"/>
  <c r="P74" i="4"/>
  <c r="Q74" i="4" s="1"/>
  <c r="P73" i="4"/>
  <c r="Q73" i="4" s="1"/>
  <c r="P72" i="4"/>
  <c r="Q72" i="4" s="1"/>
  <c r="Q71" i="4"/>
  <c r="P71" i="4"/>
  <c r="P70" i="4"/>
  <c r="Q70" i="4" s="1"/>
  <c r="P69" i="4"/>
  <c r="Q69" i="4" s="1"/>
  <c r="P68" i="4"/>
  <c r="Q68" i="4" s="1"/>
  <c r="P67" i="4"/>
  <c r="Q67" i="4" s="1"/>
  <c r="P66" i="4"/>
  <c r="Q66" i="4" s="1"/>
  <c r="P65" i="4"/>
  <c r="Q65" i="4" s="1"/>
  <c r="P64" i="4"/>
  <c r="Q64" i="4" s="1"/>
  <c r="P63" i="4"/>
  <c r="Q63" i="4" s="1"/>
  <c r="P62" i="4"/>
  <c r="Q62" i="4" s="1"/>
  <c r="P61" i="4"/>
  <c r="Q61" i="4" s="1"/>
  <c r="P60" i="4"/>
  <c r="Q60" i="4" s="1"/>
  <c r="P59" i="4"/>
  <c r="Q59" i="4" s="1"/>
  <c r="P58" i="4"/>
  <c r="Q58" i="4" s="1"/>
  <c r="P57" i="4"/>
  <c r="Q57" i="4" s="1"/>
  <c r="P56" i="4"/>
  <c r="Q56" i="4" s="1"/>
  <c r="P55" i="4"/>
  <c r="Q55" i="4" s="1"/>
  <c r="P54" i="4"/>
  <c r="Q54" i="4" s="1"/>
  <c r="P53" i="4"/>
  <c r="Q53" i="4" s="1"/>
  <c r="P52" i="4"/>
  <c r="Q52" i="4" s="1"/>
  <c r="P51" i="4"/>
  <c r="Q51" i="4" s="1"/>
  <c r="P50" i="4"/>
  <c r="Q50" i="4" s="1"/>
  <c r="P49" i="4"/>
  <c r="Q49" i="4" s="1"/>
  <c r="P48" i="4"/>
  <c r="Q48" i="4" s="1"/>
  <c r="P47" i="4"/>
  <c r="Q47" i="4" s="1"/>
  <c r="P46" i="4"/>
  <c r="Q46" i="4" s="1"/>
  <c r="P45" i="4"/>
  <c r="Q45" i="4" s="1"/>
  <c r="P44" i="4"/>
  <c r="Q44" i="4" s="1"/>
  <c r="P43" i="4"/>
  <c r="Q43" i="4" s="1"/>
  <c r="P42" i="4"/>
  <c r="Q42" i="4" s="1"/>
  <c r="P41" i="4"/>
  <c r="Q41" i="4" s="1"/>
  <c r="P40" i="4"/>
  <c r="Q40" i="4" s="1"/>
  <c r="P39" i="4"/>
  <c r="Q39" i="4" s="1"/>
  <c r="P38" i="4"/>
  <c r="Q38" i="4" s="1"/>
  <c r="P37" i="4"/>
  <c r="Q37" i="4" s="1"/>
  <c r="P36" i="4"/>
  <c r="Q36" i="4" s="1"/>
  <c r="P35" i="4"/>
  <c r="Q35" i="4" s="1"/>
  <c r="P34" i="4"/>
  <c r="Q34" i="4" s="1"/>
  <c r="P33" i="4"/>
  <c r="Q33" i="4" s="1"/>
  <c r="P32" i="4"/>
  <c r="Q32" i="4" s="1"/>
  <c r="P31" i="4"/>
  <c r="Q31" i="4" s="1"/>
  <c r="P30" i="4"/>
  <c r="Q30" i="4" s="1"/>
  <c r="P29" i="4"/>
  <c r="Q29" i="4" s="1"/>
  <c r="P28" i="4"/>
  <c r="Q28" i="4" s="1"/>
  <c r="P27" i="4"/>
  <c r="Q27" i="4" s="1"/>
  <c r="P26" i="4"/>
  <c r="Q26" i="4" s="1"/>
  <c r="P25" i="4"/>
  <c r="Q25" i="4" s="1"/>
  <c r="P24" i="4"/>
  <c r="Q24" i="4" s="1"/>
  <c r="P23" i="4"/>
  <c r="Q23" i="4" s="1"/>
  <c r="P22" i="4"/>
  <c r="Q22" i="4" s="1"/>
  <c r="P21" i="4"/>
  <c r="Q21" i="4" s="1"/>
  <c r="P20" i="4"/>
  <c r="Q20" i="4" s="1"/>
  <c r="P19" i="4"/>
  <c r="Q19" i="4" s="1"/>
  <c r="P18" i="4"/>
  <c r="Q18" i="4" s="1"/>
  <c r="P17" i="4"/>
  <c r="Q17" i="4" s="1"/>
  <c r="P16" i="4"/>
  <c r="Q16" i="4" s="1"/>
  <c r="P15" i="4"/>
  <c r="Q15" i="4" s="1"/>
  <c r="P14" i="4"/>
  <c r="Q14" i="4" s="1"/>
  <c r="P13" i="4"/>
  <c r="Q13" i="4" s="1"/>
  <c r="Q12" i="4"/>
  <c r="P12" i="4"/>
  <c r="P11" i="4"/>
  <c r="Q11" i="4" s="1"/>
  <c r="P10" i="4"/>
  <c r="Q10" i="4" s="1"/>
  <c r="P9" i="4"/>
  <c r="Q9" i="4" s="1"/>
  <c r="P8" i="4"/>
  <c r="Q8" i="4" s="1"/>
  <c r="P7" i="4"/>
  <c r="Q7" i="4" s="1"/>
  <c r="P6" i="4"/>
  <c r="Q6" i="4" s="1"/>
  <c r="M505" i="3"/>
  <c r="N505" i="3" s="1"/>
  <c r="M504" i="3"/>
  <c r="N504" i="3" s="1"/>
  <c r="M503" i="3"/>
  <c r="N503" i="3" s="1"/>
  <c r="M502" i="3"/>
  <c r="N502" i="3" s="1"/>
  <c r="M501" i="3"/>
  <c r="N501" i="3" s="1"/>
  <c r="M500" i="3"/>
  <c r="N500" i="3" s="1"/>
  <c r="M499" i="3"/>
  <c r="N499" i="3" s="1"/>
  <c r="M498" i="3"/>
  <c r="N498" i="3" s="1"/>
  <c r="M497" i="3"/>
  <c r="N497" i="3" s="1"/>
  <c r="M496" i="3"/>
  <c r="N496" i="3" s="1"/>
  <c r="M495" i="3"/>
  <c r="N495" i="3" s="1"/>
  <c r="M494" i="3"/>
  <c r="N494" i="3" s="1"/>
  <c r="M493" i="3"/>
  <c r="N493" i="3" s="1"/>
  <c r="M492" i="3"/>
  <c r="N492" i="3" s="1"/>
  <c r="M491" i="3"/>
  <c r="N491" i="3" s="1"/>
  <c r="M490" i="3"/>
  <c r="N490" i="3" s="1"/>
  <c r="M489" i="3"/>
  <c r="N489" i="3" s="1"/>
  <c r="M488" i="3"/>
  <c r="N488" i="3" s="1"/>
  <c r="M487" i="3"/>
  <c r="N487" i="3" s="1"/>
  <c r="M486" i="3"/>
  <c r="N486" i="3" s="1"/>
  <c r="M485" i="3"/>
  <c r="N485" i="3" s="1"/>
  <c r="M484" i="3"/>
  <c r="N484" i="3" s="1"/>
  <c r="M483" i="3"/>
  <c r="N483" i="3" s="1"/>
  <c r="M482" i="3"/>
  <c r="N482" i="3" s="1"/>
  <c r="M481" i="3"/>
  <c r="N481" i="3" s="1"/>
  <c r="M480" i="3"/>
  <c r="N480" i="3" s="1"/>
  <c r="M479" i="3"/>
  <c r="N479" i="3" s="1"/>
  <c r="M478" i="3"/>
  <c r="N478" i="3" s="1"/>
  <c r="M477" i="3"/>
  <c r="N477" i="3" s="1"/>
  <c r="M476" i="3"/>
  <c r="N476" i="3" s="1"/>
  <c r="M475" i="3"/>
  <c r="N475" i="3" s="1"/>
  <c r="M474" i="3"/>
  <c r="N474" i="3" s="1"/>
  <c r="M473" i="3"/>
  <c r="N473" i="3" s="1"/>
  <c r="M472" i="3"/>
  <c r="N472" i="3" s="1"/>
  <c r="N471" i="3"/>
  <c r="M471" i="3"/>
  <c r="M470" i="3"/>
  <c r="N470" i="3" s="1"/>
  <c r="M469" i="3"/>
  <c r="N469" i="3" s="1"/>
  <c r="M468" i="3"/>
  <c r="N468" i="3" s="1"/>
  <c r="M467" i="3"/>
  <c r="N467" i="3" s="1"/>
  <c r="M466" i="3"/>
  <c r="N466" i="3" s="1"/>
  <c r="M465" i="3"/>
  <c r="N465" i="3" s="1"/>
  <c r="M464" i="3"/>
  <c r="N464" i="3" s="1"/>
  <c r="M463" i="3"/>
  <c r="N463" i="3" s="1"/>
  <c r="M462" i="3"/>
  <c r="N462" i="3" s="1"/>
  <c r="M461" i="3"/>
  <c r="N461" i="3" s="1"/>
  <c r="M460" i="3"/>
  <c r="N460" i="3" s="1"/>
  <c r="M459" i="3"/>
  <c r="N459" i="3" s="1"/>
  <c r="M458" i="3"/>
  <c r="N458" i="3" s="1"/>
  <c r="M457" i="3"/>
  <c r="N457" i="3" s="1"/>
  <c r="M456" i="3"/>
  <c r="N456" i="3" s="1"/>
  <c r="M455" i="3"/>
  <c r="N455" i="3" s="1"/>
  <c r="M454" i="3"/>
  <c r="N454" i="3" s="1"/>
  <c r="M453" i="3"/>
  <c r="N453" i="3" s="1"/>
  <c r="M452" i="3"/>
  <c r="N452" i="3" s="1"/>
  <c r="M451" i="3"/>
  <c r="N451" i="3" s="1"/>
  <c r="M450" i="3"/>
  <c r="N450" i="3" s="1"/>
  <c r="M449" i="3"/>
  <c r="N449" i="3" s="1"/>
  <c r="M448" i="3"/>
  <c r="N448" i="3" s="1"/>
  <c r="M447" i="3"/>
  <c r="N447" i="3" s="1"/>
  <c r="M446" i="3"/>
  <c r="N446" i="3" s="1"/>
  <c r="M445" i="3"/>
  <c r="N445" i="3" s="1"/>
  <c r="M444" i="3"/>
  <c r="N444" i="3" s="1"/>
  <c r="M443" i="3"/>
  <c r="N443" i="3" s="1"/>
  <c r="M442" i="3"/>
  <c r="N442" i="3" s="1"/>
  <c r="M441" i="3"/>
  <c r="N441" i="3" s="1"/>
  <c r="M440" i="3"/>
  <c r="N440" i="3" s="1"/>
  <c r="M439" i="3"/>
  <c r="N439" i="3" s="1"/>
  <c r="M438" i="3"/>
  <c r="N438" i="3" s="1"/>
  <c r="M437" i="3"/>
  <c r="N437" i="3" s="1"/>
  <c r="M436" i="3"/>
  <c r="N436" i="3" s="1"/>
  <c r="M435" i="3"/>
  <c r="N435" i="3" s="1"/>
  <c r="M434" i="3"/>
  <c r="N434" i="3" s="1"/>
  <c r="M433" i="3"/>
  <c r="N433" i="3" s="1"/>
  <c r="M432" i="3"/>
  <c r="N432" i="3" s="1"/>
  <c r="M431" i="3"/>
  <c r="N431" i="3" s="1"/>
  <c r="M430" i="3"/>
  <c r="N430" i="3" s="1"/>
  <c r="M429" i="3"/>
  <c r="N429" i="3" s="1"/>
  <c r="M428" i="3"/>
  <c r="N428" i="3" s="1"/>
  <c r="M427" i="3"/>
  <c r="N427" i="3" s="1"/>
  <c r="M426" i="3"/>
  <c r="N426" i="3" s="1"/>
  <c r="M425" i="3"/>
  <c r="N425" i="3" s="1"/>
  <c r="M424" i="3"/>
  <c r="N424" i="3" s="1"/>
  <c r="M423" i="3"/>
  <c r="N423" i="3" s="1"/>
  <c r="M422" i="3"/>
  <c r="N422" i="3" s="1"/>
  <c r="M421" i="3"/>
  <c r="N421" i="3" s="1"/>
  <c r="M420" i="3"/>
  <c r="N420" i="3" s="1"/>
  <c r="M419" i="3"/>
  <c r="N419" i="3" s="1"/>
  <c r="M418" i="3"/>
  <c r="N418" i="3" s="1"/>
  <c r="M417" i="3"/>
  <c r="N417" i="3" s="1"/>
  <c r="M416" i="3"/>
  <c r="N416" i="3" s="1"/>
  <c r="M415" i="3"/>
  <c r="N415" i="3" s="1"/>
  <c r="M414" i="3"/>
  <c r="N414" i="3" s="1"/>
  <c r="M413" i="3"/>
  <c r="N413" i="3" s="1"/>
  <c r="M412" i="3"/>
  <c r="N412" i="3" s="1"/>
  <c r="M411" i="3"/>
  <c r="N411" i="3" s="1"/>
  <c r="M410" i="3"/>
  <c r="N410" i="3" s="1"/>
  <c r="M409" i="3"/>
  <c r="N409" i="3" s="1"/>
  <c r="M408" i="3"/>
  <c r="N408" i="3" s="1"/>
  <c r="M407" i="3"/>
  <c r="N407" i="3" s="1"/>
  <c r="M406" i="3"/>
  <c r="N406" i="3" s="1"/>
  <c r="M405" i="3"/>
  <c r="N405" i="3" s="1"/>
  <c r="M404" i="3"/>
  <c r="N404" i="3" s="1"/>
  <c r="M403" i="3"/>
  <c r="N403" i="3" s="1"/>
  <c r="M402" i="3"/>
  <c r="N402" i="3" s="1"/>
  <c r="M401" i="3"/>
  <c r="N401" i="3" s="1"/>
  <c r="M400" i="3"/>
  <c r="N400" i="3" s="1"/>
  <c r="M399" i="3"/>
  <c r="N399" i="3" s="1"/>
  <c r="M398" i="3"/>
  <c r="N398" i="3" s="1"/>
  <c r="M397" i="3"/>
  <c r="N397" i="3" s="1"/>
  <c r="M396" i="3"/>
  <c r="N396" i="3" s="1"/>
  <c r="M395" i="3"/>
  <c r="N395" i="3" s="1"/>
  <c r="M394" i="3"/>
  <c r="N394" i="3" s="1"/>
  <c r="M393" i="3"/>
  <c r="N393" i="3" s="1"/>
  <c r="M392" i="3"/>
  <c r="N392" i="3" s="1"/>
  <c r="N391" i="3"/>
  <c r="M391" i="3"/>
  <c r="M390" i="3"/>
  <c r="N390" i="3" s="1"/>
  <c r="M389" i="3"/>
  <c r="N389" i="3" s="1"/>
  <c r="M388" i="3"/>
  <c r="N388" i="3" s="1"/>
  <c r="M387" i="3"/>
  <c r="N387" i="3" s="1"/>
  <c r="M386" i="3"/>
  <c r="N386" i="3" s="1"/>
  <c r="M385" i="3"/>
  <c r="N385" i="3" s="1"/>
  <c r="M384" i="3"/>
  <c r="N384" i="3" s="1"/>
  <c r="M383" i="3"/>
  <c r="N383" i="3" s="1"/>
  <c r="M382" i="3"/>
  <c r="N382" i="3" s="1"/>
  <c r="M381" i="3"/>
  <c r="N381" i="3" s="1"/>
  <c r="M380" i="3"/>
  <c r="N380" i="3" s="1"/>
  <c r="M379" i="3"/>
  <c r="N379" i="3" s="1"/>
  <c r="M378" i="3"/>
  <c r="N378" i="3" s="1"/>
  <c r="M377" i="3"/>
  <c r="N377" i="3" s="1"/>
  <c r="M376" i="3"/>
  <c r="N376" i="3" s="1"/>
  <c r="M375" i="3"/>
  <c r="N375" i="3" s="1"/>
  <c r="M374" i="3"/>
  <c r="N374" i="3" s="1"/>
  <c r="M373" i="3"/>
  <c r="N373" i="3" s="1"/>
  <c r="M372" i="3"/>
  <c r="N372" i="3" s="1"/>
  <c r="M371" i="3"/>
  <c r="N371" i="3" s="1"/>
  <c r="M370" i="3"/>
  <c r="N370" i="3" s="1"/>
  <c r="M369" i="3"/>
  <c r="N369" i="3" s="1"/>
  <c r="M368" i="3"/>
  <c r="N368" i="3" s="1"/>
  <c r="M367" i="3"/>
  <c r="N367" i="3" s="1"/>
  <c r="M366" i="3"/>
  <c r="N366" i="3" s="1"/>
  <c r="M365" i="3"/>
  <c r="N365" i="3" s="1"/>
  <c r="M364" i="3"/>
  <c r="N364" i="3" s="1"/>
  <c r="M363" i="3"/>
  <c r="N363" i="3" s="1"/>
  <c r="M362" i="3"/>
  <c r="N362" i="3" s="1"/>
  <c r="M361" i="3"/>
  <c r="N361" i="3" s="1"/>
  <c r="M360" i="3"/>
  <c r="N360" i="3" s="1"/>
  <c r="M359" i="3"/>
  <c r="N359" i="3" s="1"/>
  <c r="M358" i="3"/>
  <c r="N358" i="3" s="1"/>
  <c r="M357" i="3"/>
  <c r="N357" i="3" s="1"/>
  <c r="M356" i="3"/>
  <c r="N356" i="3" s="1"/>
  <c r="M355" i="3"/>
  <c r="N355" i="3" s="1"/>
  <c r="M354" i="3"/>
  <c r="N354" i="3" s="1"/>
  <c r="M353" i="3"/>
  <c r="N353" i="3" s="1"/>
  <c r="M352" i="3"/>
  <c r="N352" i="3" s="1"/>
  <c r="M351" i="3"/>
  <c r="N351" i="3" s="1"/>
  <c r="M350" i="3"/>
  <c r="N350" i="3" s="1"/>
  <c r="M349" i="3"/>
  <c r="N349" i="3" s="1"/>
  <c r="M348" i="3"/>
  <c r="N348" i="3" s="1"/>
  <c r="M347" i="3"/>
  <c r="N347" i="3" s="1"/>
  <c r="M346" i="3"/>
  <c r="N346" i="3" s="1"/>
  <c r="M345" i="3"/>
  <c r="N345" i="3" s="1"/>
  <c r="M344" i="3"/>
  <c r="N344" i="3" s="1"/>
  <c r="N343" i="3"/>
  <c r="M343" i="3"/>
  <c r="M342" i="3"/>
  <c r="N342" i="3" s="1"/>
  <c r="M341" i="3"/>
  <c r="N341" i="3" s="1"/>
  <c r="M340" i="3"/>
  <c r="N340" i="3" s="1"/>
  <c r="M339" i="3"/>
  <c r="N339" i="3" s="1"/>
  <c r="M338" i="3"/>
  <c r="N338" i="3" s="1"/>
  <c r="M337" i="3"/>
  <c r="N337" i="3" s="1"/>
  <c r="M336" i="3"/>
  <c r="N336" i="3" s="1"/>
  <c r="M335" i="3"/>
  <c r="N335" i="3" s="1"/>
  <c r="M334" i="3"/>
  <c r="N334" i="3" s="1"/>
  <c r="M333" i="3"/>
  <c r="N333" i="3" s="1"/>
  <c r="M332" i="3"/>
  <c r="N332" i="3" s="1"/>
  <c r="M331" i="3"/>
  <c r="N331" i="3" s="1"/>
  <c r="M330" i="3"/>
  <c r="N330" i="3" s="1"/>
  <c r="M329" i="3"/>
  <c r="N329" i="3" s="1"/>
  <c r="M328" i="3"/>
  <c r="N328" i="3" s="1"/>
  <c r="M327" i="3"/>
  <c r="N327" i="3" s="1"/>
  <c r="M326" i="3"/>
  <c r="N326" i="3" s="1"/>
  <c r="M325" i="3"/>
  <c r="N325" i="3" s="1"/>
  <c r="M324" i="3"/>
  <c r="N324" i="3" s="1"/>
  <c r="M323" i="3"/>
  <c r="N323" i="3" s="1"/>
  <c r="M322" i="3"/>
  <c r="N322" i="3" s="1"/>
  <c r="M321" i="3"/>
  <c r="N321" i="3" s="1"/>
  <c r="M320" i="3"/>
  <c r="N320" i="3" s="1"/>
  <c r="M319" i="3"/>
  <c r="N319" i="3" s="1"/>
  <c r="M318" i="3"/>
  <c r="N318" i="3" s="1"/>
  <c r="M317" i="3"/>
  <c r="N317" i="3" s="1"/>
  <c r="M316" i="3"/>
  <c r="N316" i="3" s="1"/>
  <c r="M315" i="3"/>
  <c r="N315" i="3" s="1"/>
  <c r="M314" i="3"/>
  <c r="N314" i="3" s="1"/>
  <c r="M313" i="3"/>
  <c r="N313" i="3" s="1"/>
  <c r="M312" i="3"/>
  <c r="N312" i="3" s="1"/>
  <c r="M311" i="3"/>
  <c r="N311" i="3" s="1"/>
  <c r="M310" i="3"/>
  <c r="N310" i="3" s="1"/>
  <c r="M309" i="3"/>
  <c r="N309" i="3" s="1"/>
  <c r="M308" i="3"/>
  <c r="N308" i="3" s="1"/>
  <c r="M307" i="3"/>
  <c r="N307" i="3" s="1"/>
  <c r="M306" i="3"/>
  <c r="N306" i="3" s="1"/>
  <c r="M305" i="3"/>
  <c r="N305" i="3" s="1"/>
  <c r="M304" i="3"/>
  <c r="N304" i="3" s="1"/>
  <c r="M303" i="3"/>
  <c r="N303" i="3" s="1"/>
  <c r="M302" i="3"/>
  <c r="N302" i="3" s="1"/>
  <c r="M301" i="3"/>
  <c r="N301" i="3" s="1"/>
  <c r="M300" i="3"/>
  <c r="N300" i="3" s="1"/>
  <c r="M299" i="3"/>
  <c r="N299" i="3" s="1"/>
  <c r="M298" i="3"/>
  <c r="N298" i="3" s="1"/>
  <c r="M297" i="3"/>
  <c r="N297" i="3" s="1"/>
  <c r="M296" i="3"/>
  <c r="N296" i="3" s="1"/>
  <c r="M295" i="3"/>
  <c r="N295" i="3" s="1"/>
  <c r="M294" i="3"/>
  <c r="N294" i="3" s="1"/>
  <c r="M293" i="3"/>
  <c r="N293" i="3" s="1"/>
  <c r="M292" i="3"/>
  <c r="N292" i="3" s="1"/>
  <c r="M291" i="3"/>
  <c r="N291" i="3" s="1"/>
  <c r="N290" i="3"/>
  <c r="M290" i="3"/>
  <c r="M289" i="3"/>
  <c r="N289" i="3" s="1"/>
  <c r="M288" i="3"/>
  <c r="N288" i="3" s="1"/>
  <c r="M287" i="3"/>
  <c r="N287" i="3" s="1"/>
  <c r="M286" i="3"/>
  <c r="N286" i="3" s="1"/>
  <c r="M285" i="3"/>
  <c r="N285" i="3" s="1"/>
  <c r="M284" i="3"/>
  <c r="N284" i="3" s="1"/>
  <c r="M283" i="3"/>
  <c r="N283" i="3" s="1"/>
  <c r="M282" i="3"/>
  <c r="N282" i="3" s="1"/>
  <c r="M281" i="3"/>
  <c r="N281" i="3" s="1"/>
  <c r="M280" i="3"/>
  <c r="N280" i="3" s="1"/>
  <c r="N279" i="3"/>
  <c r="M279" i="3"/>
  <c r="M278" i="3"/>
  <c r="N278" i="3" s="1"/>
  <c r="M277" i="3"/>
  <c r="N277" i="3" s="1"/>
  <c r="M276" i="3"/>
  <c r="N276" i="3" s="1"/>
  <c r="M275" i="3"/>
  <c r="N275" i="3" s="1"/>
  <c r="M274" i="3"/>
  <c r="N274" i="3" s="1"/>
  <c r="M273" i="3"/>
  <c r="N273" i="3" s="1"/>
  <c r="M272" i="3"/>
  <c r="N272" i="3" s="1"/>
  <c r="M271" i="3"/>
  <c r="N271" i="3" s="1"/>
  <c r="M270" i="3"/>
  <c r="N270" i="3" s="1"/>
  <c r="M269" i="3"/>
  <c r="N269" i="3" s="1"/>
  <c r="M268" i="3"/>
  <c r="N268" i="3" s="1"/>
  <c r="M267" i="3"/>
  <c r="N267" i="3" s="1"/>
  <c r="M266" i="3"/>
  <c r="N266" i="3" s="1"/>
  <c r="M265" i="3"/>
  <c r="N265" i="3" s="1"/>
  <c r="M264" i="3"/>
  <c r="N264" i="3" s="1"/>
  <c r="M263" i="3"/>
  <c r="N263" i="3" s="1"/>
  <c r="M262" i="3"/>
  <c r="N262" i="3" s="1"/>
  <c r="M261" i="3"/>
  <c r="N261" i="3" s="1"/>
  <c r="M260" i="3"/>
  <c r="N260" i="3" s="1"/>
  <c r="M259" i="3"/>
  <c r="N259" i="3" s="1"/>
  <c r="M258" i="3"/>
  <c r="N258" i="3" s="1"/>
  <c r="M257" i="3"/>
  <c r="N257" i="3" s="1"/>
  <c r="M256" i="3"/>
  <c r="N256" i="3" s="1"/>
  <c r="M255" i="3"/>
  <c r="N255" i="3" s="1"/>
  <c r="M254" i="3"/>
  <c r="N254" i="3" s="1"/>
  <c r="M253" i="3"/>
  <c r="N253" i="3" s="1"/>
  <c r="M252" i="3"/>
  <c r="N252" i="3" s="1"/>
  <c r="M251" i="3"/>
  <c r="N251" i="3" s="1"/>
  <c r="M250" i="3"/>
  <c r="N250" i="3" s="1"/>
  <c r="M249" i="3"/>
  <c r="N249" i="3" s="1"/>
  <c r="M248" i="3"/>
  <c r="N248" i="3" s="1"/>
  <c r="M247" i="3"/>
  <c r="N247" i="3" s="1"/>
  <c r="M246" i="3"/>
  <c r="N246" i="3" s="1"/>
  <c r="M245" i="3"/>
  <c r="N245" i="3" s="1"/>
  <c r="M244" i="3"/>
  <c r="N244" i="3" s="1"/>
  <c r="M243" i="3"/>
  <c r="N243" i="3" s="1"/>
  <c r="M242" i="3"/>
  <c r="N242" i="3" s="1"/>
  <c r="M241" i="3"/>
  <c r="N241" i="3" s="1"/>
  <c r="M240" i="3"/>
  <c r="N240" i="3" s="1"/>
  <c r="M239" i="3"/>
  <c r="N239" i="3" s="1"/>
  <c r="M238" i="3"/>
  <c r="N238" i="3" s="1"/>
  <c r="M237" i="3"/>
  <c r="N237" i="3" s="1"/>
  <c r="M236" i="3"/>
  <c r="N236" i="3" s="1"/>
  <c r="M235" i="3"/>
  <c r="N235" i="3" s="1"/>
  <c r="M234" i="3"/>
  <c r="N234" i="3" s="1"/>
  <c r="M233" i="3"/>
  <c r="N233" i="3" s="1"/>
  <c r="M232" i="3"/>
  <c r="N232" i="3" s="1"/>
  <c r="M231" i="3"/>
  <c r="N231" i="3" s="1"/>
  <c r="M230" i="3"/>
  <c r="N230" i="3" s="1"/>
  <c r="M229" i="3"/>
  <c r="N229" i="3" s="1"/>
  <c r="M228" i="3"/>
  <c r="N228" i="3" s="1"/>
  <c r="M227" i="3"/>
  <c r="N227" i="3" s="1"/>
  <c r="M226" i="3"/>
  <c r="N226" i="3" s="1"/>
  <c r="M225" i="3"/>
  <c r="N225" i="3" s="1"/>
  <c r="M224" i="3"/>
  <c r="N224" i="3" s="1"/>
  <c r="M223" i="3"/>
  <c r="N223" i="3" s="1"/>
  <c r="M222" i="3"/>
  <c r="N222" i="3" s="1"/>
  <c r="M221" i="3"/>
  <c r="N221" i="3" s="1"/>
  <c r="M220" i="3"/>
  <c r="N220" i="3" s="1"/>
  <c r="M219" i="3"/>
  <c r="N219" i="3" s="1"/>
  <c r="M218" i="3"/>
  <c r="N218" i="3" s="1"/>
  <c r="M217" i="3"/>
  <c r="N217" i="3" s="1"/>
  <c r="M216" i="3"/>
  <c r="N216" i="3" s="1"/>
  <c r="M215" i="3"/>
  <c r="N215" i="3" s="1"/>
  <c r="M214" i="3"/>
  <c r="N214" i="3" s="1"/>
  <c r="M213" i="3"/>
  <c r="N213" i="3" s="1"/>
  <c r="M212" i="3"/>
  <c r="N212" i="3" s="1"/>
  <c r="M211" i="3"/>
  <c r="N211" i="3" s="1"/>
  <c r="M210" i="3"/>
  <c r="N210" i="3" s="1"/>
  <c r="M209" i="3"/>
  <c r="N209" i="3" s="1"/>
  <c r="M208" i="3"/>
  <c r="N208" i="3" s="1"/>
  <c r="M207" i="3"/>
  <c r="N207" i="3" s="1"/>
  <c r="M206" i="3"/>
  <c r="N206" i="3" s="1"/>
  <c r="M205" i="3"/>
  <c r="N205" i="3" s="1"/>
  <c r="M204" i="3"/>
  <c r="N204" i="3" s="1"/>
  <c r="M203" i="3"/>
  <c r="N203" i="3" s="1"/>
  <c r="M202" i="3"/>
  <c r="N202" i="3" s="1"/>
  <c r="M201" i="3"/>
  <c r="N201" i="3" s="1"/>
  <c r="N200" i="3"/>
  <c r="M200" i="3"/>
  <c r="M199" i="3"/>
  <c r="N199" i="3" s="1"/>
  <c r="M198" i="3"/>
  <c r="N198" i="3" s="1"/>
  <c r="M197" i="3"/>
  <c r="N197" i="3" s="1"/>
  <c r="M196" i="3"/>
  <c r="N196" i="3" s="1"/>
  <c r="M195" i="3"/>
  <c r="N195" i="3" s="1"/>
  <c r="M194" i="3"/>
  <c r="N194" i="3" s="1"/>
  <c r="M193" i="3"/>
  <c r="N193" i="3" s="1"/>
  <c r="M192" i="3"/>
  <c r="N192" i="3" s="1"/>
  <c r="M191" i="3"/>
  <c r="N191" i="3" s="1"/>
  <c r="M190" i="3"/>
  <c r="N190" i="3" s="1"/>
  <c r="M189" i="3"/>
  <c r="N189" i="3" s="1"/>
  <c r="M188" i="3"/>
  <c r="N188" i="3" s="1"/>
  <c r="M187" i="3"/>
  <c r="N187" i="3" s="1"/>
  <c r="M186" i="3"/>
  <c r="N186" i="3" s="1"/>
  <c r="M185" i="3"/>
  <c r="N185" i="3" s="1"/>
  <c r="M184" i="3"/>
  <c r="N184" i="3" s="1"/>
  <c r="M183" i="3"/>
  <c r="N183" i="3" s="1"/>
  <c r="M182" i="3"/>
  <c r="N182" i="3" s="1"/>
  <c r="M181" i="3"/>
  <c r="N181" i="3" s="1"/>
  <c r="M180" i="3"/>
  <c r="N180" i="3" s="1"/>
  <c r="M179" i="3"/>
  <c r="N179" i="3" s="1"/>
  <c r="M178" i="3"/>
  <c r="N178" i="3" s="1"/>
  <c r="M177" i="3"/>
  <c r="N177" i="3" s="1"/>
  <c r="M176" i="3"/>
  <c r="N176" i="3" s="1"/>
  <c r="M175" i="3"/>
  <c r="N175" i="3" s="1"/>
  <c r="M174" i="3"/>
  <c r="N174" i="3" s="1"/>
  <c r="M173" i="3"/>
  <c r="N173" i="3" s="1"/>
  <c r="M172" i="3"/>
  <c r="N172" i="3" s="1"/>
  <c r="M171" i="3"/>
  <c r="N171" i="3" s="1"/>
  <c r="M170" i="3"/>
  <c r="N170" i="3" s="1"/>
  <c r="M169" i="3"/>
  <c r="N169" i="3" s="1"/>
  <c r="M168" i="3"/>
  <c r="N168" i="3" s="1"/>
  <c r="M167" i="3"/>
  <c r="N167" i="3" s="1"/>
  <c r="M166" i="3"/>
  <c r="N166" i="3" s="1"/>
  <c r="M165" i="3"/>
  <c r="N165" i="3" s="1"/>
  <c r="M164" i="3"/>
  <c r="N164" i="3" s="1"/>
  <c r="M163" i="3"/>
  <c r="N163" i="3" s="1"/>
  <c r="M162" i="3"/>
  <c r="N162" i="3" s="1"/>
  <c r="M161" i="3"/>
  <c r="N161" i="3" s="1"/>
  <c r="M160" i="3"/>
  <c r="N160" i="3" s="1"/>
  <c r="M159" i="3"/>
  <c r="N159" i="3" s="1"/>
  <c r="M158" i="3"/>
  <c r="N158" i="3" s="1"/>
  <c r="M157" i="3"/>
  <c r="N157" i="3" s="1"/>
  <c r="M156" i="3"/>
  <c r="N156" i="3" s="1"/>
  <c r="M155" i="3"/>
  <c r="N155" i="3" s="1"/>
  <c r="M154" i="3"/>
  <c r="N154" i="3" s="1"/>
  <c r="M153" i="3"/>
  <c r="N153" i="3" s="1"/>
  <c r="M152" i="3"/>
  <c r="N152" i="3" s="1"/>
  <c r="M151" i="3"/>
  <c r="N151" i="3" s="1"/>
  <c r="M150" i="3"/>
  <c r="N150" i="3" s="1"/>
  <c r="M149" i="3"/>
  <c r="N149" i="3" s="1"/>
  <c r="M148" i="3"/>
  <c r="N148" i="3" s="1"/>
  <c r="M147" i="3"/>
  <c r="N147" i="3" s="1"/>
  <c r="M146" i="3"/>
  <c r="N146" i="3" s="1"/>
  <c r="M145" i="3"/>
  <c r="N145" i="3" s="1"/>
  <c r="M144" i="3"/>
  <c r="N144" i="3" s="1"/>
  <c r="M143" i="3"/>
  <c r="N143" i="3" s="1"/>
  <c r="M142" i="3"/>
  <c r="N142" i="3" s="1"/>
  <c r="M141" i="3"/>
  <c r="N141" i="3" s="1"/>
  <c r="M140" i="3"/>
  <c r="N140" i="3" s="1"/>
  <c r="M139" i="3"/>
  <c r="N139" i="3" s="1"/>
  <c r="M138" i="3"/>
  <c r="N138" i="3" s="1"/>
  <c r="M137" i="3"/>
  <c r="N137" i="3" s="1"/>
  <c r="M136" i="3"/>
  <c r="N136" i="3" s="1"/>
  <c r="M135" i="3"/>
  <c r="N135" i="3" s="1"/>
  <c r="M134" i="3"/>
  <c r="N134" i="3" s="1"/>
  <c r="M133" i="3"/>
  <c r="N133" i="3" s="1"/>
  <c r="M132" i="3"/>
  <c r="N132" i="3" s="1"/>
  <c r="M131" i="3"/>
  <c r="N131" i="3" s="1"/>
  <c r="M130" i="3"/>
  <c r="N130" i="3" s="1"/>
  <c r="M129" i="3"/>
  <c r="N129" i="3" s="1"/>
  <c r="M128" i="3"/>
  <c r="N128" i="3" s="1"/>
  <c r="M127" i="3"/>
  <c r="N127" i="3" s="1"/>
  <c r="M126" i="3"/>
  <c r="N126" i="3" s="1"/>
  <c r="M125" i="3"/>
  <c r="N125" i="3" s="1"/>
  <c r="M124" i="3"/>
  <c r="N124" i="3" s="1"/>
  <c r="M123" i="3"/>
  <c r="N123" i="3" s="1"/>
  <c r="M122" i="3"/>
  <c r="N122" i="3" s="1"/>
  <c r="M121" i="3"/>
  <c r="N121" i="3" s="1"/>
  <c r="M120" i="3"/>
  <c r="N120" i="3" s="1"/>
  <c r="M119" i="3"/>
  <c r="N119" i="3" s="1"/>
  <c r="M118" i="3"/>
  <c r="N118" i="3" s="1"/>
  <c r="M117" i="3"/>
  <c r="N117" i="3" s="1"/>
  <c r="M116" i="3"/>
  <c r="N116" i="3" s="1"/>
  <c r="M115" i="3"/>
  <c r="N115" i="3" s="1"/>
  <c r="M114" i="3"/>
  <c r="N114" i="3" s="1"/>
  <c r="M113" i="3"/>
  <c r="N113" i="3" s="1"/>
  <c r="M112" i="3"/>
  <c r="N112" i="3" s="1"/>
  <c r="M111" i="3"/>
  <c r="N111" i="3" s="1"/>
  <c r="M110" i="3"/>
  <c r="N110" i="3" s="1"/>
  <c r="M109" i="3"/>
  <c r="N109" i="3" s="1"/>
  <c r="M108" i="3"/>
  <c r="N108" i="3" s="1"/>
  <c r="M107" i="3"/>
  <c r="N107" i="3" s="1"/>
  <c r="M106" i="3"/>
  <c r="N106" i="3" s="1"/>
  <c r="M105" i="3"/>
  <c r="N105" i="3" s="1"/>
  <c r="M104" i="3"/>
  <c r="N104" i="3" s="1"/>
  <c r="M103" i="3"/>
  <c r="N103" i="3" s="1"/>
  <c r="M102" i="3"/>
  <c r="N102" i="3" s="1"/>
  <c r="M101" i="3"/>
  <c r="N101" i="3" s="1"/>
  <c r="M100" i="3"/>
  <c r="N100" i="3" s="1"/>
  <c r="M99" i="3"/>
  <c r="N99" i="3" s="1"/>
  <c r="M98" i="3"/>
  <c r="N98" i="3" s="1"/>
  <c r="M97" i="3"/>
  <c r="N97" i="3" s="1"/>
  <c r="M96" i="3"/>
  <c r="N96" i="3" s="1"/>
  <c r="M95" i="3"/>
  <c r="N95" i="3" s="1"/>
  <c r="M94" i="3"/>
  <c r="N94" i="3" s="1"/>
  <c r="M93" i="3"/>
  <c r="N93" i="3" s="1"/>
  <c r="M92" i="3"/>
  <c r="N92" i="3" s="1"/>
  <c r="M91" i="3"/>
  <c r="N91" i="3" s="1"/>
  <c r="M90" i="3"/>
  <c r="N90" i="3" s="1"/>
  <c r="M89" i="3"/>
  <c r="N89" i="3" s="1"/>
  <c r="M88" i="3"/>
  <c r="N88" i="3" s="1"/>
  <c r="M87" i="3"/>
  <c r="N87" i="3" s="1"/>
  <c r="M86" i="3"/>
  <c r="N86" i="3" s="1"/>
  <c r="M85" i="3"/>
  <c r="N85" i="3" s="1"/>
  <c r="N84" i="3"/>
  <c r="M84" i="3"/>
  <c r="M83" i="3"/>
  <c r="N83" i="3" s="1"/>
  <c r="M82" i="3"/>
  <c r="N82" i="3" s="1"/>
  <c r="M81" i="3"/>
  <c r="N81" i="3" s="1"/>
  <c r="M80" i="3"/>
  <c r="N80" i="3" s="1"/>
  <c r="M79" i="3"/>
  <c r="N79" i="3" s="1"/>
  <c r="M78" i="3"/>
  <c r="N78" i="3" s="1"/>
  <c r="M77" i="3"/>
  <c r="N77" i="3" s="1"/>
  <c r="M76" i="3"/>
  <c r="N76" i="3" s="1"/>
  <c r="M75" i="3"/>
  <c r="N75" i="3" s="1"/>
  <c r="M74" i="3"/>
  <c r="N74" i="3" s="1"/>
  <c r="M73" i="3"/>
  <c r="N73" i="3" s="1"/>
  <c r="M72" i="3"/>
  <c r="N72" i="3" s="1"/>
  <c r="M71" i="3"/>
  <c r="N71" i="3" s="1"/>
  <c r="M70" i="3"/>
  <c r="N70" i="3" s="1"/>
  <c r="M69" i="3"/>
  <c r="N69" i="3" s="1"/>
  <c r="M68" i="3"/>
  <c r="N68" i="3" s="1"/>
  <c r="M67" i="3"/>
  <c r="N67" i="3" s="1"/>
  <c r="M66" i="3"/>
  <c r="N66" i="3" s="1"/>
  <c r="M65" i="3"/>
  <c r="N65" i="3" s="1"/>
  <c r="M64" i="3"/>
  <c r="N64" i="3" s="1"/>
  <c r="M63" i="3"/>
  <c r="N63" i="3" s="1"/>
  <c r="M62" i="3"/>
  <c r="N62" i="3" s="1"/>
  <c r="M61" i="3"/>
  <c r="N61" i="3" s="1"/>
  <c r="M60" i="3"/>
  <c r="N60" i="3" s="1"/>
  <c r="M59" i="3"/>
  <c r="N59" i="3" s="1"/>
  <c r="M58" i="3"/>
  <c r="N58" i="3" s="1"/>
  <c r="M57" i="3"/>
  <c r="N57" i="3" s="1"/>
  <c r="M56" i="3"/>
  <c r="N56" i="3" s="1"/>
  <c r="M55" i="3"/>
  <c r="N55" i="3" s="1"/>
  <c r="M54" i="3"/>
  <c r="N54" i="3" s="1"/>
  <c r="M53" i="3"/>
  <c r="N53" i="3" s="1"/>
  <c r="M52" i="3"/>
  <c r="N52" i="3" s="1"/>
  <c r="M51" i="3"/>
  <c r="N51" i="3" s="1"/>
  <c r="M50" i="3"/>
  <c r="N50" i="3" s="1"/>
  <c r="M49" i="3"/>
  <c r="N49" i="3" s="1"/>
  <c r="M48" i="3"/>
  <c r="N48" i="3" s="1"/>
  <c r="M47" i="3"/>
  <c r="N47" i="3" s="1"/>
  <c r="M46" i="3"/>
  <c r="N46" i="3" s="1"/>
  <c r="M45" i="3"/>
  <c r="N45" i="3" s="1"/>
  <c r="M44" i="3"/>
  <c r="N44" i="3" s="1"/>
  <c r="M43" i="3"/>
  <c r="N43" i="3" s="1"/>
  <c r="M42" i="3"/>
  <c r="N42" i="3" s="1"/>
  <c r="M41" i="3"/>
  <c r="N41" i="3" s="1"/>
  <c r="M40" i="3"/>
  <c r="N40" i="3" s="1"/>
  <c r="M39" i="3"/>
  <c r="N39" i="3" s="1"/>
  <c r="M38" i="3"/>
  <c r="N38" i="3" s="1"/>
  <c r="M37" i="3"/>
  <c r="N37" i="3" s="1"/>
  <c r="M36" i="3"/>
  <c r="N36" i="3" s="1"/>
  <c r="M35" i="3"/>
  <c r="N35" i="3" s="1"/>
  <c r="M34" i="3"/>
  <c r="N34" i="3" s="1"/>
  <c r="M33" i="3"/>
  <c r="N33" i="3" s="1"/>
  <c r="M32" i="3"/>
  <c r="N32" i="3" s="1"/>
  <c r="M31" i="3"/>
  <c r="N31" i="3" s="1"/>
  <c r="M30" i="3"/>
  <c r="N30" i="3" s="1"/>
  <c r="M29" i="3"/>
  <c r="N29" i="3" s="1"/>
  <c r="M28" i="3"/>
  <c r="N28" i="3" s="1"/>
  <c r="M27" i="3"/>
  <c r="N27" i="3" s="1"/>
  <c r="M26" i="3"/>
  <c r="N26" i="3" s="1"/>
  <c r="M25" i="3"/>
  <c r="N25" i="3" s="1"/>
  <c r="M24" i="3"/>
  <c r="N24" i="3" s="1"/>
  <c r="M23" i="3"/>
  <c r="N23" i="3" s="1"/>
  <c r="M22" i="3"/>
  <c r="N22" i="3" s="1"/>
  <c r="M21" i="3"/>
  <c r="N21" i="3" s="1"/>
  <c r="M20" i="3"/>
  <c r="N20" i="3" s="1"/>
  <c r="M19" i="3"/>
  <c r="N19" i="3" s="1"/>
  <c r="M18" i="3"/>
  <c r="N18" i="3" s="1"/>
  <c r="N17" i="3"/>
  <c r="M17" i="3"/>
  <c r="M16" i="3"/>
  <c r="N16" i="3" s="1"/>
  <c r="M15" i="3"/>
  <c r="N15" i="3" s="1"/>
  <c r="M14" i="3"/>
  <c r="N14" i="3" s="1"/>
  <c r="M13" i="3"/>
  <c r="N13" i="3" s="1"/>
  <c r="M12" i="3"/>
  <c r="N12" i="3" s="1"/>
  <c r="M11" i="3"/>
  <c r="N11" i="3" s="1"/>
  <c r="M10" i="3"/>
  <c r="N10" i="3" s="1"/>
  <c r="M9" i="3"/>
  <c r="N9" i="3" s="1"/>
  <c r="M8" i="3"/>
  <c r="N8" i="3" s="1"/>
  <c r="M7" i="3"/>
  <c r="N7" i="3" s="1"/>
  <c r="M6" i="3"/>
  <c r="N6" i="3" s="1"/>
  <c r="AZ505" i="2"/>
  <c r="BA505" i="2" s="1"/>
  <c r="U505" i="2"/>
  <c r="K505" i="2"/>
  <c r="AZ504" i="2"/>
  <c r="BA504" i="2" s="1"/>
  <c r="U504" i="2"/>
  <c r="K504" i="2"/>
  <c r="AZ503" i="2"/>
  <c r="BA503" i="2" s="1"/>
  <c r="U503" i="2"/>
  <c r="K503" i="2"/>
  <c r="BA502" i="2"/>
  <c r="AZ502" i="2"/>
  <c r="U502" i="2"/>
  <c r="K502" i="2"/>
  <c r="AZ501" i="2"/>
  <c r="BA501" i="2" s="1"/>
  <c r="U501" i="2"/>
  <c r="K501" i="2"/>
  <c r="AZ500" i="2"/>
  <c r="BA500" i="2" s="1"/>
  <c r="U500" i="2"/>
  <c r="K500" i="2"/>
  <c r="AZ499" i="2"/>
  <c r="BA499" i="2" s="1"/>
  <c r="U499" i="2"/>
  <c r="K499" i="2"/>
  <c r="AZ498" i="2"/>
  <c r="BA498" i="2" s="1"/>
  <c r="U498" i="2"/>
  <c r="K498" i="2"/>
  <c r="AZ497" i="2"/>
  <c r="BA497" i="2" s="1"/>
  <c r="U497" i="2"/>
  <c r="K497" i="2"/>
  <c r="AZ496" i="2"/>
  <c r="BA496" i="2" s="1"/>
  <c r="U496" i="2"/>
  <c r="K496" i="2"/>
  <c r="AZ495" i="2"/>
  <c r="BA495" i="2" s="1"/>
  <c r="U495" i="2"/>
  <c r="K495" i="2"/>
  <c r="AZ494" i="2"/>
  <c r="BA494" i="2" s="1"/>
  <c r="U494" i="2"/>
  <c r="K494" i="2"/>
  <c r="AZ493" i="2"/>
  <c r="BA493" i="2" s="1"/>
  <c r="U493" i="2"/>
  <c r="K493" i="2"/>
  <c r="AZ492" i="2"/>
  <c r="BA492" i="2" s="1"/>
  <c r="U492" i="2"/>
  <c r="K492" i="2"/>
  <c r="AZ491" i="2"/>
  <c r="BA491" i="2" s="1"/>
  <c r="U491" i="2"/>
  <c r="K491" i="2"/>
  <c r="AZ490" i="2"/>
  <c r="BA490" i="2" s="1"/>
  <c r="U490" i="2"/>
  <c r="K490" i="2"/>
  <c r="AZ489" i="2"/>
  <c r="BA489" i="2" s="1"/>
  <c r="U489" i="2"/>
  <c r="K489" i="2"/>
  <c r="AZ488" i="2"/>
  <c r="BA488" i="2" s="1"/>
  <c r="U488" i="2"/>
  <c r="K488" i="2"/>
  <c r="AZ487" i="2"/>
  <c r="BA487" i="2" s="1"/>
  <c r="U487" i="2"/>
  <c r="K487" i="2"/>
  <c r="AZ486" i="2"/>
  <c r="BA486" i="2" s="1"/>
  <c r="U486" i="2"/>
  <c r="K486" i="2"/>
  <c r="AZ485" i="2"/>
  <c r="BA485" i="2" s="1"/>
  <c r="U485" i="2"/>
  <c r="K485" i="2"/>
  <c r="AZ484" i="2"/>
  <c r="BA484" i="2" s="1"/>
  <c r="U484" i="2"/>
  <c r="K484" i="2"/>
  <c r="AZ483" i="2"/>
  <c r="BA483" i="2" s="1"/>
  <c r="U483" i="2"/>
  <c r="K483" i="2"/>
  <c r="AZ482" i="2"/>
  <c r="BA482" i="2" s="1"/>
  <c r="U482" i="2"/>
  <c r="K482" i="2"/>
  <c r="AZ481" i="2"/>
  <c r="BA481" i="2" s="1"/>
  <c r="U481" i="2"/>
  <c r="K481" i="2"/>
  <c r="AZ480" i="2"/>
  <c r="BA480" i="2" s="1"/>
  <c r="U480" i="2"/>
  <c r="K480" i="2"/>
  <c r="AZ479" i="2"/>
  <c r="BA479" i="2" s="1"/>
  <c r="U479" i="2"/>
  <c r="K479" i="2"/>
  <c r="AZ478" i="2"/>
  <c r="BA478" i="2" s="1"/>
  <c r="U478" i="2"/>
  <c r="K478" i="2"/>
  <c r="AZ477" i="2"/>
  <c r="BA477" i="2" s="1"/>
  <c r="U477" i="2"/>
  <c r="K477" i="2"/>
  <c r="AZ476" i="2"/>
  <c r="BA476" i="2" s="1"/>
  <c r="U476" i="2"/>
  <c r="K476" i="2"/>
  <c r="AZ475" i="2"/>
  <c r="BA475" i="2" s="1"/>
  <c r="U475" i="2"/>
  <c r="K475" i="2"/>
  <c r="AZ474" i="2"/>
  <c r="BA474" i="2" s="1"/>
  <c r="U474" i="2"/>
  <c r="K474" i="2"/>
  <c r="AZ473" i="2"/>
  <c r="BA473" i="2" s="1"/>
  <c r="U473" i="2"/>
  <c r="K473" i="2"/>
  <c r="AZ472" i="2"/>
  <c r="BA472" i="2" s="1"/>
  <c r="U472" i="2"/>
  <c r="K472" i="2"/>
  <c r="AZ471" i="2"/>
  <c r="BA471" i="2" s="1"/>
  <c r="U471" i="2"/>
  <c r="K471" i="2"/>
  <c r="AZ470" i="2"/>
  <c r="BA470" i="2" s="1"/>
  <c r="U470" i="2"/>
  <c r="K470" i="2"/>
  <c r="AZ469" i="2"/>
  <c r="BA469" i="2" s="1"/>
  <c r="U469" i="2"/>
  <c r="K469" i="2"/>
  <c r="AZ468" i="2"/>
  <c r="BA468" i="2" s="1"/>
  <c r="U468" i="2"/>
  <c r="K468" i="2"/>
  <c r="AZ467" i="2"/>
  <c r="BA467" i="2" s="1"/>
  <c r="U467" i="2"/>
  <c r="K467" i="2"/>
  <c r="AZ466" i="2"/>
  <c r="BA466" i="2" s="1"/>
  <c r="U466" i="2"/>
  <c r="K466" i="2"/>
  <c r="AZ465" i="2"/>
  <c r="BA465" i="2" s="1"/>
  <c r="U465" i="2"/>
  <c r="K465" i="2"/>
  <c r="AZ464" i="2"/>
  <c r="BA464" i="2" s="1"/>
  <c r="U464" i="2"/>
  <c r="K464" i="2"/>
  <c r="AZ463" i="2"/>
  <c r="BA463" i="2" s="1"/>
  <c r="U463" i="2"/>
  <c r="K463" i="2"/>
  <c r="AZ462" i="2"/>
  <c r="BA462" i="2" s="1"/>
  <c r="U462" i="2"/>
  <c r="K462" i="2"/>
  <c r="AZ461" i="2"/>
  <c r="BA461" i="2" s="1"/>
  <c r="U461" i="2"/>
  <c r="K461" i="2"/>
  <c r="AZ460" i="2"/>
  <c r="BA460" i="2" s="1"/>
  <c r="U460" i="2"/>
  <c r="K460" i="2"/>
  <c r="AZ459" i="2"/>
  <c r="BA459" i="2" s="1"/>
  <c r="U459" i="2"/>
  <c r="K459" i="2"/>
  <c r="AZ458" i="2"/>
  <c r="BA458" i="2" s="1"/>
  <c r="U458" i="2"/>
  <c r="K458" i="2"/>
  <c r="AZ457" i="2"/>
  <c r="BA457" i="2" s="1"/>
  <c r="U457" i="2"/>
  <c r="K457" i="2"/>
  <c r="AZ456" i="2"/>
  <c r="BA456" i="2" s="1"/>
  <c r="U456" i="2"/>
  <c r="K456" i="2"/>
  <c r="AZ455" i="2"/>
  <c r="BA455" i="2" s="1"/>
  <c r="U455" i="2"/>
  <c r="K455" i="2"/>
  <c r="AZ454" i="2"/>
  <c r="BA454" i="2" s="1"/>
  <c r="U454" i="2"/>
  <c r="K454" i="2"/>
  <c r="AZ453" i="2"/>
  <c r="BA453" i="2" s="1"/>
  <c r="U453" i="2"/>
  <c r="K453" i="2"/>
  <c r="AZ452" i="2"/>
  <c r="BA452" i="2" s="1"/>
  <c r="U452" i="2"/>
  <c r="K452" i="2"/>
  <c r="AZ451" i="2"/>
  <c r="BA451" i="2" s="1"/>
  <c r="U451" i="2"/>
  <c r="K451" i="2"/>
  <c r="AZ450" i="2"/>
  <c r="BA450" i="2" s="1"/>
  <c r="U450" i="2"/>
  <c r="K450" i="2"/>
  <c r="AZ449" i="2"/>
  <c r="BA449" i="2" s="1"/>
  <c r="U449" i="2"/>
  <c r="K449" i="2"/>
  <c r="AZ448" i="2"/>
  <c r="BA448" i="2" s="1"/>
  <c r="U448" i="2"/>
  <c r="K448" i="2"/>
  <c r="AZ447" i="2"/>
  <c r="BA447" i="2" s="1"/>
  <c r="U447" i="2"/>
  <c r="K447" i="2"/>
  <c r="AZ446" i="2"/>
  <c r="BA446" i="2" s="1"/>
  <c r="U446" i="2"/>
  <c r="K446" i="2"/>
  <c r="AZ445" i="2"/>
  <c r="BA445" i="2" s="1"/>
  <c r="U445" i="2"/>
  <c r="K445" i="2"/>
  <c r="AZ444" i="2"/>
  <c r="BA444" i="2" s="1"/>
  <c r="U444" i="2"/>
  <c r="K444" i="2"/>
  <c r="AZ443" i="2"/>
  <c r="BA443" i="2" s="1"/>
  <c r="U443" i="2"/>
  <c r="K443" i="2"/>
  <c r="AZ442" i="2"/>
  <c r="BA442" i="2" s="1"/>
  <c r="U442" i="2"/>
  <c r="K442" i="2"/>
  <c r="AZ441" i="2"/>
  <c r="BA441" i="2" s="1"/>
  <c r="U441" i="2"/>
  <c r="K441" i="2"/>
  <c r="AZ440" i="2"/>
  <c r="BA440" i="2" s="1"/>
  <c r="U440" i="2"/>
  <c r="K440" i="2"/>
  <c r="AZ439" i="2"/>
  <c r="BA439" i="2" s="1"/>
  <c r="U439" i="2"/>
  <c r="K439" i="2"/>
  <c r="AZ438" i="2"/>
  <c r="BA438" i="2" s="1"/>
  <c r="U438" i="2"/>
  <c r="K438" i="2"/>
  <c r="AZ437" i="2"/>
  <c r="BA437" i="2" s="1"/>
  <c r="U437" i="2"/>
  <c r="K437" i="2"/>
  <c r="AZ436" i="2"/>
  <c r="BA436" i="2" s="1"/>
  <c r="U436" i="2"/>
  <c r="K436" i="2"/>
  <c r="AZ435" i="2"/>
  <c r="BA435" i="2" s="1"/>
  <c r="U435" i="2"/>
  <c r="K435" i="2"/>
  <c r="AZ434" i="2"/>
  <c r="BA434" i="2" s="1"/>
  <c r="U434" i="2"/>
  <c r="K434" i="2"/>
  <c r="AZ433" i="2"/>
  <c r="BA433" i="2" s="1"/>
  <c r="U433" i="2"/>
  <c r="K433" i="2"/>
  <c r="AZ432" i="2"/>
  <c r="BA432" i="2" s="1"/>
  <c r="U432" i="2"/>
  <c r="K432" i="2"/>
  <c r="AZ431" i="2"/>
  <c r="BA431" i="2" s="1"/>
  <c r="U431" i="2"/>
  <c r="K431" i="2"/>
  <c r="AZ430" i="2"/>
  <c r="BA430" i="2" s="1"/>
  <c r="U430" i="2"/>
  <c r="K430" i="2"/>
  <c r="AZ429" i="2"/>
  <c r="BA429" i="2" s="1"/>
  <c r="U429" i="2"/>
  <c r="K429" i="2"/>
  <c r="AZ428" i="2"/>
  <c r="BA428" i="2" s="1"/>
  <c r="U428" i="2"/>
  <c r="K428" i="2"/>
  <c r="AZ427" i="2"/>
  <c r="BA427" i="2" s="1"/>
  <c r="U427" i="2"/>
  <c r="K427" i="2"/>
  <c r="AZ426" i="2"/>
  <c r="BA426" i="2" s="1"/>
  <c r="U426" i="2"/>
  <c r="K426" i="2"/>
  <c r="AZ425" i="2"/>
  <c r="BA425" i="2" s="1"/>
  <c r="U425" i="2"/>
  <c r="K425" i="2"/>
  <c r="AZ424" i="2"/>
  <c r="BA424" i="2" s="1"/>
  <c r="U424" i="2"/>
  <c r="K424" i="2"/>
  <c r="AZ423" i="2"/>
  <c r="BA423" i="2" s="1"/>
  <c r="U423" i="2"/>
  <c r="K423" i="2"/>
  <c r="AZ422" i="2"/>
  <c r="BA422" i="2" s="1"/>
  <c r="U422" i="2"/>
  <c r="K422" i="2"/>
  <c r="AZ421" i="2"/>
  <c r="BA421" i="2" s="1"/>
  <c r="U421" i="2"/>
  <c r="K421" i="2"/>
  <c r="AZ420" i="2"/>
  <c r="BA420" i="2" s="1"/>
  <c r="U420" i="2"/>
  <c r="K420" i="2"/>
  <c r="AZ419" i="2"/>
  <c r="BA419" i="2" s="1"/>
  <c r="U419" i="2"/>
  <c r="K419" i="2"/>
  <c r="AZ418" i="2"/>
  <c r="BA418" i="2" s="1"/>
  <c r="U418" i="2"/>
  <c r="K418" i="2"/>
  <c r="AZ417" i="2"/>
  <c r="BA417" i="2" s="1"/>
  <c r="U417" i="2"/>
  <c r="K417" i="2"/>
  <c r="AZ416" i="2"/>
  <c r="BA416" i="2" s="1"/>
  <c r="U416" i="2"/>
  <c r="K416" i="2"/>
  <c r="AZ415" i="2"/>
  <c r="BA415" i="2" s="1"/>
  <c r="U415" i="2"/>
  <c r="K415" i="2"/>
  <c r="AZ414" i="2"/>
  <c r="BA414" i="2" s="1"/>
  <c r="U414" i="2"/>
  <c r="K414" i="2"/>
  <c r="AZ413" i="2"/>
  <c r="BA413" i="2" s="1"/>
  <c r="U413" i="2"/>
  <c r="K413" i="2"/>
  <c r="AZ412" i="2"/>
  <c r="BA412" i="2" s="1"/>
  <c r="U412" i="2"/>
  <c r="K412" i="2"/>
  <c r="AZ411" i="2"/>
  <c r="BA411" i="2" s="1"/>
  <c r="U411" i="2"/>
  <c r="K411" i="2"/>
  <c r="AZ410" i="2"/>
  <c r="BA410" i="2" s="1"/>
  <c r="U410" i="2"/>
  <c r="K410" i="2"/>
  <c r="AZ409" i="2"/>
  <c r="BA409" i="2" s="1"/>
  <c r="U409" i="2"/>
  <c r="K409" i="2"/>
  <c r="AZ408" i="2"/>
  <c r="BA408" i="2" s="1"/>
  <c r="U408" i="2"/>
  <c r="K408" i="2"/>
  <c r="AZ407" i="2"/>
  <c r="BA407" i="2" s="1"/>
  <c r="U407" i="2"/>
  <c r="K407" i="2"/>
  <c r="AZ406" i="2"/>
  <c r="BA406" i="2" s="1"/>
  <c r="U406" i="2"/>
  <c r="K406" i="2"/>
  <c r="AZ405" i="2"/>
  <c r="BA405" i="2" s="1"/>
  <c r="U405" i="2"/>
  <c r="K405" i="2"/>
  <c r="AZ404" i="2"/>
  <c r="BA404" i="2" s="1"/>
  <c r="U404" i="2"/>
  <c r="K404" i="2"/>
  <c r="AZ403" i="2"/>
  <c r="BA403" i="2" s="1"/>
  <c r="U403" i="2"/>
  <c r="K403" i="2"/>
  <c r="AZ402" i="2"/>
  <c r="BA402" i="2" s="1"/>
  <c r="U402" i="2"/>
  <c r="K402" i="2"/>
  <c r="AZ401" i="2"/>
  <c r="BA401" i="2" s="1"/>
  <c r="U401" i="2"/>
  <c r="K401" i="2"/>
  <c r="AZ400" i="2"/>
  <c r="BA400" i="2" s="1"/>
  <c r="U400" i="2"/>
  <c r="K400" i="2"/>
  <c r="AZ399" i="2"/>
  <c r="BA399" i="2" s="1"/>
  <c r="U399" i="2"/>
  <c r="K399" i="2"/>
  <c r="AZ398" i="2"/>
  <c r="BA398" i="2" s="1"/>
  <c r="U398" i="2"/>
  <c r="K398" i="2"/>
  <c r="AZ397" i="2"/>
  <c r="BA397" i="2" s="1"/>
  <c r="U397" i="2"/>
  <c r="K397" i="2"/>
  <c r="AZ396" i="2"/>
  <c r="BA396" i="2" s="1"/>
  <c r="U396" i="2"/>
  <c r="K396" i="2"/>
  <c r="AZ395" i="2"/>
  <c r="BA395" i="2" s="1"/>
  <c r="U395" i="2"/>
  <c r="K395" i="2"/>
  <c r="AZ394" i="2"/>
  <c r="BA394" i="2" s="1"/>
  <c r="U394" i="2"/>
  <c r="K394" i="2"/>
  <c r="AZ393" i="2"/>
  <c r="BA393" i="2" s="1"/>
  <c r="U393" i="2"/>
  <c r="K393" i="2"/>
  <c r="AZ392" i="2"/>
  <c r="BA392" i="2" s="1"/>
  <c r="U392" i="2"/>
  <c r="K392" i="2"/>
  <c r="AZ391" i="2"/>
  <c r="BA391" i="2" s="1"/>
  <c r="U391" i="2"/>
  <c r="K391" i="2"/>
  <c r="AZ390" i="2"/>
  <c r="BA390" i="2" s="1"/>
  <c r="U390" i="2"/>
  <c r="K390" i="2"/>
  <c r="AZ389" i="2"/>
  <c r="BA389" i="2" s="1"/>
  <c r="U389" i="2"/>
  <c r="K389" i="2"/>
  <c r="AZ388" i="2"/>
  <c r="BA388" i="2" s="1"/>
  <c r="U388" i="2"/>
  <c r="K388" i="2"/>
  <c r="AZ387" i="2"/>
  <c r="BA387" i="2" s="1"/>
  <c r="U387" i="2"/>
  <c r="K387" i="2"/>
  <c r="AZ386" i="2"/>
  <c r="BA386" i="2" s="1"/>
  <c r="U386" i="2"/>
  <c r="K386" i="2"/>
  <c r="AZ385" i="2"/>
  <c r="BA385" i="2" s="1"/>
  <c r="U385" i="2"/>
  <c r="K385" i="2"/>
  <c r="AZ384" i="2"/>
  <c r="BA384" i="2" s="1"/>
  <c r="U384" i="2"/>
  <c r="K384" i="2"/>
  <c r="AZ383" i="2"/>
  <c r="BA383" i="2" s="1"/>
  <c r="U383" i="2"/>
  <c r="K383" i="2"/>
  <c r="AZ382" i="2"/>
  <c r="BA382" i="2" s="1"/>
  <c r="U382" i="2"/>
  <c r="K382" i="2"/>
  <c r="AZ381" i="2"/>
  <c r="BA381" i="2" s="1"/>
  <c r="U381" i="2"/>
  <c r="K381" i="2"/>
  <c r="AZ380" i="2"/>
  <c r="BA380" i="2" s="1"/>
  <c r="U380" i="2"/>
  <c r="K380" i="2"/>
  <c r="AZ379" i="2"/>
  <c r="BA379" i="2" s="1"/>
  <c r="U379" i="2"/>
  <c r="K379" i="2"/>
  <c r="AZ378" i="2"/>
  <c r="BA378" i="2" s="1"/>
  <c r="U378" i="2"/>
  <c r="K378" i="2"/>
  <c r="AZ377" i="2"/>
  <c r="BA377" i="2" s="1"/>
  <c r="U377" i="2"/>
  <c r="K377" i="2"/>
  <c r="AZ376" i="2"/>
  <c r="BA376" i="2" s="1"/>
  <c r="U376" i="2"/>
  <c r="K376" i="2"/>
  <c r="AZ375" i="2"/>
  <c r="BA375" i="2" s="1"/>
  <c r="U375" i="2"/>
  <c r="K375" i="2"/>
  <c r="AZ374" i="2"/>
  <c r="BA374" i="2" s="1"/>
  <c r="U374" i="2"/>
  <c r="K374" i="2"/>
  <c r="AZ373" i="2"/>
  <c r="BA373" i="2" s="1"/>
  <c r="U373" i="2"/>
  <c r="K373" i="2"/>
  <c r="AZ372" i="2"/>
  <c r="BA372" i="2" s="1"/>
  <c r="U372" i="2"/>
  <c r="K372" i="2"/>
  <c r="AZ371" i="2"/>
  <c r="BA371" i="2" s="1"/>
  <c r="U371" i="2"/>
  <c r="K371" i="2"/>
  <c r="AZ370" i="2"/>
  <c r="BA370" i="2" s="1"/>
  <c r="U370" i="2"/>
  <c r="K370" i="2"/>
  <c r="AZ369" i="2"/>
  <c r="BA369" i="2" s="1"/>
  <c r="U369" i="2"/>
  <c r="K369" i="2"/>
  <c r="AZ368" i="2"/>
  <c r="BA368" i="2" s="1"/>
  <c r="U368" i="2"/>
  <c r="K368" i="2"/>
  <c r="AZ367" i="2"/>
  <c r="BA367" i="2" s="1"/>
  <c r="U367" i="2"/>
  <c r="K367" i="2"/>
  <c r="AZ366" i="2"/>
  <c r="BA366" i="2" s="1"/>
  <c r="U366" i="2"/>
  <c r="K366" i="2"/>
  <c r="AZ365" i="2"/>
  <c r="BA365" i="2" s="1"/>
  <c r="U365" i="2"/>
  <c r="K365" i="2"/>
  <c r="AZ364" i="2"/>
  <c r="BA364" i="2" s="1"/>
  <c r="U364" i="2"/>
  <c r="K364" i="2"/>
  <c r="AZ363" i="2"/>
  <c r="BA363" i="2" s="1"/>
  <c r="U363" i="2"/>
  <c r="K363" i="2"/>
  <c r="AZ362" i="2"/>
  <c r="BA362" i="2" s="1"/>
  <c r="U362" i="2"/>
  <c r="K362" i="2"/>
  <c r="AZ361" i="2"/>
  <c r="BA361" i="2" s="1"/>
  <c r="U361" i="2"/>
  <c r="K361" i="2"/>
  <c r="AZ360" i="2"/>
  <c r="BA360" i="2" s="1"/>
  <c r="U360" i="2"/>
  <c r="K360" i="2"/>
  <c r="AZ359" i="2"/>
  <c r="BA359" i="2" s="1"/>
  <c r="U359" i="2"/>
  <c r="K359" i="2"/>
  <c r="AZ358" i="2"/>
  <c r="BA358" i="2" s="1"/>
  <c r="U358" i="2"/>
  <c r="K358" i="2"/>
  <c r="AZ357" i="2"/>
  <c r="BA357" i="2" s="1"/>
  <c r="U357" i="2"/>
  <c r="K357" i="2"/>
  <c r="AZ356" i="2"/>
  <c r="BA356" i="2" s="1"/>
  <c r="U356" i="2"/>
  <c r="K356" i="2"/>
  <c r="AZ355" i="2"/>
  <c r="BA355" i="2" s="1"/>
  <c r="U355" i="2"/>
  <c r="K355" i="2"/>
  <c r="AZ354" i="2"/>
  <c r="BA354" i="2" s="1"/>
  <c r="U354" i="2"/>
  <c r="K354" i="2"/>
  <c r="AZ353" i="2"/>
  <c r="BA353" i="2" s="1"/>
  <c r="U353" i="2"/>
  <c r="K353" i="2"/>
  <c r="AZ352" i="2"/>
  <c r="BA352" i="2" s="1"/>
  <c r="U352" i="2"/>
  <c r="K352" i="2"/>
  <c r="AZ351" i="2"/>
  <c r="BA351" i="2" s="1"/>
  <c r="U351" i="2"/>
  <c r="K351" i="2"/>
  <c r="AZ350" i="2"/>
  <c r="BA350" i="2" s="1"/>
  <c r="U350" i="2"/>
  <c r="K350" i="2"/>
  <c r="AZ349" i="2"/>
  <c r="BA349" i="2" s="1"/>
  <c r="U349" i="2"/>
  <c r="K349" i="2"/>
  <c r="AZ348" i="2"/>
  <c r="BA348" i="2" s="1"/>
  <c r="U348" i="2"/>
  <c r="K348" i="2"/>
  <c r="AZ347" i="2"/>
  <c r="BA347" i="2" s="1"/>
  <c r="U347" i="2"/>
  <c r="K347" i="2"/>
  <c r="AZ346" i="2"/>
  <c r="BA346" i="2" s="1"/>
  <c r="U346" i="2"/>
  <c r="K346" i="2"/>
  <c r="AZ345" i="2"/>
  <c r="BA345" i="2" s="1"/>
  <c r="U345" i="2"/>
  <c r="K345" i="2"/>
  <c r="AZ344" i="2"/>
  <c r="BA344" i="2" s="1"/>
  <c r="U344" i="2"/>
  <c r="K344" i="2"/>
  <c r="AZ343" i="2"/>
  <c r="BA343" i="2" s="1"/>
  <c r="U343" i="2"/>
  <c r="K343" i="2"/>
  <c r="AZ342" i="2"/>
  <c r="BA342" i="2" s="1"/>
  <c r="U342" i="2"/>
  <c r="K342" i="2"/>
  <c r="AZ341" i="2"/>
  <c r="BA341" i="2" s="1"/>
  <c r="U341" i="2"/>
  <c r="K341" i="2"/>
  <c r="AZ340" i="2"/>
  <c r="BA340" i="2" s="1"/>
  <c r="U340" i="2"/>
  <c r="K340" i="2"/>
  <c r="AZ339" i="2"/>
  <c r="BA339" i="2" s="1"/>
  <c r="U339" i="2"/>
  <c r="K339" i="2"/>
  <c r="AZ338" i="2"/>
  <c r="BA338" i="2" s="1"/>
  <c r="U338" i="2"/>
  <c r="K338" i="2"/>
  <c r="AZ337" i="2"/>
  <c r="BA337" i="2" s="1"/>
  <c r="U337" i="2"/>
  <c r="K337" i="2"/>
  <c r="AZ336" i="2"/>
  <c r="BA336" i="2" s="1"/>
  <c r="U336" i="2"/>
  <c r="K336" i="2"/>
  <c r="AZ335" i="2"/>
  <c r="BA335" i="2" s="1"/>
  <c r="U335" i="2"/>
  <c r="K335" i="2"/>
  <c r="AZ334" i="2"/>
  <c r="BA334" i="2" s="1"/>
  <c r="U334" i="2"/>
  <c r="K334" i="2"/>
  <c r="AZ333" i="2"/>
  <c r="BA333" i="2" s="1"/>
  <c r="U333" i="2"/>
  <c r="K333" i="2"/>
  <c r="AZ332" i="2"/>
  <c r="BA332" i="2" s="1"/>
  <c r="U332" i="2"/>
  <c r="K332" i="2"/>
  <c r="AZ331" i="2"/>
  <c r="BA331" i="2" s="1"/>
  <c r="U331" i="2"/>
  <c r="K331" i="2"/>
  <c r="AZ330" i="2"/>
  <c r="BA330" i="2" s="1"/>
  <c r="U330" i="2"/>
  <c r="K330" i="2"/>
  <c r="AZ329" i="2"/>
  <c r="BA329" i="2" s="1"/>
  <c r="U329" i="2"/>
  <c r="K329" i="2"/>
  <c r="AZ328" i="2"/>
  <c r="BA328" i="2" s="1"/>
  <c r="U328" i="2"/>
  <c r="K328" i="2"/>
  <c r="AZ327" i="2"/>
  <c r="BA327" i="2" s="1"/>
  <c r="U327" i="2"/>
  <c r="K327" i="2"/>
  <c r="AZ326" i="2"/>
  <c r="BA326" i="2" s="1"/>
  <c r="U326" i="2"/>
  <c r="K326" i="2"/>
  <c r="AZ325" i="2"/>
  <c r="BA325" i="2" s="1"/>
  <c r="U325" i="2"/>
  <c r="K325" i="2"/>
  <c r="AZ324" i="2"/>
  <c r="BA324" i="2" s="1"/>
  <c r="U324" i="2"/>
  <c r="K324" i="2"/>
  <c r="AZ323" i="2"/>
  <c r="BA323" i="2" s="1"/>
  <c r="U323" i="2"/>
  <c r="K323" i="2"/>
  <c r="AZ322" i="2"/>
  <c r="BA322" i="2" s="1"/>
  <c r="U322" i="2"/>
  <c r="K322" i="2"/>
  <c r="AZ321" i="2"/>
  <c r="BA321" i="2" s="1"/>
  <c r="U321" i="2"/>
  <c r="K321" i="2"/>
  <c r="AZ320" i="2"/>
  <c r="BA320" i="2" s="1"/>
  <c r="U320" i="2"/>
  <c r="K320" i="2"/>
  <c r="AZ319" i="2"/>
  <c r="BA319" i="2" s="1"/>
  <c r="U319" i="2"/>
  <c r="K319" i="2"/>
  <c r="AZ318" i="2"/>
  <c r="BA318" i="2" s="1"/>
  <c r="U318" i="2"/>
  <c r="K318" i="2"/>
  <c r="AZ317" i="2"/>
  <c r="BA317" i="2" s="1"/>
  <c r="U317" i="2"/>
  <c r="K317" i="2"/>
  <c r="AZ316" i="2"/>
  <c r="BA316" i="2" s="1"/>
  <c r="U316" i="2"/>
  <c r="K316" i="2"/>
  <c r="AZ315" i="2"/>
  <c r="BA315" i="2" s="1"/>
  <c r="U315" i="2"/>
  <c r="K315" i="2"/>
  <c r="AZ314" i="2"/>
  <c r="BA314" i="2" s="1"/>
  <c r="U314" i="2"/>
  <c r="K314" i="2"/>
  <c r="AZ313" i="2"/>
  <c r="BA313" i="2" s="1"/>
  <c r="U313" i="2"/>
  <c r="K313" i="2"/>
  <c r="AZ312" i="2"/>
  <c r="BA312" i="2" s="1"/>
  <c r="U312" i="2"/>
  <c r="K312" i="2"/>
  <c r="AZ311" i="2"/>
  <c r="BA311" i="2" s="1"/>
  <c r="U311" i="2"/>
  <c r="K311" i="2"/>
  <c r="AZ310" i="2"/>
  <c r="BA310" i="2" s="1"/>
  <c r="U310" i="2"/>
  <c r="K310" i="2"/>
  <c r="AZ309" i="2"/>
  <c r="BA309" i="2" s="1"/>
  <c r="U309" i="2"/>
  <c r="K309" i="2"/>
  <c r="AZ308" i="2"/>
  <c r="BA308" i="2" s="1"/>
  <c r="U308" i="2"/>
  <c r="K308" i="2"/>
  <c r="AZ307" i="2"/>
  <c r="BA307" i="2" s="1"/>
  <c r="U307" i="2"/>
  <c r="K307" i="2"/>
  <c r="AZ306" i="2"/>
  <c r="BA306" i="2" s="1"/>
  <c r="U306" i="2"/>
  <c r="K306" i="2"/>
  <c r="AZ305" i="2"/>
  <c r="BA305" i="2" s="1"/>
  <c r="U305" i="2"/>
  <c r="K305" i="2"/>
  <c r="AZ304" i="2"/>
  <c r="BA304" i="2" s="1"/>
  <c r="U304" i="2"/>
  <c r="K304" i="2"/>
  <c r="AZ303" i="2"/>
  <c r="BA303" i="2" s="1"/>
  <c r="U303" i="2"/>
  <c r="K303" i="2"/>
  <c r="AZ302" i="2"/>
  <c r="BA302" i="2" s="1"/>
  <c r="U302" i="2"/>
  <c r="K302" i="2"/>
  <c r="AZ301" i="2"/>
  <c r="BA301" i="2" s="1"/>
  <c r="U301" i="2"/>
  <c r="K301" i="2"/>
  <c r="AZ300" i="2"/>
  <c r="BA300" i="2" s="1"/>
  <c r="U300" i="2"/>
  <c r="K300" i="2"/>
  <c r="AZ299" i="2"/>
  <c r="BA299" i="2" s="1"/>
  <c r="U299" i="2"/>
  <c r="K299" i="2"/>
  <c r="AZ298" i="2"/>
  <c r="BA298" i="2" s="1"/>
  <c r="U298" i="2"/>
  <c r="K298" i="2"/>
  <c r="AZ297" i="2"/>
  <c r="BA297" i="2" s="1"/>
  <c r="U297" i="2"/>
  <c r="K297" i="2"/>
  <c r="AZ296" i="2"/>
  <c r="BA296" i="2" s="1"/>
  <c r="U296" i="2"/>
  <c r="K296" i="2"/>
  <c r="AZ295" i="2"/>
  <c r="BA295" i="2" s="1"/>
  <c r="U295" i="2"/>
  <c r="K295" i="2"/>
  <c r="AZ294" i="2"/>
  <c r="BA294" i="2" s="1"/>
  <c r="U294" i="2"/>
  <c r="K294" i="2"/>
  <c r="AZ293" i="2"/>
  <c r="BA293" i="2" s="1"/>
  <c r="U293" i="2"/>
  <c r="K293" i="2"/>
  <c r="AZ292" i="2"/>
  <c r="BA292" i="2" s="1"/>
  <c r="U292" i="2"/>
  <c r="K292" i="2"/>
  <c r="AZ291" i="2"/>
  <c r="BA291" i="2" s="1"/>
  <c r="U291" i="2"/>
  <c r="K291" i="2"/>
  <c r="AZ290" i="2"/>
  <c r="BA290" i="2" s="1"/>
  <c r="U290" i="2"/>
  <c r="K290" i="2"/>
  <c r="AZ289" i="2"/>
  <c r="BA289" i="2" s="1"/>
  <c r="U289" i="2"/>
  <c r="K289" i="2"/>
  <c r="AZ288" i="2"/>
  <c r="BA288" i="2" s="1"/>
  <c r="U288" i="2"/>
  <c r="K288" i="2"/>
  <c r="AZ287" i="2"/>
  <c r="BA287" i="2" s="1"/>
  <c r="U287" i="2"/>
  <c r="K287" i="2"/>
  <c r="AZ286" i="2"/>
  <c r="BA286" i="2" s="1"/>
  <c r="U286" i="2"/>
  <c r="K286" i="2"/>
  <c r="AZ285" i="2"/>
  <c r="BA285" i="2" s="1"/>
  <c r="U285" i="2"/>
  <c r="K285" i="2"/>
  <c r="AZ284" i="2"/>
  <c r="BA284" i="2" s="1"/>
  <c r="U284" i="2"/>
  <c r="K284" i="2"/>
  <c r="AZ283" i="2"/>
  <c r="BA283" i="2" s="1"/>
  <c r="U283" i="2"/>
  <c r="K283" i="2"/>
  <c r="AZ282" i="2"/>
  <c r="BA282" i="2" s="1"/>
  <c r="U282" i="2"/>
  <c r="K282" i="2"/>
  <c r="AZ281" i="2"/>
  <c r="BA281" i="2" s="1"/>
  <c r="U281" i="2"/>
  <c r="K281" i="2"/>
  <c r="AZ280" i="2"/>
  <c r="BA280" i="2" s="1"/>
  <c r="U280" i="2"/>
  <c r="K280" i="2"/>
  <c r="AZ279" i="2"/>
  <c r="BA279" i="2" s="1"/>
  <c r="U279" i="2"/>
  <c r="K279" i="2"/>
  <c r="AZ278" i="2"/>
  <c r="BA278" i="2" s="1"/>
  <c r="U278" i="2"/>
  <c r="K278" i="2"/>
  <c r="AZ277" i="2"/>
  <c r="BA277" i="2" s="1"/>
  <c r="U277" i="2"/>
  <c r="K277" i="2"/>
  <c r="AZ276" i="2"/>
  <c r="BA276" i="2" s="1"/>
  <c r="U276" i="2"/>
  <c r="K276" i="2"/>
  <c r="AZ275" i="2"/>
  <c r="BA275" i="2" s="1"/>
  <c r="U275" i="2"/>
  <c r="K275" i="2"/>
  <c r="AZ274" i="2"/>
  <c r="BA274" i="2" s="1"/>
  <c r="U274" i="2"/>
  <c r="K274" i="2"/>
  <c r="AZ273" i="2"/>
  <c r="BA273" i="2" s="1"/>
  <c r="U273" i="2"/>
  <c r="K273" i="2"/>
  <c r="AZ272" i="2"/>
  <c r="BA272" i="2" s="1"/>
  <c r="U272" i="2"/>
  <c r="K272" i="2"/>
  <c r="AZ271" i="2"/>
  <c r="BA271" i="2" s="1"/>
  <c r="U271" i="2"/>
  <c r="K271" i="2"/>
  <c r="AZ270" i="2"/>
  <c r="BA270" i="2" s="1"/>
  <c r="U270" i="2"/>
  <c r="K270" i="2"/>
  <c r="AZ269" i="2"/>
  <c r="BA269" i="2" s="1"/>
  <c r="U269" i="2"/>
  <c r="K269" i="2"/>
  <c r="AZ268" i="2"/>
  <c r="BA268" i="2" s="1"/>
  <c r="U268" i="2"/>
  <c r="K268" i="2"/>
  <c r="AZ267" i="2"/>
  <c r="BA267" i="2" s="1"/>
  <c r="U267" i="2"/>
  <c r="K267" i="2"/>
  <c r="AZ266" i="2"/>
  <c r="BA266" i="2" s="1"/>
  <c r="U266" i="2"/>
  <c r="K266" i="2"/>
  <c r="AZ265" i="2"/>
  <c r="BA265" i="2" s="1"/>
  <c r="U265" i="2"/>
  <c r="K265" i="2"/>
  <c r="AZ264" i="2"/>
  <c r="BA264" i="2" s="1"/>
  <c r="U264" i="2"/>
  <c r="K264" i="2"/>
  <c r="AZ263" i="2"/>
  <c r="BA263" i="2" s="1"/>
  <c r="U263" i="2"/>
  <c r="K263" i="2"/>
  <c r="AZ262" i="2"/>
  <c r="BA262" i="2" s="1"/>
  <c r="U262" i="2"/>
  <c r="K262" i="2"/>
  <c r="AZ261" i="2"/>
  <c r="BA261" i="2" s="1"/>
  <c r="U261" i="2"/>
  <c r="K261" i="2"/>
  <c r="AZ260" i="2"/>
  <c r="BA260" i="2" s="1"/>
  <c r="U260" i="2"/>
  <c r="K260" i="2"/>
  <c r="AZ259" i="2"/>
  <c r="BA259" i="2" s="1"/>
  <c r="U259" i="2"/>
  <c r="K259" i="2"/>
  <c r="AZ258" i="2"/>
  <c r="BA258" i="2" s="1"/>
  <c r="U258" i="2"/>
  <c r="K258" i="2"/>
  <c r="AZ257" i="2"/>
  <c r="BA257" i="2" s="1"/>
  <c r="U257" i="2"/>
  <c r="K257" i="2"/>
  <c r="AZ256" i="2"/>
  <c r="BA256" i="2" s="1"/>
  <c r="U256" i="2"/>
  <c r="K256" i="2"/>
  <c r="AZ255" i="2"/>
  <c r="BA255" i="2" s="1"/>
  <c r="U255" i="2"/>
  <c r="K255" i="2"/>
  <c r="AZ254" i="2"/>
  <c r="BA254" i="2" s="1"/>
  <c r="U254" i="2"/>
  <c r="K254" i="2"/>
  <c r="AZ253" i="2"/>
  <c r="BA253" i="2" s="1"/>
  <c r="U253" i="2"/>
  <c r="K253" i="2"/>
  <c r="AZ252" i="2"/>
  <c r="BA252" i="2" s="1"/>
  <c r="U252" i="2"/>
  <c r="K252" i="2"/>
  <c r="AZ251" i="2"/>
  <c r="BA251" i="2" s="1"/>
  <c r="U251" i="2"/>
  <c r="K251" i="2"/>
  <c r="AZ250" i="2"/>
  <c r="BA250" i="2" s="1"/>
  <c r="U250" i="2"/>
  <c r="K250" i="2"/>
  <c r="AZ249" i="2"/>
  <c r="BA249" i="2" s="1"/>
  <c r="U249" i="2"/>
  <c r="K249" i="2"/>
  <c r="AZ248" i="2"/>
  <c r="BA248" i="2" s="1"/>
  <c r="U248" i="2"/>
  <c r="K248" i="2"/>
  <c r="AZ247" i="2"/>
  <c r="BA247" i="2" s="1"/>
  <c r="U247" i="2"/>
  <c r="K247" i="2"/>
  <c r="AZ246" i="2"/>
  <c r="BA246" i="2" s="1"/>
  <c r="U246" i="2"/>
  <c r="K246" i="2"/>
  <c r="AZ245" i="2"/>
  <c r="BA245" i="2" s="1"/>
  <c r="U245" i="2"/>
  <c r="K245" i="2"/>
  <c r="AZ244" i="2"/>
  <c r="BA244" i="2" s="1"/>
  <c r="U244" i="2"/>
  <c r="K244" i="2"/>
  <c r="AZ243" i="2"/>
  <c r="BA243" i="2" s="1"/>
  <c r="U243" i="2"/>
  <c r="K243" i="2"/>
  <c r="AZ242" i="2"/>
  <c r="BA242" i="2" s="1"/>
  <c r="U242" i="2"/>
  <c r="K242" i="2"/>
  <c r="AZ241" i="2"/>
  <c r="BA241" i="2" s="1"/>
  <c r="U241" i="2"/>
  <c r="K241" i="2"/>
  <c r="AZ240" i="2"/>
  <c r="BA240" i="2" s="1"/>
  <c r="U240" i="2"/>
  <c r="K240" i="2"/>
  <c r="AZ239" i="2"/>
  <c r="BA239" i="2" s="1"/>
  <c r="U239" i="2"/>
  <c r="K239" i="2"/>
  <c r="AZ238" i="2"/>
  <c r="BA238" i="2" s="1"/>
  <c r="U238" i="2"/>
  <c r="K238" i="2"/>
  <c r="AZ237" i="2"/>
  <c r="BA237" i="2" s="1"/>
  <c r="U237" i="2"/>
  <c r="K237" i="2"/>
  <c r="AZ236" i="2"/>
  <c r="BA236" i="2" s="1"/>
  <c r="U236" i="2"/>
  <c r="K236" i="2"/>
  <c r="AZ235" i="2"/>
  <c r="BA235" i="2" s="1"/>
  <c r="U235" i="2"/>
  <c r="K235" i="2"/>
  <c r="AZ234" i="2"/>
  <c r="BA234" i="2" s="1"/>
  <c r="U234" i="2"/>
  <c r="K234" i="2"/>
  <c r="AZ233" i="2"/>
  <c r="BA233" i="2" s="1"/>
  <c r="U233" i="2"/>
  <c r="K233" i="2"/>
  <c r="AZ232" i="2"/>
  <c r="BA232" i="2" s="1"/>
  <c r="U232" i="2"/>
  <c r="K232" i="2"/>
  <c r="AZ231" i="2"/>
  <c r="BA231" i="2" s="1"/>
  <c r="U231" i="2"/>
  <c r="K231" i="2"/>
  <c r="AZ230" i="2"/>
  <c r="BA230" i="2" s="1"/>
  <c r="U230" i="2"/>
  <c r="K230" i="2"/>
  <c r="AZ229" i="2"/>
  <c r="BA229" i="2" s="1"/>
  <c r="U229" i="2"/>
  <c r="K229" i="2"/>
  <c r="AZ228" i="2"/>
  <c r="BA228" i="2" s="1"/>
  <c r="U228" i="2"/>
  <c r="K228" i="2"/>
  <c r="AZ227" i="2"/>
  <c r="BA227" i="2" s="1"/>
  <c r="U227" i="2"/>
  <c r="K227" i="2"/>
  <c r="AZ226" i="2"/>
  <c r="BA226" i="2" s="1"/>
  <c r="U226" i="2"/>
  <c r="K226" i="2"/>
  <c r="AZ225" i="2"/>
  <c r="BA225" i="2" s="1"/>
  <c r="U225" i="2"/>
  <c r="K225" i="2"/>
  <c r="AZ224" i="2"/>
  <c r="BA224" i="2" s="1"/>
  <c r="U224" i="2"/>
  <c r="K224" i="2"/>
  <c r="AZ223" i="2"/>
  <c r="BA223" i="2" s="1"/>
  <c r="U223" i="2"/>
  <c r="K223" i="2"/>
  <c r="AZ222" i="2"/>
  <c r="BA222" i="2" s="1"/>
  <c r="U222" i="2"/>
  <c r="K222" i="2"/>
  <c r="AZ221" i="2"/>
  <c r="BA221" i="2" s="1"/>
  <c r="U221" i="2"/>
  <c r="K221" i="2"/>
  <c r="AZ220" i="2"/>
  <c r="BA220" i="2" s="1"/>
  <c r="U220" i="2"/>
  <c r="K220" i="2"/>
  <c r="AZ219" i="2"/>
  <c r="BA219" i="2" s="1"/>
  <c r="U219" i="2"/>
  <c r="K219" i="2"/>
  <c r="AZ218" i="2"/>
  <c r="BA218" i="2" s="1"/>
  <c r="U218" i="2"/>
  <c r="K218" i="2"/>
  <c r="AZ217" i="2"/>
  <c r="BA217" i="2" s="1"/>
  <c r="U217" i="2"/>
  <c r="K217" i="2"/>
  <c r="AZ216" i="2"/>
  <c r="BA216" i="2" s="1"/>
  <c r="U216" i="2"/>
  <c r="K216" i="2"/>
  <c r="AZ215" i="2"/>
  <c r="BA215" i="2" s="1"/>
  <c r="U215" i="2"/>
  <c r="K215" i="2"/>
  <c r="AZ214" i="2"/>
  <c r="BA214" i="2" s="1"/>
  <c r="U214" i="2"/>
  <c r="K214" i="2"/>
  <c r="AZ213" i="2"/>
  <c r="BA213" i="2" s="1"/>
  <c r="U213" i="2"/>
  <c r="K213" i="2"/>
  <c r="AZ212" i="2"/>
  <c r="BA212" i="2" s="1"/>
  <c r="U212" i="2"/>
  <c r="K212" i="2"/>
  <c r="AZ211" i="2"/>
  <c r="BA211" i="2" s="1"/>
  <c r="U211" i="2"/>
  <c r="K211" i="2"/>
  <c r="AZ210" i="2"/>
  <c r="BA210" i="2" s="1"/>
  <c r="U210" i="2"/>
  <c r="K210" i="2"/>
  <c r="AZ209" i="2"/>
  <c r="BA209" i="2" s="1"/>
  <c r="U209" i="2"/>
  <c r="K209" i="2"/>
  <c r="AZ208" i="2"/>
  <c r="BA208" i="2" s="1"/>
  <c r="U208" i="2"/>
  <c r="K208" i="2"/>
  <c r="AZ207" i="2"/>
  <c r="BA207" i="2" s="1"/>
  <c r="U207" i="2"/>
  <c r="K207" i="2"/>
  <c r="AZ206" i="2"/>
  <c r="BA206" i="2" s="1"/>
  <c r="U206" i="2"/>
  <c r="K206" i="2"/>
  <c r="AZ205" i="2"/>
  <c r="BA205" i="2" s="1"/>
  <c r="U205" i="2"/>
  <c r="K205" i="2"/>
  <c r="AZ204" i="2"/>
  <c r="BA204" i="2" s="1"/>
  <c r="U204" i="2"/>
  <c r="K204" i="2"/>
  <c r="AZ203" i="2"/>
  <c r="BA203" i="2" s="1"/>
  <c r="U203" i="2"/>
  <c r="K203" i="2"/>
  <c r="AZ202" i="2"/>
  <c r="BA202" i="2" s="1"/>
  <c r="U202" i="2"/>
  <c r="K202" i="2"/>
  <c r="AZ201" i="2"/>
  <c r="BA201" i="2" s="1"/>
  <c r="U201" i="2"/>
  <c r="K201" i="2"/>
  <c r="AZ200" i="2"/>
  <c r="BA200" i="2" s="1"/>
  <c r="U200" i="2"/>
  <c r="K200" i="2"/>
  <c r="AZ199" i="2"/>
  <c r="BA199" i="2" s="1"/>
  <c r="U199" i="2"/>
  <c r="K199" i="2"/>
  <c r="AZ198" i="2"/>
  <c r="BA198" i="2" s="1"/>
  <c r="U198" i="2"/>
  <c r="K198" i="2"/>
  <c r="AZ197" i="2"/>
  <c r="BA197" i="2" s="1"/>
  <c r="U197" i="2"/>
  <c r="K197" i="2"/>
  <c r="AZ196" i="2"/>
  <c r="BA196" i="2" s="1"/>
  <c r="U196" i="2"/>
  <c r="K196" i="2"/>
  <c r="AZ195" i="2"/>
  <c r="BA195" i="2" s="1"/>
  <c r="U195" i="2"/>
  <c r="K195" i="2"/>
  <c r="AZ194" i="2"/>
  <c r="BA194" i="2" s="1"/>
  <c r="U194" i="2"/>
  <c r="K194" i="2"/>
  <c r="AZ193" i="2"/>
  <c r="BA193" i="2" s="1"/>
  <c r="U193" i="2"/>
  <c r="K193" i="2"/>
  <c r="AZ192" i="2"/>
  <c r="BA192" i="2" s="1"/>
  <c r="U192" i="2"/>
  <c r="K192" i="2"/>
  <c r="AZ191" i="2"/>
  <c r="BA191" i="2" s="1"/>
  <c r="U191" i="2"/>
  <c r="K191" i="2"/>
  <c r="AZ190" i="2"/>
  <c r="BA190" i="2" s="1"/>
  <c r="U190" i="2"/>
  <c r="K190" i="2"/>
  <c r="AZ189" i="2"/>
  <c r="BA189" i="2" s="1"/>
  <c r="U189" i="2"/>
  <c r="K189" i="2"/>
  <c r="AZ188" i="2"/>
  <c r="BA188" i="2" s="1"/>
  <c r="U188" i="2"/>
  <c r="K188" i="2"/>
  <c r="AZ187" i="2"/>
  <c r="BA187" i="2" s="1"/>
  <c r="U187" i="2"/>
  <c r="K187" i="2"/>
  <c r="AZ186" i="2"/>
  <c r="BA186" i="2" s="1"/>
  <c r="U186" i="2"/>
  <c r="K186" i="2"/>
  <c r="AZ185" i="2"/>
  <c r="BA185" i="2" s="1"/>
  <c r="U185" i="2"/>
  <c r="K185" i="2"/>
  <c r="AZ184" i="2"/>
  <c r="BA184" i="2" s="1"/>
  <c r="U184" i="2"/>
  <c r="K184" i="2"/>
  <c r="AZ183" i="2"/>
  <c r="BA183" i="2" s="1"/>
  <c r="U183" i="2"/>
  <c r="K183" i="2"/>
  <c r="AZ182" i="2"/>
  <c r="BA182" i="2" s="1"/>
  <c r="U182" i="2"/>
  <c r="K182" i="2"/>
  <c r="AZ181" i="2"/>
  <c r="BA181" i="2" s="1"/>
  <c r="U181" i="2"/>
  <c r="K181" i="2"/>
  <c r="AZ180" i="2"/>
  <c r="BA180" i="2" s="1"/>
  <c r="U180" i="2"/>
  <c r="K180" i="2"/>
  <c r="AZ179" i="2"/>
  <c r="BA179" i="2" s="1"/>
  <c r="U179" i="2"/>
  <c r="K179" i="2"/>
  <c r="AZ178" i="2"/>
  <c r="BA178" i="2" s="1"/>
  <c r="U178" i="2"/>
  <c r="K178" i="2"/>
  <c r="AZ177" i="2"/>
  <c r="BA177" i="2" s="1"/>
  <c r="U177" i="2"/>
  <c r="K177" i="2"/>
  <c r="BA176" i="2"/>
  <c r="AZ176" i="2"/>
  <c r="U176" i="2"/>
  <c r="K176" i="2"/>
  <c r="AZ175" i="2"/>
  <c r="BA175" i="2" s="1"/>
  <c r="U175" i="2"/>
  <c r="K175" i="2"/>
  <c r="AZ174" i="2"/>
  <c r="BA174" i="2" s="1"/>
  <c r="U174" i="2"/>
  <c r="K174" i="2"/>
  <c r="AZ173" i="2"/>
  <c r="BA173" i="2" s="1"/>
  <c r="U173" i="2"/>
  <c r="K173" i="2"/>
  <c r="AZ172" i="2"/>
  <c r="BA172" i="2" s="1"/>
  <c r="U172" i="2"/>
  <c r="K172" i="2"/>
  <c r="AZ171" i="2"/>
  <c r="BA171" i="2" s="1"/>
  <c r="U171" i="2"/>
  <c r="K171" i="2"/>
  <c r="AZ170" i="2"/>
  <c r="BA170" i="2" s="1"/>
  <c r="U170" i="2"/>
  <c r="K170" i="2"/>
  <c r="AZ169" i="2"/>
  <c r="BA169" i="2" s="1"/>
  <c r="U169" i="2"/>
  <c r="K169" i="2"/>
  <c r="AZ168" i="2"/>
  <c r="BA168" i="2" s="1"/>
  <c r="U168" i="2"/>
  <c r="K168" i="2"/>
  <c r="AZ167" i="2"/>
  <c r="BA167" i="2" s="1"/>
  <c r="U167" i="2"/>
  <c r="K167" i="2"/>
  <c r="AZ166" i="2"/>
  <c r="BA166" i="2" s="1"/>
  <c r="U166" i="2"/>
  <c r="K166" i="2"/>
  <c r="AZ165" i="2"/>
  <c r="BA165" i="2" s="1"/>
  <c r="U165" i="2"/>
  <c r="K165" i="2"/>
  <c r="AZ164" i="2"/>
  <c r="BA164" i="2" s="1"/>
  <c r="U164" i="2"/>
  <c r="K164" i="2"/>
  <c r="AZ163" i="2"/>
  <c r="BA163" i="2" s="1"/>
  <c r="U163" i="2"/>
  <c r="K163" i="2"/>
  <c r="AZ162" i="2"/>
  <c r="BA162" i="2" s="1"/>
  <c r="U162" i="2"/>
  <c r="K162" i="2"/>
  <c r="AZ161" i="2"/>
  <c r="BA161" i="2" s="1"/>
  <c r="U161" i="2"/>
  <c r="K161" i="2"/>
  <c r="AZ160" i="2"/>
  <c r="BA160" i="2" s="1"/>
  <c r="U160" i="2"/>
  <c r="K160" i="2"/>
  <c r="AZ159" i="2"/>
  <c r="BA159" i="2" s="1"/>
  <c r="U159" i="2"/>
  <c r="K159" i="2"/>
  <c r="AZ158" i="2"/>
  <c r="BA158" i="2" s="1"/>
  <c r="U158" i="2"/>
  <c r="K158" i="2"/>
  <c r="AZ157" i="2"/>
  <c r="BA157" i="2" s="1"/>
  <c r="U157" i="2"/>
  <c r="K157" i="2"/>
  <c r="AZ156" i="2"/>
  <c r="BA156" i="2" s="1"/>
  <c r="U156" i="2"/>
  <c r="K156" i="2"/>
  <c r="AZ155" i="2"/>
  <c r="BA155" i="2" s="1"/>
  <c r="U155" i="2"/>
  <c r="K155" i="2"/>
  <c r="AZ154" i="2"/>
  <c r="BA154" i="2" s="1"/>
  <c r="U154" i="2"/>
  <c r="K154" i="2"/>
  <c r="AZ153" i="2"/>
  <c r="BA153" i="2" s="1"/>
  <c r="U153" i="2"/>
  <c r="K153" i="2"/>
  <c r="AZ152" i="2"/>
  <c r="BA152" i="2" s="1"/>
  <c r="U152" i="2"/>
  <c r="K152" i="2"/>
  <c r="AZ151" i="2"/>
  <c r="BA151" i="2" s="1"/>
  <c r="U151" i="2"/>
  <c r="K151" i="2"/>
  <c r="AZ150" i="2"/>
  <c r="BA150" i="2" s="1"/>
  <c r="U150" i="2"/>
  <c r="K150" i="2"/>
  <c r="AZ149" i="2"/>
  <c r="BA149" i="2" s="1"/>
  <c r="U149" i="2"/>
  <c r="K149" i="2"/>
  <c r="AZ148" i="2"/>
  <c r="BA148" i="2" s="1"/>
  <c r="U148" i="2"/>
  <c r="K148" i="2"/>
  <c r="AZ147" i="2"/>
  <c r="BA147" i="2" s="1"/>
  <c r="U147" i="2"/>
  <c r="K147" i="2"/>
  <c r="AZ146" i="2"/>
  <c r="BA146" i="2" s="1"/>
  <c r="U146" i="2"/>
  <c r="K146" i="2"/>
  <c r="AZ145" i="2"/>
  <c r="BA145" i="2" s="1"/>
  <c r="U145" i="2"/>
  <c r="K145" i="2"/>
  <c r="AZ144" i="2"/>
  <c r="BA144" i="2" s="1"/>
  <c r="U144" i="2"/>
  <c r="K144" i="2"/>
  <c r="AZ143" i="2"/>
  <c r="BA143" i="2" s="1"/>
  <c r="U143" i="2"/>
  <c r="K143" i="2"/>
  <c r="AZ142" i="2"/>
  <c r="BA142" i="2" s="1"/>
  <c r="U142" i="2"/>
  <c r="K142" i="2"/>
  <c r="AZ141" i="2"/>
  <c r="BA141" i="2" s="1"/>
  <c r="U141" i="2"/>
  <c r="K141" i="2"/>
  <c r="AZ140" i="2"/>
  <c r="BA140" i="2" s="1"/>
  <c r="U140" i="2"/>
  <c r="K140" i="2"/>
  <c r="AZ139" i="2"/>
  <c r="BA139" i="2" s="1"/>
  <c r="U139" i="2"/>
  <c r="K139" i="2"/>
  <c r="AZ138" i="2"/>
  <c r="BA138" i="2" s="1"/>
  <c r="U138" i="2"/>
  <c r="K138" i="2"/>
  <c r="AZ137" i="2"/>
  <c r="BA137" i="2" s="1"/>
  <c r="U137" i="2"/>
  <c r="K137" i="2"/>
  <c r="AZ136" i="2"/>
  <c r="BA136" i="2" s="1"/>
  <c r="U136" i="2"/>
  <c r="K136" i="2"/>
  <c r="AZ135" i="2"/>
  <c r="BA135" i="2" s="1"/>
  <c r="U135" i="2"/>
  <c r="K135" i="2"/>
  <c r="AZ134" i="2"/>
  <c r="BA134" i="2" s="1"/>
  <c r="U134" i="2"/>
  <c r="K134" i="2"/>
  <c r="AZ133" i="2"/>
  <c r="BA133" i="2" s="1"/>
  <c r="U133" i="2"/>
  <c r="K133" i="2"/>
  <c r="AZ132" i="2"/>
  <c r="BA132" i="2" s="1"/>
  <c r="U132" i="2"/>
  <c r="K132" i="2"/>
  <c r="AZ131" i="2"/>
  <c r="BA131" i="2" s="1"/>
  <c r="U131" i="2"/>
  <c r="K131" i="2"/>
  <c r="AZ130" i="2"/>
  <c r="BA130" i="2" s="1"/>
  <c r="U130" i="2"/>
  <c r="K130" i="2"/>
  <c r="AZ129" i="2"/>
  <c r="BA129" i="2" s="1"/>
  <c r="U129" i="2"/>
  <c r="K129" i="2"/>
  <c r="AZ128" i="2"/>
  <c r="BA128" i="2" s="1"/>
  <c r="U128" i="2"/>
  <c r="K128" i="2"/>
  <c r="AZ127" i="2"/>
  <c r="BA127" i="2" s="1"/>
  <c r="U127" i="2"/>
  <c r="K127" i="2"/>
  <c r="AZ126" i="2"/>
  <c r="BA126" i="2" s="1"/>
  <c r="U126" i="2"/>
  <c r="K126" i="2"/>
  <c r="AZ125" i="2"/>
  <c r="BA125" i="2" s="1"/>
  <c r="U125" i="2"/>
  <c r="K125" i="2"/>
  <c r="AZ124" i="2"/>
  <c r="BA124" i="2" s="1"/>
  <c r="U124" i="2"/>
  <c r="K124" i="2"/>
  <c r="AZ123" i="2"/>
  <c r="BA123" i="2" s="1"/>
  <c r="U123" i="2"/>
  <c r="K123" i="2"/>
  <c r="AZ122" i="2"/>
  <c r="BA122" i="2" s="1"/>
  <c r="U122" i="2"/>
  <c r="K122" i="2"/>
  <c r="AZ121" i="2"/>
  <c r="BA121" i="2" s="1"/>
  <c r="U121" i="2"/>
  <c r="K121" i="2"/>
  <c r="AZ120" i="2"/>
  <c r="BA120" i="2" s="1"/>
  <c r="U120" i="2"/>
  <c r="K120" i="2"/>
  <c r="AZ119" i="2"/>
  <c r="BA119" i="2" s="1"/>
  <c r="U119" i="2"/>
  <c r="K119" i="2"/>
  <c r="AZ118" i="2"/>
  <c r="BA118" i="2" s="1"/>
  <c r="U118" i="2"/>
  <c r="K118" i="2"/>
  <c r="AZ117" i="2"/>
  <c r="BA117" i="2" s="1"/>
  <c r="U117" i="2"/>
  <c r="K117" i="2"/>
  <c r="AZ116" i="2"/>
  <c r="BA116" i="2" s="1"/>
  <c r="U116" i="2"/>
  <c r="K116" i="2"/>
  <c r="AZ115" i="2"/>
  <c r="BA115" i="2" s="1"/>
  <c r="U115" i="2"/>
  <c r="K115" i="2"/>
  <c r="AZ114" i="2"/>
  <c r="BA114" i="2" s="1"/>
  <c r="U114" i="2"/>
  <c r="K114" i="2"/>
  <c r="AZ113" i="2"/>
  <c r="BA113" i="2" s="1"/>
  <c r="U113" i="2"/>
  <c r="K113" i="2"/>
  <c r="AZ112" i="2"/>
  <c r="BA112" i="2" s="1"/>
  <c r="U112" i="2"/>
  <c r="K112" i="2"/>
  <c r="AZ111" i="2"/>
  <c r="BA111" i="2" s="1"/>
  <c r="U111" i="2"/>
  <c r="K111" i="2"/>
  <c r="AZ110" i="2"/>
  <c r="BA110" i="2" s="1"/>
  <c r="U110" i="2"/>
  <c r="K110" i="2"/>
  <c r="AZ109" i="2"/>
  <c r="BA109" i="2" s="1"/>
  <c r="U109" i="2"/>
  <c r="K109" i="2"/>
  <c r="AZ108" i="2"/>
  <c r="BA108" i="2" s="1"/>
  <c r="U108" i="2"/>
  <c r="K108" i="2"/>
  <c r="AZ107" i="2"/>
  <c r="BA107" i="2" s="1"/>
  <c r="U107" i="2"/>
  <c r="K107" i="2"/>
  <c r="AZ106" i="2"/>
  <c r="BA106" i="2" s="1"/>
  <c r="U106" i="2"/>
  <c r="K106" i="2"/>
  <c r="AZ105" i="2"/>
  <c r="BA105" i="2" s="1"/>
  <c r="U105" i="2"/>
  <c r="K105" i="2"/>
  <c r="AZ104" i="2"/>
  <c r="BA104" i="2" s="1"/>
  <c r="U104" i="2"/>
  <c r="K104" i="2"/>
  <c r="AZ103" i="2"/>
  <c r="BA103" i="2" s="1"/>
  <c r="U103" i="2"/>
  <c r="K103" i="2"/>
  <c r="AZ102" i="2"/>
  <c r="BA102" i="2" s="1"/>
  <c r="U102" i="2"/>
  <c r="K102" i="2"/>
  <c r="AZ101" i="2"/>
  <c r="BA101" i="2" s="1"/>
  <c r="U101" i="2"/>
  <c r="K101" i="2"/>
  <c r="AZ100" i="2"/>
  <c r="BA100" i="2" s="1"/>
  <c r="U100" i="2"/>
  <c r="K100" i="2"/>
  <c r="AZ99" i="2"/>
  <c r="BA99" i="2" s="1"/>
  <c r="U99" i="2"/>
  <c r="K99" i="2"/>
  <c r="AZ98" i="2"/>
  <c r="BA98" i="2" s="1"/>
  <c r="U98" i="2"/>
  <c r="K98" i="2"/>
  <c r="AZ97" i="2"/>
  <c r="BA97" i="2" s="1"/>
  <c r="U97" i="2"/>
  <c r="K97" i="2"/>
  <c r="AZ96" i="2"/>
  <c r="BA96" i="2" s="1"/>
  <c r="U96" i="2"/>
  <c r="K96" i="2"/>
  <c r="AZ95" i="2"/>
  <c r="BA95" i="2" s="1"/>
  <c r="U95" i="2"/>
  <c r="K95" i="2"/>
  <c r="AZ94" i="2"/>
  <c r="BA94" i="2" s="1"/>
  <c r="U94" i="2"/>
  <c r="K94" i="2"/>
  <c r="AZ93" i="2"/>
  <c r="BA93" i="2" s="1"/>
  <c r="U93" i="2"/>
  <c r="K93" i="2"/>
  <c r="AZ92" i="2"/>
  <c r="BA92" i="2" s="1"/>
  <c r="U92" i="2"/>
  <c r="K92" i="2"/>
  <c r="AZ91" i="2"/>
  <c r="BA91" i="2" s="1"/>
  <c r="U91" i="2"/>
  <c r="K91" i="2"/>
  <c r="AZ90" i="2"/>
  <c r="BA90" i="2" s="1"/>
  <c r="U90" i="2"/>
  <c r="K90" i="2"/>
  <c r="AZ89" i="2"/>
  <c r="BA89" i="2" s="1"/>
  <c r="U89" i="2"/>
  <c r="K89" i="2"/>
  <c r="AZ88" i="2"/>
  <c r="BA88" i="2" s="1"/>
  <c r="U88" i="2"/>
  <c r="K88" i="2"/>
  <c r="AZ87" i="2"/>
  <c r="BA87" i="2" s="1"/>
  <c r="U87" i="2"/>
  <c r="K87" i="2"/>
  <c r="AZ86" i="2"/>
  <c r="BA86" i="2" s="1"/>
  <c r="U86" i="2"/>
  <c r="K86" i="2"/>
  <c r="AZ85" i="2"/>
  <c r="BA85" i="2" s="1"/>
  <c r="U85" i="2"/>
  <c r="K85" i="2"/>
  <c r="AZ84" i="2"/>
  <c r="BA84" i="2" s="1"/>
  <c r="U84" i="2"/>
  <c r="K84" i="2"/>
  <c r="AZ83" i="2"/>
  <c r="BA83" i="2" s="1"/>
  <c r="U83" i="2"/>
  <c r="K83" i="2"/>
  <c r="AZ82" i="2"/>
  <c r="BA82" i="2" s="1"/>
  <c r="U82" i="2"/>
  <c r="K82" i="2"/>
  <c r="AZ81" i="2"/>
  <c r="BA81" i="2" s="1"/>
  <c r="U81" i="2"/>
  <c r="K81" i="2"/>
  <c r="AZ80" i="2"/>
  <c r="BA80" i="2" s="1"/>
  <c r="U80" i="2"/>
  <c r="K80" i="2"/>
  <c r="AZ79" i="2"/>
  <c r="BA79" i="2" s="1"/>
  <c r="U79" i="2"/>
  <c r="K79" i="2"/>
  <c r="AZ78" i="2"/>
  <c r="BA78" i="2" s="1"/>
  <c r="U78" i="2"/>
  <c r="K78" i="2"/>
  <c r="AZ77" i="2"/>
  <c r="BA77" i="2" s="1"/>
  <c r="U77" i="2"/>
  <c r="K77" i="2"/>
  <c r="AZ76" i="2"/>
  <c r="BA76" i="2" s="1"/>
  <c r="U76" i="2"/>
  <c r="K76" i="2"/>
  <c r="AZ75" i="2"/>
  <c r="BA75" i="2" s="1"/>
  <c r="U75" i="2"/>
  <c r="K75" i="2"/>
  <c r="AZ74" i="2"/>
  <c r="BA74" i="2" s="1"/>
  <c r="U74" i="2"/>
  <c r="K74" i="2"/>
  <c r="AZ73" i="2"/>
  <c r="BA73" i="2" s="1"/>
  <c r="U73" i="2"/>
  <c r="K73" i="2"/>
  <c r="AZ72" i="2"/>
  <c r="BA72" i="2" s="1"/>
  <c r="U72" i="2"/>
  <c r="K72" i="2"/>
  <c r="AZ71" i="2"/>
  <c r="BA71" i="2" s="1"/>
  <c r="U71" i="2"/>
  <c r="K71" i="2"/>
  <c r="AZ70" i="2"/>
  <c r="BA70" i="2" s="1"/>
  <c r="U70" i="2"/>
  <c r="K70" i="2"/>
  <c r="AZ69" i="2"/>
  <c r="BA69" i="2" s="1"/>
  <c r="U69" i="2"/>
  <c r="K69" i="2"/>
  <c r="AZ68" i="2"/>
  <c r="BA68" i="2" s="1"/>
  <c r="U68" i="2"/>
  <c r="K68" i="2"/>
  <c r="AZ67" i="2"/>
  <c r="BA67" i="2" s="1"/>
  <c r="U67" i="2"/>
  <c r="K67" i="2"/>
  <c r="AZ66" i="2"/>
  <c r="BA66" i="2" s="1"/>
  <c r="U66" i="2"/>
  <c r="K66" i="2"/>
  <c r="AZ65" i="2"/>
  <c r="BA65" i="2" s="1"/>
  <c r="U65" i="2"/>
  <c r="K65" i="2"/>
  <c r="AZ64" i="2"/>
  <c r="BA64" i="2" s="1"/>
  <c r="U64" i="2"/>
  <c r="K64" i="2"/>
  <c r="AZ63" i="2"/>
  <c r="BA63" i="2" s="1"/>
  <c r="U63" i="2"/>
  <c r="K63" i="2"/>
  <c r="AZ62" i="2"/>
  <c r="BA62" i="2" s="1"/>
  <c r="U62" i="2"/>
  <c r="K62" i="2"/>
  <c r="AZ61" i="2"/>
  <c r="BA61" i="2" s="1"/>
  <c r="U61" i="2"/>
  <c r="K61" i="2"/>
  <c r="AZ60" i="2"/>
  <c r="BA60" i="2" s="1"/>
  <c r="U60" i="2"/>
  <c r="K60" i="2"/>
  <c r="AZ59" i="2"/>
  <c r="BA59" i="2" s="1"/>
  <c r="U59" i="2"/>
  <c r="K59" i="2"/>
  <c r="AZ58" i="2"/>
  <c r="BA58" i="2" s="1"/>
  <c r="U58" i="2"/>
  <c r="K58" i="2"/>
  <c r="AZ57" i="2"/>
  <c r="BA57" i="2" s="1"/>
  <c r="U57" i="2"/>
  <c r="K57" i="2"/>
  <c r="AZ56" i="2"/>
  <c r="BA56" i="2" s="1"/>
  <c r="U56" i="2"/>
  <c r="K56" i="2"/>
  <c r="AZ55" i="2"/>
  <c r="BA55" i="2" s="1"/>
  <c r="U55" i="2"/>
  <c r="K55" i="2"/>
  <c r="AZ54" i="2"/>
  <c r="BA54" i="2" s="1"/>
  <c r="U54" i="2"/>
  <c r="K54" i="2"/>
  <c r="AZ53" i="2"/>
  <c r="BA53" i="2" s="1"/>
  <c r="U53" i="2"/>
  <c r="K53" i="2"/>
  <c r="AZ52" i="2"/>
  <c r="BA52" i="2" s="1"/>
  <c r="U52" i="2"/>
  <c r="K52" i="2"/>
  <c r="AZ51" i="2"/>
  <c r="BA51" i="2" s="1"/>
  <c r="U51" i="2"/>
  <c r="K51" i="2"/>
  <c r="AZ50" i="2"/>
  <c r="BA50" i="2" s="1"/>
  <c r="U50" i="2"/>
  <c r="K50" i="2"/>
  <c r="AZ49" i="2"/>
  <c r="BA49" i="2" s="1"/>
  <c r="U49" i="2"/>
  <c r="K49" i="2"/>
  <c r="AZ48" i="2"/>
  <c r="BA48" i="2" s="1"/>
  <c r="U48" i="2"/>
  <c r="K48" i="2"/>
  <c r="AZ47" i="2"/>
  <c r="BA47" i="2" s="1"/>
  <c r="U47" i="2"/>
  <c r="K47" i="2"/>
  <c r="AZ46" i="2"/>
  <c r="BA46" i="2" s="1"/>
  <c r="U46" i="2"/>
  <c r="K46" i="2"/>
  <c r="AZ45" i="2"/>
  <c r="BA45" i="2" s="1"/>
  <c r="U45" i="2"/>
  <c r="K45" i="2"/>
  <c r="AZ44" i="2"/>
  <c r="BA44" i="2" s="1"/>
  <c r="U44" i="2"/>
  <c r="K44" i="2"/>
  <c r="AZ43" i="2"/>
  <c r="BA43" i="2" s="1"/>
  <c r="U43" i="2"/>
  <c r="K43" i="2"/>
  <c r="AZ42" i="2"/>
  <c r="BA42" i="2" s="1"/>
  <c r="U42" i="2"/>
  <c r="K42" i="2"/>
  <c r="AZ41" i="2"/>
  <c r="BA41" i="2" s="1"/>
  <c r="U41" i="2"/>
  <c r="K41" i="2"/>
  <c r="AZ40" i="2"/>
  <c r="BA40" i="2" s="1"/>
  <c r="U40" i="2"/>
  <c r="K40" i="2"/>
  <c r="AZ39" i="2"/>
  <c r="BA39" i="2" s="1"/>
  <c r="U39" i="2"/>
  <c r="K39" i="2"/>
  <c r="AZ38" i="2"/>
  <c r="BA38" i="2" s="1"/>
  <c r="U38" i="2"/>
  <c r="K38" i="2"/>
  <c r="AZ37" i="2"/>
  <c r="BA37" i="2" s="1"/>
  <c r="U37" i="2"/>
  <c r="K37" i="2"/>
  <c r="AZ36" i="2"/>
  <c r="BA36" i="2" s="1"/>
  <c r="U36" i="2"/>
  <c r="K36" i="2"/>
  <c r="AZ35" i="2"/>
  <c r="BA35" i="2" s="1"/>
  <c r="U35" i="2"/>
  <c r="K35" i="2"/>
  <c r="AZ34" i="2"/>
  <c r="BA34" i="2" s="1"/>
  <c r="U34" i="2"/>
  <c r="K34" i="2"/>
  <c r="AZ33" i="2"/>
  <c r="BA33" i="2" s="1"/>
  <c r="U33" i="2"/>
  <c r="K33" i="2"/>
  <c r="AZ32" i="2"/>
  <c r="BA32" i="2" s="1"/>
  <c r="U32" i="2"/>
  <c r="K32" i="2"/>
  <c r="AZ31" i="2"/>
  <c r="BA31" i="2" s="1"/>
  <c r="U31" i="2"/>
  <c r="K31" i="2"/>
  <c r="AZ30" i="2"/>
  <c r="BA30" i="2" s="1"/>
  <c r="U30" i="2"/>
  <c r="K30" i="2"/>
  <c r="AZ29" i="2"/>
  <c r="BA29" i="2" s="1"/>
  <c r="U29" i="2"/>
  <c r="K29" i="2"/>
  <c r="AZ28" i="2"/>
  <c r="BA28" i="2" s="1"/>
  <c r="U28" i="2"/>
  <c r="K28" i="2"/>
  <c r="AZ27" i="2"/>
  <c r="BA27" i="2" s="1"/>
  <c r="U27" i="2"/>
  <c r="K27" i="2"/>
  <c r="AZ26" i="2"/>
  <c r="BA26" i="2" s="1"/>
  <c r="U26" i="2"/>
  <c r="K26" i="2"/>
  <c r="AZ25" i="2"/>
  <c r="BA25" i="2" s="1"/>
  <c r="U25" i="2"/>
  <c r="K25" i="2"/>
  <c r="AZ24" i="2"/>
  <c r="BA24" i="2" s="1"/>
  <c r="U24" i="2"/>
  <c r="K24" i="2"/>
  <c r="AZ23" i="2"/>
  <c r="BA23" i="2" s="1"/>
  <c r="U23" i="2"/>
  <c r="K23" i="2"/>
  <c r="AZ22" i="2"/>
  <c r="BA22" i="2" s="1"/>
  <c r="U22" i="2"/>
  <c r="K22" i="2"/>
  <c r="AZ21" i="2"/>
  <c r="BA21" i="2" s="1"/>
  <c r="U21" i="2"/>
  <c r="K21" i="2"/>
  <c r="AZ20" i="2"/>
  <c r="BA20" i="2" s="1"/>
  <c r="U20" i="2"/>
  <c r="K20" i="2"/>
  <c r="AZ19" i="2"/>
  <c r="BA19" i="2" s="1"/>
  <c r="U19" i="2"/>
  <c r="K19" i="2"/>
  <c r="AZ18" i="2"/>
  <c r="BA18" i="2" s="1"/>
  <c r="U18" i="2"/>
  <c r="K18" i="2"/>
  <c r="AZ17" i="2"/>
  <c r="BA17" i="2" s="1"/>
  <c r="U17" i="2"/>
  <c r="K17" i="2"/>
  <c r="AZ16" i="2"/>
  <c r="BA16" i="2" s="1"/>
  <c r="U16" i="2"/>
  <c r="K16" i="2"/>
  <c r="AZ15" i="2"/>
  <c r="BA15" i="2" s="1"/>
  <c r="U15" i="2"/>
  <c r="K15" i="2"/>
  <c r="AZ14" i="2"/>
  <c r="BA14" i="2" s="1"/>
  <c r="U14" i="2"/>
  <c r="K14" i="2"/>
  <c r="AZ13" i="2"/>
  <c r="BA13" i="2" s="1"/>
  <c r="U13" i="2"/>
  <c r="K13" i="2"/>
  <c r="AZ12" i="2"/>
  <c r="BA12" i="2" s="1"/>
  <c r="U12" i="2"/>
  <c r="K12" i="2"/>
  <c r="AZ11" i="2"/>
  <c r="BA11" i="2" s="1"/>
  <c r="U11" i="2"/>
  <c r="K11" i="2"/>
  <c r="AZ10" i="2"/>
  <c r="BA10" i="2" s="1"/>
  <c r="U10" i="2"/>
  <c r="K10" i="2"/>
  <c r="AZ9" i="2"/>
  <c r="BA9" i="2" s="1"/>
  <c r="U9" i="2"/>
  <c r="K9" i="2"/>
  <c r="AZ8" i="2"/>
  <c r="BA8" i="2" s="1"/>
  <c r="U8" i="2"/>
  <c r="K8" i="2"/>
  <c r="AZ7" i="2"/>
  <c r="Z6" i="5" s="1"/>
  <c r="K7" i="2"/>
  <c r="AZ6" i="2"/>
  <c r="BA6" i="2" s="1"/>
  <c r="K6" i="2"/>
  <c r="BA7" i="2" l="1"/>
  <c r="AA6" i="5" s="1"/>
</calcChain>
</file>

<file path=xl/sharedStrings.xml><?xml version="1.0" encoding="utf-8"?>
<sst xmlns="http://schemas.openxmlformats.org/spreadsheetml/2006/main" count="1957" uniqueCount="648">
  <si>
    <t>قالب تهجير بيانات الزبائن - V3</t>
  </si>
  <si>
    <t>نسخة منظمة: الزبون في صف واحد، وكل أرقام التواصل والوسطاء في شيتات مستقلة. الترتيب 1 هو الأساسي.</t>
  </si>
  <si>
    <t>الخطوة</t>
  </si>
  <si>
    <t>ما الذي يجب فعله</t>
  </si>
  <si>
    <t>لماذا مهم؟</t>
  </si>
  <si>
    <t>قرارات الصف</t>
  </si>
  <si>
    <t>1</t>
  </si>
  <si>
    <t>املأ شيت الزبائن بصف واحد لكل زبون، بدون تكرار الرقم الأساسي أو الوسيط الأساسي داخله.</t>
  </si>
  <si>
    <t>حتى تبقى بيانات الهوية والعنوان منفصلة عن البيانات المتعددة.</t>
  </si>
  <si>
    <t>READY</t>
  </si>
  <si>
    <t>جاهز للاستيراد كزبون أو اسم مقترح حسب الشيت.</t>
  </si>
  <si>
    <t>2</t>
  </si>
  <si>
    <t>املأ شيت أرقام التواصل لكل أرقام الزبائن والأسماء المقترحة. استخدم entity_type و entity_key للربط.</t>
  </si>
  <si>
    <t>نفس الزبون يمكن أن يملك أكثر من رقم بدون أعمدة إضافية.</t>
  </si>
  <si>
    <t>TO_PROPOSED</t>
  </si>
  <si>
    <t>صف زبون سينتقل إلى شيت أسماء مقترحة.</t>
  </si>
  <si>
    <t>3</t>
  </si>
  <si>
    <t>ضع contact_order=1 لأول رقم. هذا الرقم يعتبر الأساسي حتى لو تركت is_primary فارغة.</t>
  </si>
  <si>
    <t>يلبي قاعدة أن القيمة الأولى هي الأساسية.</t>
  </si>
  <si>
    <t>REVIEW</t>
  </si>
  <si>
    <t>ناقص أو فيه تعارض يحتاج تنظيف.</t>
  </si>
  <si>
    <t>4</t>
  </si>
  <si>
    <t>املأ شيت الوسطاء بنفس الفكرة: referrer_order=1 هو الوسيط الأساسي.</t>
  </si>
  <si>
    <t>لا حاجة لتكرار الوسيط في شيت الزبائن وشيت آخر.</t>
  </si>
  <si>
    <t>SKIP</t>
  </si>
  <si>
    <t>مستبعد بإرادة الفريق.</t>
  </si>
  <si>
    <t>5</t>
  </si>
  <si>
    <t>العنوان صار أربع مستويات: محافظة، منطقة، ناحية، حي. final_geo_unit_id محسوب من أعمق ID متوفر.</t>
  </si>
  <si>
    <t>النظام الجغرافي لديه مستوى مستقل للحي، ويجب الحفاظ عليه في الهجرة.</t>
  </si>
  <si>
    <t>قاعدة الأرقام</t>
  </si>
  <si>
    <t>أول رقم لكل entity_key هو الأساسي: contact_order=1.</t>
  </si>
  <si>
    <t>6</t>
  </si>
  <si>
    <t>أي زبون غير مؤكد أو مكرر أو ناقص أو عنوانه غير واضح اجعل final_destination=proposed_name وضع proposed_name_key.</t>
  </si>
  <si>
    <t>يبقى السجل محفوظا كاسم مقترح بدل إدخاله كزبون ناقص.</t>
  </si>
  <si>
    <t>قاعدة الوسطاء</t>
  </si>
  <si>
    <t>أول وسيط لكل entity_key هو الأساسي: referrer_order=1.</t>
  </si>
  <si>
    <t>7</t>
  </si>
  <si>
    <t>في شيت أسماء مقترحة لا تدخل الرقم داخل الصف. ضع أرقامه في شيت أرقام التواصل مع entity_type=proposed_name.</t>
  </si>
  <si>
    <t>نفس نموذج الفصل والاختصار.</t>
  </si>
  <si>
    <t>تاريخ القالب</t>
  </si>
  <si>
    <t>2026-07-05</t>
  </si>
  <si>
    <t>8</t>
  </si>
  <si>
    <t>راجع row_status و row_issues. استورد فقط READY أو TO_PROPOSED حسب المسار.</t>
  </si>
  <si>
    <t>يقلل أخطاء الاستيراد قبل لمس قاعدة البيانات.</t>
  </si>
  <si>
    <t>نطاق الصفوف</t>
  </si>
  <si>
    <t>6-505</t>
  </si>
  <si>
    <t>الزبائن - قالب التنظيف والاستيراد V3</t>
  </si>
  <si>
    <t>صف واحد لكل زبون. أرقام التواصل والوسطاء في شيتات مستقلة، و final_geo_unit_id يحسب أعمق مستوى جغرافي متوفر.</t>
  </si>
  <si>
    <t>migration_customer_key</t>
  </si>
  <si>
    <t>import_action</t>
  </si>
  <si>
    <t>old_system_customer_id</t>
  </si>
  <si>
    <t>old_source_note</t>
  </si>
  <si>
    <t>branch_id</t>
  </si>
  <si>
    <t>branch_name</t>
  </si>
  <si>
    <t>first_name</t>
  </si>
  <si>
    <t>father_name</t>
  </si>
  <si>
    <t>last_name</t>
  </si>
  <si>
    <t>nickname</t>
  </si>
  <si>
    <t>full_name_preview</t>
  </si>
  <si>
    <t>governorate_id</t>
  </si>
  <si>
    <t>governorate_name</t>
  </si>
  <si>
    <t>region_id</t>
  </si>
  <si>
    <t>region_name</t>
  </si>
  <si>
    <t>sub_area_id</t>
  </si>
  <si>
    <t>sub_area_name</t>
  </si>
  <si>
    <t>neighborhood_id</t>
  </si>
  <si>
    <t>neighborhood_name</t>
  </si>
  <si>
    <t>final_geo_unit_id</t>
  </si>
  <si>
    <t>final_geo_unit_name</t>
  </si>
  <si>
    <t>detailed_address</t>
  </si>
  <si>
    <t>address_clarity</t>
  </si>
  <si>
    <t>gps_lat</t>
  </si>
  <si>
    <t>gps_lng</t>
  </si>
  <si>
    <t>assignment_user_ids</t>
  </si>
  <si>
    <t>is_candidate</t>
  </si>
  <si>
    <t>candidate_status</t>
  </si>
  <si>
    <t>target_client</t>
  </si>
  <si>
    <t>gender</t>
  </si>
  <si>
    <t>birth_date</t>
  </si>
  <si>
    <t>mother_name</t>
  </si>
  <si>
    <t>national_id</t>
  </si>
  <si>
    <t>national_id_registry</t>
  </si>
  <si>
    <t>national_id_issued_by</t>
  </si>
  <si>
    <t>national_id_issue_date</t>
  </si>
  <si>
    <t>national_id_box</t>
  </si>
  <si>
    <t>occupation</t>
  </si>
  <si>
    <t>spouse_occupation</t>
  </si>
  <si>
    <t>water_source</t>
  </si>
  <si>
    <t>data_quality</t>
  </si>
  <si>
    <t>rating</t>
  </si>
  <si>
    <t>do_not_contact</t>
  </si>
  <si>
    <t>cooldown_until</t>
  </si>
  <si>
    <t>cooldown_reason</t>
  </si>
  <si>
    <t>notes</t>
  </si>
  <si>
    <t>cleanup_status</t>
  </si>
  <si>
    <t>cleanup_notes</t>
  </si>
  <si>
    <t>final_destination</t>
  </si>
  <si>
    <t>proposed_move_reason</t>
  </si>
  <si>
    <t>proposed_name_key</t>
  </si>
  <si>
    <t>triage_decision_notes</t>
  </si>
  <si>
    <t>row_status</t>
  </si>
  <si>
    <t>row_issues</t>
  </si>
  <si>
    <t>ربط الهجرة</t>
  </si>
  <si>
    <t>الفرع والملكية</t>
  </si>
  <si>
    <t>هوية الزبون</t>
  </si>
  <si>
    <t>العنوان - 4 مستويات</t>
  </si>
  <si>
    <t>العنوان</t>
  </si>
  <si>
    <t>حالة الزبون</t>
  </si>
  <si>
    <t>بيانات مدنية</t>
  </si>
  <si>
    <t>بيانات إضافية</t>
  </si>
  <si>
    <t>ضبط وتنظيف</t>
  </si>
  <si>
    <t>مراجعة</t>
  </si>
  <si>
    <t>قرار الفرز</t>
  </si>
  <si>
    <t>مفتاح الزبون للهجرة</t>
  </si>
  <si>
    <t>إجراء الاستيراد</t>
  </si>
  <si>
    <t>ID النظام القديم</t>
  </si>
  <si>
    <t>مصدر/جدول قديم</t>
  </si>
  <si>
    <t>ID الفرع</t>
  </si>
  <si>
    <t>اسم الفرع للمراجعة</t>
  </si>
  <si>
    <t>الاسم الأول</t>
  </si>
  <si>
    <t>اسم الأب</t>
  </si>
  <si>
    <t>الكنية/العائلة</t>
  </si>
  <si>
    <t>اللقب</t>
  </si>
  <si>
    <t>الاسم الكامل - تلقائي</t>
  </si>
  <si>
    <t>ID المحافظة</t>
  </si>
  <si>
    <t>اسم المحافظة</t>
  </si>
  <si>
    <t>ID المنطقة</t>
  </si>
  <si>
    <t>اسم المنطقة</t>
  </si>
  <si>
    <t>ID الناحية</t>
  </si>
  <si>
    <t>اسم الناحية</t>
  </si>
  <si>
    <t>ID الحي</t>
  </si>
  <si>
    <t>اسم الحي</t>
  </si>
  <si>
    <t>ID الموقع النهائي - تلقائي</t>
  </si>
  <si>
    <t>اسم الموقع النهائي - تلقائي</t>
  </si>
  <si>
    <t>العنوان التفصيلي</t>
  </si>
  <si>
    <t>وضوح العنوان</t>
  </si>
  <si>
    <t>GPS خط العرض</t>
  </si>
  <si>
    <t>GPS خط الطول</t>
  </si>
  <si>
    <t>IDs المستخدمين المسندين</t>
  </si>
  <si>
    <t>هل هو مرشح؟</t>
  </si>
  <si>
    <t>حالة المرشح داخل الزبون</t>
  </si>
  <si>
    <t>زبون مستهدف</t>
  </si>
  <si>
    <t>الجنس</t>
  </si>
  <si>
    <t>تاريخ الميلاد</t>
  </si>
  <si>
    <t>اسم الأم</t>
  </si>
  <si>
    <t>الرقم الوطني</t>
  </si>
  <si>
    <t>القيد/السجل</t>
  </si>
  <si>
    <t>جهة الإصدار</t>
  </si>
  <si>
    <t>تاريخ الإصدار</t>
  </si>
  <si>
    <t>الخانة</t>
  </si>
  <si>
    <t>المهنة</t>
  </si>
  <si>
    <t>مهنة الزوج/الزوجة</t>
  </si>
  <si>
    <t>مصدر المياه</t>
  </si>
  <si>
    <t>جودة البيانات</t>
  </si>
  <si>
    <t>التقييم</t>
  </si>
  <si>
    <t>عدم التواصل</t>
  </si>
  <si>
    <t>إيقاف التواصل حتى</t>
  </si>
  <si>
    <t>سبب إيقاف التواصل</t>
  </si>
  <si>
    <t>ملاحظات</t>
  </si>
  <si>
    <t>حالة التنظيف</t>
  </si>
  <si>
    <t>ملاحظات التنظيف</t>
  </si>
  <si>
    <t>الوجهة النهائية</t>
  </si>
  <si>
    <t>سبب النقل لاسم مقترح</t>
  </si>
  <si>
    <t>مفتاح الاسم المقترح</t>
  </si>
  <si>
    <t>ملاحظات قرار الفرز</t>
  </si>
  <si>
    <t>حالة الصف - تلقائي</t>
  </si>
  <si>
    <t>مشاكل الصف - تلقائي</t>
  </si>
  <si>
    <t>CUST-0001</t>
  </si>
  <si>
    <t>create</t>
  </si>
  <si>
    <t>old-1388</t>
  </si>
  <si>
    <t>legacy_customers</t>
  </si>
  <si>
    <t>دمشق</t>
  </si>
  <si>
    <t>أحمد</t>
  </si>
  <si>
    <t>خالد</t>
  </si>
  <si>
    <t>زيتون</t>
  </si>
  <si>
    <t>أبو أيوب</t>
  </si>
  <si>
    <t>المزة</t>
  </si>
  <si>
    <t>المزة الشرقية</t>
  </si>
  <si>
    <t>المزة - جانب الحديقة - بناء 12</t>
  </si>
  <si>
    <t>clear</t>
  </si>
  <si>
    <t>12,18</t>
  </si>
  <si>
    <t>FALSE</t>
  </si>
  <si>
    <t>male</t>
  </si>
  <si>
    <t>فاطمة</t>
  </si>
  <si>
    <t>01234567890</t>
  </si>
  <si>
    <t>موظف</t>
  </si>
  <si>
    <t>شبكة</t>
  </si>
  <si>
    <t>correct</t>
  </si>
  <si>
    <t>Undefined</t>
  </si>
  <si>
    <t>صف مثال - احذفه قبل الاستيراد</t>
  </si>
  <si>
    <t>cleaned</t>
  </si>
  <si>
    <t>جاهز بعد مطابقة IDs</t>
  </si>
  <si>
    <t>client</t>
  </si>
  <si>
    <t>جاهز كزبون</t>
  </si>
  <si>
    <t>CUST-0002</t>
  </si>
  <si>
    <t>to_candidate</t>
  </si>
  <si>
    <t>old-1401</t>
  </si>
  <si>
    <t>legacy_excel</t>
  </si>
  <si>
    <t>حلب</t>
  </si>
  <si>
    <t>سارة</t>
  </si>
  <si>
    <t>حسن</t>
  </si>
  <si>
    <t>قرب الدوار - العنوان بحاجة تحديد</t>
  </si>
  <si>
    <t>unclear</t>
  </si>
  <si>
    <t>female</t>
  </si>
  <si>
    <t>needs_edit</t>
  </si>
  <si>
    <t>عنوان غير واضح ورقم بحاجة تأكيد</t>
  </si>
  <si>
    <t>review_needed</t>
  </si>
  <si>
    <t>ينقل لمسار الأسماء المقترحة</t>
  </si>
  <si>
    <t>proposed_name</t>
  </si>
  <si>
    <t>unclear_address</t>
  </si>
  <si>
    <t>PN-CUST-0002</t>
  </si>
  <si>
    <t>يبقى كاسم مقترح حتى تثبيت العنوان</t>
  </si>
  <si>
    <t>أرقام التواصل</t>
  </si>
  <si>
    <t>كل الأرقام هنا للزبائن والأسماء المقترحة. اربط الصف عبر entity_type + entity_key. contact_order=1 هو الرقم الأساسي.</t>
  </si>
  <si>
    <t>entity_type</t>
  </si>
  <si>
    <t>entity_key</t>
  </si>
  <si>
    <t>contact_order</t>
  </si>
  <si>
    <t>contact_type</t>
  </si>
  <si>
    <t>number</t>
  </si>
  <si>
    <t>area_code</t>
  </si>
  <si>
    <t>label</t>
  </si>
  <si>
    <t>has_whatsapp</t>
  </si>
  <si>
    <t>is_primary</t>
  </si>
  <si>
    <t>status</t>
  </si>
  <si>
    <t>ربط</t>
  </si>
  <si>
    <t>التواصل</t>
  </si>
  <si>
    <t>نوع السجل</t>
  </si>
  <si>
    <t>مفتاح السجل</t>
  </si>
  <si>
    <t>ترتيب الرقم</t>
  </si>
  <si>
    <t>نوع الرقم</t>
  </si>
  <si>
    <t>الرقم</t>
  </si>
  <si>
    <t>رمز المنطقة</t>
  </si>
  <si>
    <t>وصف الرقم</t>
  </si>
  <si>
    <t>واتساب</t>
  </si>
  <si>
    <t>أساسي؟</t>
  </si>
  <si>
    <t>حالة الرقم</t>
  </si>
  <si>
    <t>mobile</t>
  </si>
  <si>
    <t>أساسي</t>
  </si>
  <si>
    <t>TRUE</t>
  </si>
  <si>
    <t>active</t>
  </si>
  <si>
    <t>الرقم الأساسي للزبون</t>
  </si>
  <si>
    <t>landline</t>
  </si>
  <si>
    <t>1234567</t>
  </si>
  <si>
    <t>011</t>
  </si>
  <si>
    <t>منزل</t>
  </si>
  <si>
    <t>رقم من النظام القديم</t>
  </si>
  <si>
    <t>preferred</t>
  </si>
  <si>
    <t>يتأكد قبل التحويل لزبون</t>
  </si>
  <si>
    <t>الوسطاء ومصادر الإحالة</t>
  </si>
  <si>
    <t>كل الوسطاء هنا للزبائن والأسماء المقترحة. اربط الصف عبر entity_type + entity_key. referrer_order=1 هو الوسيط الأساسي.</t>
  </si>
  <si>
    <t>referrer_order</t>
  </si>
  <si>
    <t>referrer_type</t>
  </si>
  <si>
    <t>referral_origin_channel</t>
  </si>
  <si>
    <t>referrer_entity_id</t>
  </si>
  <si>
    <t>referrer_name_snapshot</t>
  </si>
  <si>
    <t>referral_date</t>
  </si>
  <si>
    <t>referral_reason</t>
  </si>
  <si>
    <t>referral_sheet_id</t>
  </si>
  <si>
    <t>referral_address_text</t>
  </si>
  <si>
    <t>referral_confirmation_status</t>
  </si>
  <si>
    <t>referral_notes</t>
  </si>
  <si>
    <t>الوسطاء</t>
  </si>
  <si>
    <t>ترتيب الوسيط</t>
  </si>
  <si>
    <t>نوع الوسيط</t>
  </si>
  <si>
    <t>قناة المصدر</t>
  </si>
  <si>
    <t>ID الوسيط إن وجد</t>
  </si>
  <si>
    <t>اسم الوسيط</t>
  </si>
  <si>
    <t>تاريخ الإحالة</t>
  </si>
  <si>
    <t>سبب/تفصيل الإحالة</t>
  </si>
  <si>
    <t>رقم دفتر/ورقة الإحالة</t>
  </si>
  <si>
    <t>عنوان الوسيط/المصدر</t>
  </si>
  <si>
    <t>حالة تأكيد الإحالة</t>
  </si>
  <si>
    <t>ملاحظات الوسيط</t>
  </si>
  <si>
    <t>Personal</t>
  </si>
  <si>
    <t>PhoneCall</t>
  </si>
  <si>
    <t>مستخدم النظام</t>
  </si>
  <si>
    <t>استيراد أولي</t>
  </si>
  <si>
    <t>Confirmed</t>
  </si>
  <si>
    <t>Unknown</t>
  </si>
  <si>
    <t>SocialMedia</t>
  </si>
  <si>
    <t>مجهول</t>
  </si>
  <si>
    <t>Pending</t>
  </si>
  <si>
    <t>مصدر غير مؤكد</t>
  </si>
  <si>
    <t>أسماء مقترحة</t>
  </si>
  <si>
    <t>للزبائن غير المؤكدين أو المكررين أو الناقصين أو أصحاب العناوين غير الواضحة. أرقامهم ووسطاؤهم في الشيتات المستقلة.</t>
  </si>
  <si>
    <t>source_migration_customer_key</t>
  </si>
  <si>
    <t>candidate_import_action</t>
  </si>
  <si>
    <t>move_reason</t>
  </si>
  <si>
    <t>confidence_level</t>
  </si>
  <si>
    <t>owner_user_id</t>
  </si>
  <si>
    <t>full_name_review</t>
  </si>
  <si>
    <t>address_text</t>
  </si>
  <si>
    <t>geo_unit_id</t>
  </si>
  <si>
    <t>geo_unit_name</t>
  </si>
  <si>
    <t>duplicate_flag</t>
  </si>
  <si>
    <t>duplicate_type</t>
  </si>
  <si>
    <t>duplicate_reference_id</t>
  </si>
  <si>
    <t>duplicate_reference_key</t>
  </si>
  <si>
    <t>candidate_notes</t>
  </si>
  <si>
    <t>source_row_status</t>
  </si>
  <si>
    <t>source_row_issues</t>
  </si>
  <si>
    <t>candidate_row_status</t>
  </si>
  <si>
    <t>candidate_row_issues</t>
  </si>
  <si>
    <t>سبب النقل</t>
  </si>
  <si>
    <t>هوية الاسم</t>
  </si>
  <si>
    <t>حالة المرشح</t>
  </si>
  <si>
    <t>التكرار</t>
  </si>
  <si>
    <t>مفتاح الزبون المصدر</t>
  </si>
  <si>
    <t>إجراء الاسم المقترح</t>
  </si>
  <si>
    <t>مستوى الثقة</t>
  </si>
  <si>
    <t>ID المالك/المتابع</t>
  </si>
  <si>
    <t>العنوان النصي</t>
  </si>
  <si>
    <t>ID الموقع إن حسم</t>
  </si>
  <si>
    <t>اسم الموقع للمراجعة</t>
  </si>
  <si>
    <t>حالة الاسم المقترح</t>
  </si>
  <si>
    <t>اشتباه تكرار</t>
  </si>
  <si>
    <t>نوع التكرار</t>
  </si>
  <si>
    <t>ID مرجع التكرار</t>
  </si>
  <si>
    <t>مفتاح مرجع التكرار</t>
  </si>
  <si>
    <t>ملاحظات الاسم المقترح</t>
  </si>
  <si>
    <t>حالة صف المصدر - تلقائي</t>
  </si>
  <si>
    <t>مشاكل صف المصدر - تلقائي</t>
  </si>
  <si>
    <t>حالة الاسم - تلقائي</t>
  </si>
  <si>
    <t>مشاكل الاسم - تلقائي</t>
  </si>
  <si>
    <t>create_candidate</t>
  </si>
  <si>
    <t>medium</t>
  </si>
  <si>
    <t>قرب الدوار - بحاجة تحديد</t>
  </si>
  <si>
    <t>Suggested</t>
  </si>
  <si>
    <t>منقول من زبون عنوانه غير واضح</t>
  </si>
  <si>
    <t>قاموس أعمدة قالب تهجير الزبائن V3</t>
  </si>
  <si>
    <t>شرح الأعمدة، وجهتها التقريبية، وما إذا كانت مطلوبة.</t>
  </si>
  <si>
    <t>الشيت</t>
  </si>
  <si>
    <t>القسم</t>
  </si>
  <si>
    <t>المفتاح التقني</t>
  </si>
  <si>
    <t>الإلزام</t>
  </si>
  <si>
    <t>الوجهة</t>
  </si>
  <si>
    <t>القيم المقبولة</t>
  </si>
  <si>
    <t>الزبائن</t>
  </si>
  <si>
    <t>إلزامي</t>
  </si>
  <si>
    <t>migration helper</t>
  </si>
  <si>
    <t>unique text</t>
  </si>
  <si>
    <t>معرف ثابت يربط الزبون مع أرقام التواصل والوسطاء والأسماء المقترحة.</t>
  </si>
  <si>
    <t>import pipeline</t>
  </si>
  <si>
    <t>create/update/skip/to_candidate</t>
  </si>
  <si>
    <t>استخدم to_candidate عندما تريد نقل الصف لمسار الأسماء المقترحة.</t>
  </si>
  <si>
    <t>اختياري</t>
  </si>
  <si>
    <t>migration audit</t>
  </si>
  <si>
    <t>text</t>
  </si>
  <si>
    <t>للمطابقة والتدقيق بعد الاستيراد.</t>
  </si>
  <si>
    <t>اسم الملف أو الجدول القادم من النظام القديم.</t>
  </si>
  <si>
    <t>clients.branch_id</t>
  </si>
  <si>
    <t>branches.id</t>
  </si>
  <si>
    <t>اعتمد على ID وليس الاسم.</t>
  </si>
  <si>
    <t>مساعد</t>
  </si>
  <si>
    <t>branches.name</t>
  </si>
  <si>
    <t>للقراءة فقط ولا يغني عن branch_id.</t>
  </si>
  <si>
    <t>clients.first_name</t>
  </si>
  <si>
    <t>اسم الزبون الأول.</t>
  </si>
  <si>
    <t>clients.father_name</t>
  </si>
  <si>
    <t>يفضل تعبئته عند توفره.</t>
  </si>
  <si>
    <t>clients.last_name</t>
  </si>
  <si>
    <t>اسم العائلة أو الكنية.</t>
  </si>
  <si>
    <t>clients.nickname</t>
  </si>
  <si>
    <t>مثال: أبو أحمد.</t>
  </si>
  <si>
    <t>محسوب</t>
  </si>
  <si>
    <t>clients.name</t>
  </si>
  <si>
    <t>formula</t>
  </si>
  <si>
    <t>لا تعدله يدويا.</t>
  </si>
  <si>
    <t>clients.governorate</t>
  </si>
  <si>
    <t>geo_units.id level=1</t>
  </si>
  <si>
    <t>المستوى 1.</t>
  </si>
  <si>
    <t>geo_units.name</t>
  </si>
  <si>
    <t>للمراجعة البشرية.</t>
  </si>
  <si>
    <t>clients.district</t>
  </si>
  <si>
    <t>geo_units.id level=2</t>
  </si>
  <si>
    <t>المستوى 2.</t>
  </si>
  <si>
    <t>geo_units.id level=3</t>
  </si>
  <si>
    <t>المستوى 3.</t>
  </si>
  <si>
    <t>geo_units.id level=4</t>
  </si>
  <si>
    <t>المستوى 4: الحي الحقيقي عندما يكون موجودا.</t>
  </si>
  <si>
    <t>محسوب/إلزامي</t>
  </si>
  <si>
    <t>clients.neighborhood</t>
  </si>
  <si>
    <t>deepest geo id</t>
  </si>
  <si>
    <t>يأخذ الحي إن وجد، وإلا الناحية، وإلا المنطقة، وإلا المحافظة.</t>
  </si>
  <si>
    <t>اسم أعمق مستوى متوفر.</t>
  </si>
  <si>
    <t>مهم</t>
  </si>
  <si>
    <t>clients.detailed_address</t>
  </si>
  <si>
    <t>نص العنوان كما يريد الفريق رؤيته.</t>
  </si>
  <si>
    <t>cleanup helper</t>
  </si>
  <si>
    <t>clear/unclear/unknown</t>
  </si>
  <si>
    <t>ضع unclear إذا يحتاج مراجعة قبل اعتماده كزبون.</t>
  </si>
  <si>
    <t>clients.gps_coordinates</t>
  </si>
  <si>
    <t>decimal</t>
  </si>
  <si>
    <t>اختياري.</t>
  </si>
  <si>
    <t>client_assignments.user_id</t>
  </si>
  <si>
    <t>comma separated ids</t>
  </si>
  <si>
    <t>مثال: 12,18.</t>
  </si>
  <si>
    <t>clients.is_candidate</t>
  </si>
  <si>
    <t>TRUE/FALSE</t>
  </si>
  <si>
    <t>حسب النظام الحالي.</t>
  </si>
  <si>
    <t>clients.candidate_status</t>
  </si>
  <si>
    <t>Lead/FOP/OP</t>
  </si>
  <si>
    <t>عند الحاجة فقط.</t>
  </si>
  <si>
    <t>clients.target_client</t>
  </si>
  <si>
    <t>كما في النظام.</t>
  </si>
  <si>
    <t>clients.gender</t>
  </si>
  <si>
    <t>male/female</t>
  </si>
  <si>
    <t>clients.birth_date</t>
  </si>
  <si>
    <t>yyyy-mm-dd</t>
  </si>
  <si>
    <t>تاريخ قابل للفرز.</t>
  </si>
  <si>
    <t>clients.mother_name</t>
  </si>
  <si>
    <t>clients.national_id</t>
  </si>
  <si>
    <t>يحفظ كنص.</t>
  </si>
  <si>
    <t>clients.national_id_registry</t>
  </si>
  <si>
    <t>clients.national_id_issued_by</t>
  </si>
  <si>
    <t>clients.national_id_issue_date</t>
  </si>
  <si>
    <t>clients.national_id_box</t>
  </si>
  <si>
    <t>clients.occupation</t>
  </si>
  <si>
    <t>clients.spouse_occupation</t>
  </si>
  <si>
    <t>clients.water_source</t>
  </si>
  <si>
    <t>clients.data_quality</t>
  </si>
  <si>
    <t>correct/incorrect/needs_edit</t>
  </si>
  <si>
    <t>حالة جودة السجل.</t>
  </si>
  <si>
    <t>clients.rating</t>
  </si>
  <si>
    <t>Undefined/Committed/NotCommitted</t>
  </si>
  <si>
    <t>حسب النظام.</t>
  </si>
  <si>
    <t>clients.do_not_contact</t>
  </si>
  <si>
    <t>للأرقام أو السجلات الحساسة.</t>
  </si>
  <si>
    <t>clients.cooldown_until</t>
  </si>
  <si>
    <t>clients.cooldown_reason</t>
  </si>
  <si>
    <t>clients.notes</t>
  </si>
  <si>
    <t>أي ملاحظات للزبون.</t>
  </si>
  <si>
    <t>raw/cleaned/review_needed/blocked</t>
  </si>
  <si>
    <t>حالة تجهيز الصف.</t>
  </si>
  <si>
    <t>سبب أي نقص أو شك.</t>
  </si>
  <si>
    <t>import decision</t>
  </si>
  <si>
    <t>client/proposed_name/skip/review_later</t>
  </si>
  <si>
    <t>حدد هل يدخل كزبون أم ينتقل للأسماء المقترحة.</t>
  </si>
  <si>
    <t>مطلوب عند النقل</t>
  </si>
  <si>
    <t>candidates import</t>
  </si>
  <si>
    <t>مثل duplicate أو unclear_address.</t>
  </si>
  <si>
    <t>يربط الصف مع شيت أسماء مقترحة.</t>
  </si>
  <si>
    <t>تفصيل قرار الفريق.</t>
  </si>
  <si>
    <t>READY أو REVIEW أو TO_PROPOSED أو SKIP.</t>
  </si>
  <si>
    <t>أسباب المراجعة.</t>
  </si>
  <si>
    <t>client/proposed_name</t>
  </si>
  <si>
    <t>client للزبائن و proposed_name للأسماء المقترحة.</t>
  </si>
  <si>
    <t>migration_customer_key أو proposed_name_key.</t>
  </si>
  <si>
    <t>contacts order</t>
  </si>
  <si>
    <t>الترتيب 1 يعتبر الرقم الأساسي.</t>
  </si>
  <si>
    <t>contacts[].type</t>
  </si>
  <si>
    <t>mobile/landline/other</t>
  </si>
  <si>
    <t>نوع وسيلة التواصل.</t>
  </si>
  <si>
    <t>clients.mobile / contacts[].number</t>
  </si>
  <si>
    <t>09XXXXXXXX</t>
  </si>
  <si>
    <t>للموبايل السوري استخدم 10 أرقام تبدأ بـ 09.</t>
  </si>
  <si>
    <t>contacts[].areaCode</t>
  </si>
  <si>
    <t>للأرضي.</t>
  </si>
  <si>
    <t>contacts[].label</t>
  </si>
  <si>
    <t>مثال: زوجة، منزل، عمل.</t>
  </si>
  <si>
    <t>contacts[].hasWhatsApp</t>
  </si>
  <si>
    <t>contacts[].isPrimary</t>
  </si>
  <si>
    <t>إذا فارغة وكان الترتيب 1 سيعتبر أساسيا.</t>
  </si>
  <si>
    <t>contacts[].status</t>
  </si>
  <si>
    <t>active/preferred/out-of-coverage/unused/invalid</t>
  </si>
  <si>
    <t>ضع invalid للأرقام الخاطئة المعروفة.</t>
  </si>
  <si>
    <t>حالة تنظيف الرقم.</t>
  </si>
  <si>
    <t>أي ملاحظة على الرقم.</t>
  </si>
  <si>
    <t>READY أو REVIEW.</t>
  </si>
  <si>
    <t>client أو proposed_name.</t>
  </si>
  <si>
    <t>مفتاح الزبون أو الاسم المقترح.</t>
  </si>
  <si>
    <t>referral order</t>
  </si>
  <si>
    <t>الترتيب 1 هو الوسيط الأساسي.</t>
  </si>
  <si>
    <t>referral helper</t>
  </si>
  <si>
    <t>اختياري إذا كان الترتيب 1.</t>
  </si>
  <si>
    <t>clients.referral_type</t>
  </si>
  <si>
    <t>Personal/Employee/Client/Unknown</t>
  </si>
  <si>
    <t>نوع الوسيط أو مصدر الإحالة.</t>
  </si>
  <si>
    <t>clients.referral_origin_channel</t>
  </si>
  <si>
    <t>PhoneCall/SocialMedia/Campaign/Acquaintance</t>
  </si>
  <si>
    <t>قناة وصول الاسم.</t>
  </si>
  <si>
    <t>clients.referrer_entity_id</t>
  </si>
  <si>
    <t>عند ربطه بموظف أو زبون موجود.</t>
  </si>
  <si>
    <t>clients.referrer_name_snapshot</t>
  </si>
  <si>
    <t>اسم الوسيط كما وصل من المصدر.</t>
  </si>
  <si>
    <t>clients.referral_date</t>
  </si>
  <si>
    <t>clients.referral_reason</t>
  </si>
  <si>
    <t>clients.referral_sheet_id</t>
  </si>
  <si>
    <t>clients.referral_address_text</t>
  </si>
  <si>
    <t>clients.referral_confirmation_status</t>
  </si>
  <si>
    <t>Pending/Confirmed/Rejected</t>
  </si>
  <si>
    <t>أي ملاحظات إضافية.</t>
  </si>
  <si>
    <t>حالة تنظيف بيانات الوسيط.</t>
  </si>
  <si>
    <t>يربط الاسم المقترح مع أرقامه ووسطائه.</t>
  </si>
  <si>
    <t>املأه إذا كان الاسم منقول من شيت الزبائن.</t>
  </si>
  <si>
    <t>candidate import</t>
  </si>
  <si>
    <t>create_candidate/update_candidate/skip</t>
  </si>
  <si>
    <t>إجراء الاستيراد.</t>
  </si>
  <si>
    <t>لماذا لم يدخل كزبون مباشر.</t>
  </si>
  <si>
    <t>high/medium/low</t>
  </si>
  <si>
    <t>مدى الثقة بصحة الاسم.</t>
  </si>
  <si>
    <t>للمطابقة.</t>
  </si>
  <si>
    <t>مصدر السطر.</t>
  </si>
  <si>
    <t>candidates.branch_id</t>
  </si>
  <si>
    <t>الفرع المقترح.</t>
  </si>
  <si>
    <t>للمراجعة.</t>
  </si>
  <si>
    <t>candidates.owner_user_id</t>
  </si>
  <si>
    <t>hr_users.id</t>
  </si>
  <si>
    <t>candidates.first_name</t>
  </si>
  <si>
    <t>الاسم الأول.</t>
  </si>
  <si>
    <t>candidates.last_name</t>
  </si>
  <si>
    <t>الكنية.</t>
  </si>
  <si>
    <t>candidates.nickname</t>
  </si>
  <si>
    <t>candidate helper</t>
  </si>
  <si>
    <t>candidates.address_text</t>
  </si>
  <si>
    <t>يمكن أن يبقى نصيا إذا العنوان غير محسوم.</t>
  </si>
  <si>
    <t>candidates.geo_unit_id</t>
  </si>
  <si>
    <t>geo_units.id</t>
  </si>
  <si>
    <t>أعمق مستوى تم التأكد منه.</t>
  </si>
  <si>
    <t>حالة العنوان.</t>
  </si>
  <si>
    <t>candidates.status</t>
  </si>
  <si>
    <t>New/Suggested/FollowUp/Contacted/Qualified/Junk</t>
  </si>
  <si>
    <t>غالبا Suggested.</t>
  </si>
  <si>
    <t>candidates.occupation</t>
  </si>
  <si>
    <t>duplicate helper</t>
  </si>
  <si>
    <t>TRUE عند الشك بالتكرار.</t>
  </si>
  <si>
    <t>مطلوب عند TRUE</t>
  </si>
  <si>
    <t>candidates.duplicate_type</t>
  </si>
  <si>
    <t>Candidate/Client/Both</t>
  </si>
  <si>
    <t>نوع السجل المشابه.</t>
  </si>
  <si>
    <t>candidates.duplicate_reference_id</t>
  </si>
  <si>
    <t>ID من قاعدة البيانات إن وجد.</t>
  </si>
  <si>
    <t>مفتاح من ملف الهجرة إن وجد.</t>
  </si>
  <si>
    <t>candidates.notes</t>
  </si>
  <si>
    <t>سبب المراجعة أو النقل.</t>
  </si>
  <si>
    <t>تسحب حالة صف الزبون المصدر.</t>
  </si>
  <si>
    <t>تسحب مشاكل صف الزبون المصدر.</t>
  </si>
  <si>
    <t>READY أو REVIEW أو SKIP.</t>
  </si>
  <si>
    <t>قوائم مرجعية وقيم مسموحة</t>
  </si>
  <si>
    <t>املأ مراجع الفروع والمناطق والمستخدمين من قاعدة staging قبل الاستيراد النهائي.</t>
  </si>
  <si>
    <t>القائمة</t>
  </si>
  <si>
    <t>القيمة</t>
  </si>
  <si>
    <t>شرح عربي</t>
  </si>
  <si>
    <t>name</t>
  </si>
  <si>
    <t>level</t>
  </si>
  <si>
    <t>parent_id</t>
  </si>
  <si>
    <t>parent_name</t>
  </si>
  <si>
    <t>covered_branch_id</t>
  </si>
  <si>
    <t>hr_user_id</t>
  </si>
  <si>
    <t>role</t>
  </si>
  <si>
    <t>assignable_notes</t>
  </si>
  <si>
    <t>إنشاء</t>
  </si>
  <si>
    <t>املأ من branches على staging</t>
  </si>
  <si>
    <t>1=محافظة، 2=منطقة، 3=ناحية، 4=حي</t>
  </si>
  <si>
    <t>املأ من geo_units + branch coverage</t>
  </si>
  <si>
    <t>املأ من المستخدمين القابلين للإسناد</t>
  </si>
  <si>
    <t>update</t>
  </si>
  <si>
    <t>تحديث</t>
  </si>
  <si>
    <t>skip</t>
  </si>
  <si>
    <t>تجاهل</t>
  </si>
  <si>
    <t>نقل لاسم مقترح</t>
  </si>
  <si>
    <t>زبون</t>
  </si>
  <si>
    <t>اسم مقترح</t>
  </si>
  <si>
    <t>review_later</t>
  </si>
  <si>
    <t>مراجعة لاحقة</t>
  </si>
  <si>
    <t>uncertain_identity</t>
  </si>
  <si>
    <t>هوية غير مؤكدة</t>
  </si>
  <si>
    <t>duplicate</t>
  </si>
  <si>
    <t>مكرر</t>
  </si>
  <si>
    <t>missing_required_data</t>
  </si>
  <si>
    <t>بيانات ناقصة</t>
  </si>
  <si>
    <t>missing_or_invalid_phone</t>
  </si>
  <si>
    <t>رقم ناقص أو غير صالح</t>
  </si>
  <si>
    <t>عنوان غير واضح</t>
  </si>
  <si>
    <t>unknown_branch</t>
  </si>
  <si>
    <t>فرع غير معروف</t>
  </si>
  <si>
    <t>outside_coverage</t>
  </si>
  <si>
    <t>خارج التغطية</t>
  </si>
  <si>
    <t>needs_manual_review</t>
  </si>
  <si>
    <t>بحاجة مراجعة</t>
  </si>
  <si>
    <t>إنشاء اسم مقترح</t>
  </si>
  <si>
    <t>update_candidate</t>
  </si>
  <si>
    <t>تحديث اسم مقترح</t>
  </si>
  <si>
    <t>candidate_db_status</t>
  </si>
  <si>
    <t>New</t>
  </si>
  <si>
    <t>FollowUp</t>
  </si>
  <si>
    <t>Contacted</t>
  </si>
  <si>
    <t>Qualified</t>
  </si>
  <si>
    <t>Junk</t>
  </si>
  <si>
    <t>Candidate</t>
  </si>
  <si>
    <t>Client</t>
  </si>
  <si>
    <t>Both</t>
  </si>
  <si>
    <t>Rejected</t>
  </si>
  <si>
    <t>unknown</t>
  </si>
  <si>
    <t>high</t>
  </si>
  <si>
    <t>low</t>
  </si>
  <si>
    <t>موبايل</t>
  </si>
  <si>
    <t>أرضي</t>
  </si>
  <si>
    <t>other</t>
  </si>
  <si>
    <t>آخر</t>
  </si>
  <si>
    <t>contact_status</t>
  </si>
  <si>
    <t>فعال</t>
  </si>
  <si>
    <t>مفضل</t>
  </si>
  <si>
    <t>out-of-coverage</t>
  </si>
  <si>
    <t>unused</t>
  </si>
  <si>
    <t>غير مستخدم</t>
  </si>
  <si>
    <t>invalid</t>
  </si>
  <si>
    <t>غير صالح</t>
  </si>
  <si>
    <t>boolean</t>
  </si>
  <si>
    <t>نعم</t>
  </si>
  <si>
    <t>لا</t>
  </si>
  <si>
    <t>source_channel</t>
  </si>
  <si>
    <t>Campaign</t>
  </si>
  <si>
    <t>Acquaintance</t>
  </si>
  <si>
    <t>Employee</t>
  </si>
  <si>
    <t>Lead</t>
  </si>
  <si>
    <t>FOP</t>
  </si>
  <si>
    <t>OP</t>
  </si>
  <si>
    <t>incorrect</t>
  </si>
  <si>
    <t>Committed</t>
  </si>
  <si>
    <t>NotCommitted</t>
  </si>
  <si>
    <t>raw</t>
  </si>
  <si>
    <t>blocked</t>
  </si>
  <si>
    <t>أمثلة تعبئة سريعة V3</t>
  </si>
  <si>
    <t>أمثلة تلخص طريقة الربط بدون تكرار الرقم أو الوسيط داخل شيت الزبائن.</t>
  </si>
  <si>
    <t>حالة</t>
  </si>
  <si>
    <t>ما تملأه</t>
  </si>
  <si>
    <t>مثال</t>
  </si>
  <si>
    <t>ملاحظة</t>
  </si>
  <si>
    <t>زبون جاهز</t>
  </si>
  <si>
    <t>الزبائن + أرقام التواصل</t>
  </si>
  <si>
    <t>CUST-0001 في الزبائن، و CUST-0001/order=1 في أرقام التواصل</t>
  </si>
  <si>
    <t>الرقم الأساسي لا يكرر في شيت الزبائن.</t>
  </si>
  <si>
    <t>final_destination=proposed_name + proposed_name_key</t>
  </si>
  <si>
    <t>أرقامه تضاف في أرقام التواصل مع entity_type=proposed_name.</t>
  </si>
  <si>
    <t>حي مستوى رابع</t>
  </si>
  <si>
    <t>125</t>
  </si>
  <si>
    <t>إذا غير معروف اتركه فارغا واستخدم sub_area_id حتى المراجعة.</t>
  </si>
  <si>
    <t>وسيط أساسي</t>
  </si>
  <si>
    <t>الوسطاء referrer_order=1</t>
  </si>
  <si>
    <t>client/CUST-0001/order=1</t>
  </si>
  <si>
    <t>أول وسيط هو الأساسي.</t>
  </si>
  <si>
    <t>رقم غير صالح</t>
  </si>
  <si>
    <t>status=invalid</t>
  </si>
  <si>
    <t>093 / invalid</t>
  </si>
  <si>
    <t>يسمح بتوثيق الرقم الخاطئ دون اعتباره جاهزا كرقم فعال.</t>
  </si>
  <si>
    <t>العنوان القديم</t>
  </si>
  <si>
    <t>معلومات عن الموقع / قديم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</si>
</sst>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0.000000"/>
    <numFmt numFmtId="166" formatCode="0000000000"/>
  </numFmts>
  <fonts count="10">
    <font>
      <sz val="11"/>
      <name val="Carlito"/>
    </font>
    <font>
      <b/>
      <sz val="16"/>
      <color rgb="FFFFFFFF"/>
      <name val="Arial"/>
    </font>
    <font>
      <sz val="10"/>
      <color rgb="FF475569"/>
      <name val="Arial"/>
    </font>
    <font>
      <sz val="11"/>
      <name val="Arial"/>
    </font>
    <font>
      <b/>
      <sz val="11"/>
      <color rgb="FFFFFFFF"/>
      <name val="Arial"/>
    </font>
    <font>
      <sz val="11"/>
      <color rgb="FF123047"/>
      <name val="Arial"/>
    </font>
    <font>
      <sz val="9"/>
      <color rgb="FF334155"/>
      <name val="Arial"/>
    </font>
    <font>
      <b/>
      <sz val="10"/>
      <color rgb="FF123047"/>
      <name val="Arial"/>
    </font>
    <font>
      <b/>
      <sz val="10"/>
      <color rgb="FFFFFFFF"/>
      <name val="Arial"/>
    </font>
    <font>
      <sz val="11"/>
      <color rgb="FFBE123C"/>
      <name val="Arial"/>
    </font>
  </fonts>
  <fills count="22">
    <fill>
      <patternFill patternType="none"/>
    </fill>
    <fill>
      <patternFill patternType="gray125"/>
    </fill>
    <fill>
      <patternFill patternType="solid">
        <fgColor rgb="FF123047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E2E8F0"/>
      </patternFill>
    </fill>
    <fill>
      <patternFill patternType="solid">
        <fgColor rgb="FFF3E8F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ECFCCB"/>
      </patternFill>
    </fill>
    <fill>
      <patternFill patternType="solid">
        <fgColor rgb="FFFFE4E6"/>
      </patternFill>
    </fill>
    <fill>
      <patternFill patternType="solid">
        <fgColor rgb="FFFED7AA"/>
      </patternFill>
    </fill>
    <fill>
      <patternFill patternType="solid">
        <fgColor rgb="FFBE123C"/>
      </patternFill>
    </fill>
    <fill>
      <patternFill patternType="solid">
        <fgColor rgb="FFCCFBF1"/>
      </patternFill>
    </fill>
    <fill>
      <patternFill patternType="solid">
        <fgColor rgb="FFE0E7FF"/>
      </patternFill>
    </fill>
    <fill>
      <patternFill patternType="solid">
        <fgColor rgb="FFFCE7F3"/>
      </patternFill>
    </fill>
    <fill>
      <patternFill patternType="solid">
        <fgColor rgb="FF1D4ED8"/>
      </patternFill>
    </fill>
    <fill>
      <patternFill patternType="solid">
        <fgColor rgb="FF15803D"/>
      </patternFill>
    </fill>
    <fill>
      <patternFill patternType="solid">
        <fgColor rgb="FFB45309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9F6E4"/>
      </left>
      <right style="thin">
        <color rgb="FFE2E8F0"/>
      </right>
      <top style="thin">
        <color rgb="FF99F6E4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99F6E4"/>
      </top>
      <bottom style="thin">
        <color rgb="FFE2E8F0"/>
      </bottom>
      <diagonal/>
    </border>
    <border>
      <left style="thin">
        <color rgb="FFE2E8F0"/>
      </left>
      <right style="thin">
        <color rgb="FF99F6E4"/>
      </right>
      <top style="thin">
        <color rgb="FF99F6E4"/>
      </top>
      <bottom style="thin">
        <color rgb="FFE2E8F0"/>
      </bottom>
      <diagonal/>
    </border>
    <border>
      <left style="thin">
        <color rgb="FF99F6E4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99F6E4"/>
      </right>
      <top style="thin">
        <color rgb="FFE2E8F0"/>
      </top>
      <bottom style="thin">
        <color rgb="FFE2E8F0"/>
      </bottom>
      <diagonal/>
    </border>
    <border>
      <left style="thin">
        <color rgb="FF99F6E4"/>
      </left>
      <right style="thin">
        <color rgb="FFE2E8F0"/>
      </right>
      <top style="thin">
        <color rgb="FFE2E8F0"/>
      </top>
      <bottom style="thin">
        <color rgb="FF99F6E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99F6E4"/>
      </bottom>
      <diagonal/>
    </border>
    <border>
      <left style="thin">
        <color rgb="FFE2E8F0"/>
      </left>
      <right style="thin">
        <color rgb="FF99F6E4"/>
      </right>
      <top style="thin">
        <color rgb="FFE2E8F0"/>
      </top>
      <bottom style="thin">
        <color rgb="FF99F6E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NumberFormat="1" applyFont="1" applyFill="1" applyBorder="1"/>
    <xf numFmtId="0" fontId="4" fillId="4" borderId="1" xfId="0" applyNumberFormat="1" applyFont="1" applyFill="1" applyBorder="1"/>
    <xf numFmtId="0" fontId="5" fillId="5" borderId="2" xfId="0" applyNumberFormat="1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wrapText="1"/>
    </xf>
    <xf numFmtId="0" fontId="6" fillId="6" borderId="1" xfId="0" applyNumberFormat="1" applyFont="1" applyFill="1" applyBorder="1"/>
    <xf numFmtId="0" fontId="7" fillId="7" borderId="1" xfId="0" applyNumberFormat="1" applyFont="1" applyFill="1" applyBorder="1" applyAlignment="1">
      <alignment horizontal="center" vertical="center"/>
    </xf>
    <xf numFmtId="0" fontId="8" fillId="15" borderId="6" xfId="0" applyNumberFormat="1" applyFont="1" applyFill="1" applyBorder="1" applyAlignment="1">
      <alignment horizontal="center" vertical="center" wrapText="1"/>
    </xf>
    <xf numFmtId="0" fontId="8" fillId="15" borderId="7" xfId="0" applyNumberFormat="1" applyFont="1" applyFill="1" applyBorder="1" applyAlignment="1">
      <alignment horizontal="center" vertical="center" wrapText="1"/>
    </xf>
    <xf numFmtId="0" fontId="8" fillId="4" borderId="7" xfId="0" applyNumberFormat="1" applyFont="1" applyFill="1" applyBorder="1" applyAlignment="1">
      <alignment horizontal="center" vertical="center" wrapText="1"/>
    </xf>
    <xf numFmtId="0" fontId="8" fillId="4" borderId="8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/>
    </xf>
    <xf numFmtId="49" fontId="3" fillId="0" borderId="2" xfId="0" applyNumberFormat="1" applyFont="1" applyFill="1" applyBorder="1" applyAlignment="1">
      <alignment vertical="top" wrapText="1"/>
    </xf>
    <xf numFmtId="165" fontId="3" fillId="0" borderId="2" xfId="0" applyNumberFormat="1" applyFont="1" applyFill="1" applyBorder="1" applyAlignment="1">
      <alignment vertical="top" wrapText="1"/>
    </xf>
    <xf numFmtId="164" fontId="3" fillId="0" borderId="2" xfId="0" applyNumberFormat="1" applyFont="1" applyFill="1" applyBorder="1" applyAlignment="1">
      <alignment vertical="top" wrapText="1"/>
    </xf>
    <xf numFmtId="0" fontId="9" fillId="0" borderId="10" xfId="0" applyNumberFormat="1" applyFont="1" applyFill="1" applyBorder="1" applyAlignment="1">
      <alignment vertical="top" wrapText="1"/>
    </xf>
    <xf numFmtId="49" fontId="3" fillId="0" borderId="11" xfId="0" applyNumberFormat="1" applyFont="1" applyFill="1" applyBorder="1" applyAlignment="1">
      <alignment vertical="top" wrapText="1"/>
    </xf>
    <xf numFmtId="0" fontId="3" fillId="0" borderId="12" xfId="0" applyNumberFormat="1" applyFont="1" applyFill="1" applyBorder="1" applyAlignment="1">
      <alignment vertical="top" wrapText="1"/>
    </xf>
    <xf numFmtId="49" fontId="3" fillId="0" borderId="12" xfId="0" applyNumberFormat="1" applyFont="1" applyFill="1" applyBorder="1" applyAlignment="1">
      <alignment vertical="top" wrapText="1"/>
    </xf>
    <xf numFmtId="165" fontId="3" fillId="0" borderId="12" xfId="0" applyNumberFormat="1" applyFont="1" applyFill="1" applyBorder="1" applyAlignment="1">
      <alignment vertical="top" wrapText="1"/>
    </xf>
    <xf numFmtId="164" fontId="3" fillId="0" borderId="12" xfId="0" applyNumberFormat="1" applyFont="1" applyFill="1" applyBorder="1" applyAlignment="1">
      <alignment vertical="top" wrapText="1"/>
    </xf>
    <xf numFmtId="0" fontId="9" fillId="0" borderId="13" xfId="0" applyNumberFormat="1" applyFont="1" applyFill="1" applyBorder="1" applyAlignment="1">
      <alignment vertical="top" wrapText="1"/>
    </xf>
    <xf numFmtId="0" fontId="3" fillId="0" borderId="9" xfId="0" applyNumberFormat="1" applyFont="1" applyFill="1" applyBorder="1" applyAlignment="1">
      <alignment wrapText="1"/>
    </xf>
    <xf numFmtId="49" fontId="3" fillId="0" borderId="2" xfId="0" applyNumberFormat="1" applyFont="1" applyFill="1" applyBorder="1" applyAlignment="1">
      <alignment wrapText="1"/>
    </xf>
    <xf numFmtId="0" fontId="3" fillId="0" borderId="2" xfId="0" applyNumberFormat="1" applyFont="1" applyFill="1" applyBorder="1" applyAlignment="1">
      <alignment wrapText="1"/>
    </xf>
    <xf numFmtId="166" fontId="3" fillId="0" borderId="2" xfId="0" applyNumberFormat="1" applyFont="1" applyFill="1" applyBorder="1" applyAlignment="1">
      <alignment wrapText="1"/>
    </xf>
    <xf numFmtId="0" fontId="9" fillId="0" borderId="10" xfId="0" applyNumberFormat="1" applyFont="1" applyFill="1" applyBorder="1" applyAlignment="1">
      <alignment wrapText="1"/>
    </xf>
    <xf numFmtId="0" fontId="3" fillId="0" borderId="11" xfId="0" applyNumberFormat="1" applyFont="1" applyFill="1" applyBorder="1" applyAlignment="1">
      <alignment wrapText="1"/>
    </xf>
    <xf numFmtId="49" fontId="3" fillId="0" borderId="12" xfId="0" applyNumberFormat="1" applyFont="1" applyFill="1" applyBorder="1" applyAlignment="1">
      <alignment wrapText="1"/>
    </xf>
    <xf numFmtId="0" fontId="3" fillId="0" borderId="12" xfId="0" applyNumberFormat="1" applyFont="1" applyFill="1" applyBorder="1" applyAlignment="1">
      <alignment wrapText="1"/>
    </xf>
    <xf numFmtId="0" fontId="9" fillId="0" borderId="13" xfId="0" applyNumberFormat="1" applyFont="1" applyFill="1" applyBorder="1" applyAlignment="1">
      <alignment wrapText="1"/>
    </xf>
    <xf numFmtId="164" fontId="3" fillId="0" borderId="2" xfId="0" applyNumberFormat="1" applyFont="1" applyFill="1" applyBorder="1" applyAlignment="1">
      <alignment wrapText="1"/>
    </xf>
    <xf numFmtId="164" fontId="3" fillId="0" borderId="12" xfId="0" applyNumberFormat="1" applyFont="1" applyFill="1" applyBorder="1" applyAlignment="1">
      <alignment wrapText="1"/>
    </xf>
    <xf numFmtId="0" fontId="7" fillId="17" borderId="1" xfId="0" applyNumberFormat="1" applyFont="1" applyFill="1" applyBorder="1" applyAlignment="1">
      <alignment horizontal="center" vertical="center"/>
    </xf>
    <xf numFmtId="0" fontId="7" fillId="12" borderId="1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wrapText="1"/>
    </xf>
    <xf numFmtId="49" fontId="3" fillId="0" borderId="11" xfId="0" applyNumberFormat="1" applyFont="1" applyFill="1" applyBorder="1" applyAlignment="1">
      <alignment wrapText="1"/>
    </xf>
    <xf numFmtId="0" fontId="4" fillId="19" borderId="1" xfId="0" applyNumberFormat="1" applyFont="1" applyFill="1" applyBorder="1"/>
    <xf numFmtId="0" fontId="4" fillId="20" borderId="1" xfId="0" applyNumberFormat="1" applyFont="1" applyFill="1" applyBorder="1"/>
    <xf numFmtId="0" fontId="4" fillId="21" borderId="1" xfId="0" applyNumberFormat="1" applyFont="1" applyFill="1" applyBorder="1"/>
    <xf numFmtId="0" fontId="5" fillId="5" borderId="2" xfId="0" applyNumberFormat="1" applyFont="1" applyFill="1" applyBorder="1"/>
    <xf numFmtId="0" fontId="3" fillId="5" borderId="2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wrapText="1"/>
    </xf>
    <xf numFmtId="0" fontId="7" fillId="3" borderId="3" xfId="0" applyNumberFormat="1" applyFont="1" applyFill="1" applyBorder="1" applyAlignment="1">
      <alignment horizontal="center" vertical="center"/>
    </xf>
    <xf numFmtId="0" fontId="7" fillId="3" borderId="4" xfId="0" applyNumberFormat="1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center" vertical="center"/>
    </xf>
    <xf numFmtId="0" fontId="7" fillId="7" borderId="3" xfId="0" applyNumberFormat="1" applyFont="1" applyFill="1" applyBorder="1" applyAlignment="1">
      <alignment horizontal="center" vertical="center"/>
    </xf>
    <xf numFmtId="0" fontId="7" fillId="7" borderId="5" xfId="0" applyNumberFormat="1" applyFont="1" applyFill="1" applyBorder="1" applyAlignment="1">
      <alignment horizontal="center" vertical="center"/>
    </xf>
    <xf numFmtId="0" fontId="7" fillId="8" borderId="3" xfId="0" applyNumberFormat="1" applyFont="1" applyFill="1" applyBorder="1" applyAlignment="1">
      <alignment horizontal="center" vertical="center"/>
    </xf>
    <xf numFmtId="0" fontId="7" fillId="8" borderId="4" xfId="0" applyNumberFormat="1" applyFont="1" applyFill="1" applyBorder="1" applyAlignment="1">
      <alignment horizontal="center" vertical="center"/>
    </xf>
    <xf numFmtId="0" fontId="7" fillId="8" borderId="5" xfId="0" applyNumberFormat="1" applyFont="1" applyFill="1" applyBorder="1" applyAlignment="1">
      <alignment horizontal="center" vertical="center"/>
    </xf>
    <xf numFmtId="0" fontId="7" fillId="9" borderId="3" xfId="0" applyNumberFormat="1" applyFont="1" applyFill="1" applyBorder="1" applyAlignment="1">
      <alignment horizontal="center" vertical="center"/>
    </xf>
    <xf numFmtId="0" fontId="7" fillId="9" borderId="4" xfId="0" applyNumberFormat="1" applyFont="1" applyFill="1" applyBorder="1" applyAlignment="1">
      <alignment horizontal="center" vertical="center"/>
    </xf>
    <xf numFmtId="0" fontId="7" fillId="9" borderId="5" xfId="0" applyNumberFormat="1" applyFont="1" applyFill="1" applyBorder="1" applyAlignment="1">
      <alignment horizontal="center" vertical="center"/>
    </xf>
    <xf numFmtId="0" fontId="7" fillId="10" borderId="3" xfId="0" applyNumberFormat="1" applyFont="1" applyFill="1" applyBorder="1" applyAlignment="1">
      <alignment horizontal="center" vertical="center"/>
    </xf>
    <xf numFmtId="0" fontId="7" fillId="10" borderId="4" xfId="0" applyNumberFormat="1" applyFont="1" applyFill="1" applyBorder="1" applyAlignment="1">
      <alignment horizontal="center" vertical="center"/>
    </xf>
    <xf numFmtId="0" fontId="7" fillId="10" borderId="5" xfId="0" applyNumberFormat="1" applyFont="1" applyFill="1" applyBorder="1" applyAlignment="1">
      <alignment horizontal="center" vertical="center"/>
    </xf>
    <xf numFmtId="0" fontId="7" fillId="11" borderId="3" xfId="0" applyNumberFormat="1" applyFont="1" applyFill="1" applyBorder="1" applyAlignment="1">
      <alignment horizontal="center" vertical="center"/>
    </xf>
    <xf numFmtId="0" fontId="7" fillId="11" borderId="4" xfId="0" applyNumberFormat="1" applyFont="1" applyFill="1" applyBorder="1" applyAlignment="1">
      <alignment horizontal="center" vertical="center"/>
    </xf>
    <xf numFmtId="0" fontId="7" fillId="11" borderId="5" xfId="0" applyNumberFormat="1" applyFont="1" applyFill="1" applyBorder="1" applyAlignment="1">
      <alignment horizontal="center" vertical="center"/>
    </xf>
    <xf numFmtId="0" fontId="7" fillId="12" borderId="3" xfId="0" applyNumberFormat="1" applyFont="1" applyFill="1" applyBorder="1" applyAlignment="1">
      <alignment horizontal="center" vertical="center"/>
    </xf>
    <xf numFmtId="0" fontId="7" fillId="12" borderId="4" xfId="0" applyNumberFormat="1" applyFont="1" applyFill="1" applyBorder="1" applyAlignment="1">
      <alignment horizontal="center" vertical="center"/>
    </xf>
    <xf numFmtId="0" fontId="7" fillId="12" borderId="5" xfId="0" applyNumberFormat="1" applyFont="1" applyFill="1" applyBorder="1" applyAlignment="1">
      <alignment horizontal="center" vertical="center"/>
    </xf>
    <xf numFmtId="0" fontId="7" fillId="13" borderId="3" xfId="0" applyNumberFormat="1" applyFont="1" applyFill="1" applyBorder="1" applyAlignment="1">
      <alignment horizontal="center" vertical="center"/>
    </xf>
    <xf numFmtId="0" fontId="7" fillId="13" borderId="4" xfId="0" applyNumberFormat="1" applyFont="1" applyFill="1" applyBorder="1" applyAlignment="1">
      <alignment horizontal="center" vertical="center"/>
    </xf>
    <xf numFmtId="0" fontId="7" fillId="13" borderId="5" xfId="0" applyNumberFormat="1" applyFont="1" applyFill="1" applyBorder="1" applyAlignment="1">
      <alignment horizontal="center" vertical="center"/>
    </xf>
    <xf numFmtId="0" fontId="7" fillId="6" borderId="3" xfId="0" applyNumberFormat="1" applyFont="1" applyFill="1" applyBorder="1" applyAlignment="1">
      <alignment horizontal="center" vertical="center"/>
    </xf>
    <xf numFmtId="0" fontId="7" fillId="6" borderId="4" xfId="0" applyNumberFormat="1" applyFont="1" applyFill="1" applyBorder="1" applyAlignment="1">
      <alignment horizontal="center" vertical="center"/>
    </xf>
    <xf numFmtId="0" fontId="7" fillId="6" borderId="5" xfId="0" applyNumberFormat="1" applyFont="1" applyFill="1" applyBorder="1" applyAlignment="1">
      <alignment horizontal="center" vertical="center"/>
    </xf>
    <xf numFmtId="0" fontId="7" fillId="14" borderId="3" xfId="0" applyNumberFormat="1" applyFont="1" applyFill="1" applyBorder="1" applyAlignment="1">
      <alignment horizontal="center" vertical="center"/>
    </xf>
    <xf numFmtId="0" fontId="7" fillId="14" borderId="4" xfId="0" applyNumberFormat="1" applyFont="1" applyFill="1" applyBorder="1" applyAlignment="1">
      <alignment horizontal="center" vertical="center"/>
    </xf>
    <xf numFmtId="0" fontId="7" fillId="14" borderId="5" xfId="0" applyNumberFormat="1" applyFont="1" applyFill="1" applyBorder="1" applyAlignment="1">
      <alignment horizontal="center" vertical="center"/>
    </xf>
    <xf numFmtId="0" fontId="7" fillId="16" borderId="3" xfId="0" applyNumberFormat="1" applyFont="1" applyFill="1" applyBorder="1" applyAlignment="1">
      <alignment horizontal="center" vertical="center"/>
    </xf>
    <xf numFmtId="0" fontId="7" fillId="16" borderId="4" xfId="0" applyNumberFormat="1" applyFont="1" applyFill="1" applyBorder="1" applyAlignment="1">
      <alignment horizontal="center" vertical="center"/>
    </xf>
    <xf numFmtId="0" fontId="7" fillId="16" borderId="5" xfId="0" applyNumberFormat="1" applyFont="1" applyFill="1" applyBorder="1" applyAlignment="1">
      <alignment horizontal="center" vertical="center"/>
    </xf>
    <xf numFmtId="0" fontId="7" fillId="7" borderId="4" xfId="0" applyNumberFormat="1" applyFont="1" applyFill="1" applyBorder="1" applyAlignment="1">
      <alignment horizontal="center" vertical="center"/>
    </xf>
    <xf numFmtId="0" fontId="7" fillId="18" borderId="3" xfId="0" applyNumberFormat="1" applyFont="1" applyFill="1" applyBorder="1" applyAlignment="1">
      <alignment horizontal="center" vertical="center"/>
    </xf>
    <xf numFmtId="0" fontId="7" fillId="18" borderId="4" xfId="0" applyNumberFormat="1" applyFont="1" applyFill="1" applyBorder="1" applyAlignment="1">
      <alignment horizontal="center" vertical="center"/>
    </xf>
    <xf numFmtId="0" fontId="7" fillId="1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CustomersImportTemplateV3" displayName="CustomersImportTemplateV3" ref="A5:BA505" totalsRowShown="0">
  <autoFilter ref="A5:BA505"/>
  <tableColumns count="53">
    <tableColumn id="1" name="مفتاح الزبون للهجرة"/>
    <tableColumn id="2" name="إجراء الاستيراد"/>
    <tableColumn id="3" name="ID النظام القديم"/>
    <tableColumn id="4" name="مصدر/جدول قديم"/>
    <tableColumn id="5" name="ID الفرع"/>
    <tableColumn id="6" name="اسم الفرع للمراجعة"/>
    <tableColumn id="7" name="الاسم الأول"/>
    <tableColumn id="8" name="اسم الأب"/>
    <tableColumn id="9" name="الكنية/العائلة"/>
    <tableColumn id="10" name="اللقب"/>
    <tableColumn id="11" name="الاسم الكامل - تلقائي"/>
    <tableColumn id="12" name="ID المحافظة"/>
    <tableColumn id="13" name="اسم المحافظة"/>
    <tableColumn id="14" name="ID المنطقة"/>
    <tableColumn id="15" name="اسم المنطقة"/>
    <tableColumn id="16" name="ID الناحية"/>
    <tableColumn id="17" name="اسم الناحية"/>
    <tableColumn id="18" name="ID الحي"/>
    <tableColumn id="19" name="اسم الحي"/>
    <tableColumn id="21" name="العنوان القديم" dataDxfId="16"/>
    <tableColumn id="20" name="معلومات عن الموقع / قديم"/>
    <tableColumn id="22" name="العنوان التفصيلي"/>
    <tableColumn id="24" name="GPS خط العرض"/>
    <tableColumn id="25" name="GPS خط الطول"/>
    <tableColumn id="26" name="IDs المستخدمين المسندين"/>
    <tableColumn id="27" name="هل هو مرشح؟"/>
    <tableColumn id="28" name="حالة المرشح داخل الزبون"/>
    <tableColumn id="29" name="زبون مستهدف"/>
    <tableColumn id="30" name="الجنس"/>
    <tableColumn id="31" name="تاريخ الميلاد"/>
    <tableColumn id="32" name="اسم الأم"/>
    <tableColumn id="33" name="الرقم الوطني"/>
    <tableColumn id="34" name="القيد/السجل"/>
    <tableColumn id="35" name="جهة الإصدار"/>
    <tableColumn id="36" name="تاريخ الإصدار"/>
    <tableColumn id="37" name="الخانة"/>
    <tableColumn id="38" name="المهنة"/>
    <tableColumn id="39" name="مهنة الزوج/الزوجة"/>
    <tableColumn id="40" name="مصدر المياه"/>
    <tableColumn id="41" name="جودة البيانات"/>
    <tableColumn id="42" name="التقييم"/>
    <tableColumn id="43" name="عدم التواصل"/>
    <tableColumn id="44" name="إيقاف التواصل حتى"/>
    <tableColumn id="45" name="سبب إيقاف التواصل"/>
    <tableColumn id="46" name="ملاحظات"/>
    <tableColumn id="47" name="حالة التنظيف"/>
    <tableColumn id="48" name="ملاحظات التنظيف"/>
    <tableColumn id="49" name="الوجهة النهائية"/>
    <tableColumn id="50" name="سبب النقل لاسم مقترح"/>
    <tableColumn id="51" name="مفتاح الاسم المقترح"/>
    <tableColumn id="52" name="ملاحظات قرار الفرز"/>
    <tableColumn id="53" name="حالة الصف - تلقائي"/>
    <tableColumn id="54" name="مشاكل الصف - تلقائي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tityContactsTemplateV3" displayName="EntityContactsTemplateV3" ref="A5:N505" totalsRowShown="0">
  <autoFilter ref="A5:N505"/>
  <tableColumns count="14">
    <tableColumn id="1" name="نوع السجل"/>
    <tableColumn id="2" name="مفتاح السجل"/>
    <tableColumn id="3" name="ترتيب الرقم"/>
    <tableColumn id="4" name="نوع الرقم"/>
    <tableColumn id="5" name="الرقم"/>
    <tableColumn id="6" name="رمز المنطقة"/>
    <tableColumn id="7" name="وصف الرقم"/>
    <tableColumn id="8" name="واتساب"/>
    <tableColumn id="9" name="أساسي؟"/>
    <tableColumn id="10" name="حالة الرقم"/>
    <tableColumn id="11" name="حالة التنظيف"/>
    <tableColumn id="12" name="ملاحظات"/>
    <tableColumn id="13" name="حالة الصف - تلقائي"/>
    <tableColumn id="14" name="مشاكل الصف - تلقائي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tityReferrersTemplateV3" displayName="EntityReferrersTemplateV3" ref="A5:Q505" totalsRowShown="0">
  <autoFilter ref="A5:Q505"/>
  <tableColumns count="17">
    <tableColumn id="1" name="نوع السجل"/>
    <tableColumn id="2" name="مفتاح السجل"/>
    <tableColumn id="3" name="ترتيب الوسيط"/>
    <tableColumn id="4" name="أساسي؟"/>
    <tableColumn id="5" name="نوع الوسيط"/>
    <tableColumn id="6" name="قناة المصدر"/>
    <tableColumn id="7" name="ID الوسيط إن وجد"/>
    <tableColumn id="8" name="اسم الوسيط"/>
    <tableColumn id="9" name="تاريخ الإحالة"/>
    <tableColumn id="10" name="سبب/تفصيل الإحالة"/>
    <tableColumn id="11" name="رقم دفتر/ورقة الإحالة"/>
    <tableColumn id="12" name="عنوان الوسيط/المصدر"/>
    <tableColumn id="13" name="حالة تأكيد الإحالة"/>
    <tableColumn id="14" name="ملاحظات الوسيط"/>
    <tableColumn id="15" name="حالة التنظيف"/>
    <tableColumn id="16" name="حالة الصف - تلقائي"/>
    <tableColumn id="17" name="مشاكل الصف - تلقائي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posedNamesImportTemplateV3" displayName="ProposedNamesImportTemplateV3" ref="A5:AC505" totalsRowShown="0">
  <autoFilter ref="A5:AC505"/>
  <tableColumns count="29">
    <tableColumn id="1" name="مفتاح الاسم المقترح"/>
    <tableColumn id="2" name="مفتاح الزبون المصدر"/>
    <tableColumn id="3" name="إجراء الاسم المقترح"/>
    <tableColumn id="4" name="سبب النقل"/>
    <tableColumn id="5" name="مستوى الثقة"/>
    <tableColumn id="6" name="ID النظام القديم"/>
    <tableColumn id="7" name="مصدر/جدول قديم"/>
    <tableColumn id="8" name="ID الفرع"/>
    <tableColumn id="9" name="اسم الفرع للمراجعة"/>
    <tableColumn id="10" name="ID المالك/المتابع"/>
    <tableColumn id="11" name="الاسم الأول"/>
    <tableColumn id="12" name="الكنية/العائلة"/>
    <tableColumn id="13" name="اللقب"/>
    <tableColumn id="14" name="الاسم الكامل - تلقائي"/>
    <tableColumn id="15" name="العنوان النصي"/>
    <tableColumn id="16" name="ID الموقع إن حسم"/>
    <tableColumn id="17" name="اسم الموقع للمراجعة"/>
    <tableColumn id="18" name="وضوح العنوان"/>
    <tableColumn id="19" name="حالة الاسم المقترح"/>
    <tableColumn id="20" name="المهنة"/>
    <tableColumn id="21" name="اشتباه تكرار"/>
    <tableColumn id="22" name="نوع التكرار"/>
    <tableColumn id="23" name="ID مرجع التكرار"/>
    <tableColumn id="24" name="مفتاح مرجع التكرار"/>
    <tableColumn id="25" name="ملاحظات الاسم المقترح"/>
    <tableColumn id="26" name="حالة صف المصدر - تلقائي"/>
    <tableColumn id="27" name="مشاكل صف المصدر - تلقائي"/>
    <tableColumn id="28" name="حالة الاسم - تلقائي"/>
    <tableColumn id="29" name="مشاكل الاسم - تلقائ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lumnDictionaryV3" displayName="ColumnDictionaryV3" ref="A5:H119" totalsRowShown="0">
  <autoFilter ref="A5:H119"/>
  <tableColumns count="8">
    <tableColumn id="1" name="الشيت"/>
    <tableColumn id="2" name="القسم"/>
    <tableColumn id="3" name="المفتاح التقني"/>
    <tableColumn id="4" name="العنوان"/>
    <tableColumn id="5" name="الإلزام"/>
    <tableColumn id="6" name="الوجهة"/>
    <tableColumn id="7" name="القيم المقبولة"/>
    <tableColumn id="8" name="ملاحظات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AllowedValuesV3" displayName="AllowedValuesV3" ref="A5:D77" totalsRowShown="0">
  <tableColumns count="4">
    <tableColumn id="1" name="القائمة"/>
    <tableColumn id="2" name="القيمة"/>
    <tableColumn id="3" name="شرح عربي"/>
    <tableColumn id="4" name="ملاحظات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ranchesReferenceV3" displayName="BranchesReferenceV3" ref="F5:I40" totalsRowShown="0">
  <tableColumns count="4">
    <tableColumn id="1" name="branch_id"/>
    <tableColumn id="2" name="branch_name"/>
    <tableColumn id="3" name="status"/>
    <tableColumn id="4" name="notes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8" name="GeoUnitsReferenceV3" displayName="GeoUnitsReferenceV3" ref="K5:Q100" totalsRowShown="0">
  <tableColumns count="7">
    <tableColumn id="1" name="geo_unit_id"/>
    <tableColumn id="2" name="name"/>
    <tableColumn id="3" name="level"/>
    <tableColumn id="4" name="parent_id"/>
    <tableColumn id="5" name="parent_name"/>
    <tableColumn id="6" name="status"/>
    <tableColumn id="7" name="covered_branch_id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AssignableUsersReferenceV3" displayName="AssignableUsersReferenceV3" ref="S5:W60" totalsRowShown="0">
  <tableColumns count="5">
    <tableColumn id="1" name="hr_user_id"/>
    <tableColumn id="2" name="name"/>
    <tableColumn id="3" name="branch_id"/>
    <tableColumn id="4" name="role"/>
    <tableColumn id="5" name="assignable_not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workbookViewId="0">
      <selection activeCell="A11" sqref="A11"/>
    </sheetView>
  </sheetViews>
  <sheetFormatPr defaultRowHeight="14.25"/>
  <cols>
    <col min="1" max="1" width="12" customWidth="1"/>
    <col min="2" max="2" width="76" customWidth="1"/>
    <col min="3" max="3" width="66" customWidth="1"/>
    <col min="4" max="4" width="4" customWidth="1"/>
    <col min="5" max="5" width="18" customWidth="1"/>
    <col min="6" max="8" width="24" customWidth="1"/>
  </cols>
  <sheetData>
    <row r="1" spans="1:8" ht="33.950000000000003" customHeight="1">
      <c r="A1" s="43" t="s">
        <v>0</v>
      </c>
      <c r="B1" s="43" t="s">
        <v>0</v>
      </c>
      <c r="C1" s="43" t="s">
        <v>0</v>
      </c>
      <c r="D1" s="43" t="s">
        <v>0</v>
      </c>
      <c r="E1" s="43" t="s">
        <v>0</v>
      </c>
      <c r="F1" s="43" t="s">
        <v>0</v>
      </c>
      <c r="G1" s="43" t="s">
        <v>0</v>
      </c>
      <c r="H1" s="43" t="s">
        <v>0</v>
      </c>
    </row>
    <row r="2" spans="1:8" ht="27.95" customHeight="1">
      <c r="A2" s="44" t="s">
        <v>1</v>
      </c>
      <c r="B2" s="44" t="s">
        <v>1</v>
      </c>
      <c r="C2" s="44" t="s">
        <v>1</v>
      </c>
      <c r="D2" s="44" t="s">
        <v>1</v>
      </c>
      <c r="E2" s="44" t="s">
        <v>1</v>
      </c>
      <c r="F2" s="44" t="s">
        <v>1</v>
      </c>
      <c r="G2" s="44" t="s">
        <v>1</v>
      </c>
      <c r="H2" s="44" t="s">
        <v>1</v>
      </c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2</v>
      </c>
      <c r="B4" s="2" t="s">
        <v>3</v>
      </c>
      <c r="C4" s="2" t="s">
        <v>4</v>
      </c>
      <c r="D4" s="1"/>
      <c r="E4" s="45" t="s">
        <v>5</v>
      </c>
      <c r="F4" s="45"/>
      <c r="G4" s="45"/>
      <c r="H4" s="45"/>
    </row>
    <row r="5" spans="1:8" ht="28.5">
      <c r="A5" s="3" t="s">
        <v>6</v>
      </c>
      <c r="B5" s="3" t="s">
        <v>7</v>
      </c>
      <c r="C5" s="3" t="s">
        <v>8</v>
      </c>
      <c r="D5" s="1"/>
      <c r="E5" s="4" t="s">
        <v>9</v>
      </c>
      <c r="F5" s="4" t="s">
        <v>10</v>
      </c>
      <c r="G5" s="4"/>
      <c r="H5" s="4"/>
    </row>
    <row r="6" spans="1:8" ht="28.5">
      <c r="A6" s="3" t="s">
        <v>11</v>
      </c>
      <c r="B6" s="3" t="s">
        <v>12</v>
      </c>
      <c r="C6" s="3" t="s">
        <v>13</v>
      </c>
      <c r="D6" s="1"/>
      <c r="E6" s="4" t="s">
        <v>14</v>
      </c>
      <c r="F6" s="4" t="s">
        <v>15</v>
      </c>
      <c r="G6" s="4"/>
      <c r="H6" s="4"/>
    </row>
    <row r="7" spans="1:8">
      <c r="A7" s="3" t="s">
        <v>16</v>
      </c>
      <c r="B7" s="3" t="s">
        <v>17</v>
      </c>
      <c r="C7" s="3" t="s">
        <v>18</v>
      </c>
      <c r="D7" s="1"/>
      <c r="E7" s="4" t="s">
        <v>19</v>
      </c>
      <c r="F7" s="4" t="s">
        <v>20</v>
      </c>
      <c r="G7" s="4"/>
      <c r="H7" s="4"/>
    </row>
    <row r="8" spans="1:8">
      <c r="A8" s="3" t="s">
        <v>21</v>
      </c>
      <c r="B8" s="3" t="s">
        <v>22</v>
      </c>
      <c r="C8" s="3" t="s">
        <v>23</v>
      </c>
      <c r="D8" s="1"/>
      <c r="E8" s="4" t="s">
        <v>24</v>
      </c>
      <c r="F8" s="4" t="s">
        <v>25</v>
      </c>
      <c r="G8" s="4"/>
      <c r="H8" s="4"/>
    </row>
    <row r="9" spans="1:8" ht="28.5">
      <c r="A9" s="3" t="s">
        <v>26</v>
      </c>
      <c r="B9" s="3" t="s">
        <v>27</v>
      </c>
      <c r="C9" s="3" t="s">
        <v>28</v>
      </c>
      <c r="D9" s="1"/>
      <c r="E9" s="4" t="s">
        <v>29</v>
      </c>
      <c r="F9" s="4" t="s">
        <v>30</v>
      </c>
      <c r="G9" s="4"/>
      <c r="H9" s="4"/>
    </row>
    <row r="10" spans="1:8" ht="28.5">
      <c r="A10" s="3" t="s">
        <v>31</v>
      </c>
      <c r="B10" s="3" t="s">
        <v>32</v>
      </c>
      <c r="C10" s="3" t="s">
        <v>33</v>
      </c>
      <c r="D10" s="1"/>
      <c r="E10" s="4" t="s">
        <v>34</v>
      </c>
      <c r="F10" s="4" t="s">
        <v>35</v>
      </c>
      <c r="G10" s="4"/>
      <c r="H10" s="4"/>
    </row>
    <row r="11" spans="1:8" ht="28.5">
      <c r="A11" s="3" t="s">
        <v>36</v>
      </c>
      <c r="B11" s="3" t="s">
        <v>37</v>
      </c>
      <c r="C11" s="3" t="s">
        <v>38</v>
      </c>
      <c r="D11" s="1"/>
      <c r="E11" s="4" t="s">
        <v>39</v>
      </c>
      <c r="F11" s="4" t="s">
        <v>40</v>
      </c>
      <c r="G11" s="4"/>
      <c r="H11" s="4"/>
    </row>
    <row r="12" spans="1:8">
      <c r="A12" s="3" t="s">
        <v>41</v>
      </c>
      <c r="B12" s="3" t="s">
        <v>42</v>
      </c>
      <c r="C12" s="3" t="s">
        <v>43</v>
      </c>
      <c r="D12" s="1"/>
      <c r="E12" s="4" t="s">
        <v>44</v>
      </c>
      <c r="F12" s="4" t="s">
        <v>45</v>
      </c>
      <c r="G12" s="4"/>
      <c r="H12" s="4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</sheetData>
  <mergeCells count="3">
    <mergeCell ref="A1:H1"/>
    <mergeCell ref="A2:H2"/>
    <mergeCell ref="E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05"/>
  <sheetViews>
    <sheetView showGridLines="0" topLeftCell="T1" workbookViewId="0">
      <selection activeCell="AF6" sqref="AF6"/>
    </sheetView>
  </sheetViews>
  <sheetFormatPr defaultRowHeight="14.25"/>
  <cols>
    <col min="1" max="1" width="22" customWidth="1"/>
    <col min="2" max="2" width="16" customWidth="1"/>
    <col min="3" max="3" width="18" customWidth="1"/>
    <col min="4" max="4" width="20" customWidth="1"/>
    <col min="5" max="5" width="10" customWidth="1"/>
    <col min="6" max="6" width="18" customWidth="1"/>
    <col min="7" max="9" width="16" customWidth="1"/>
    <col min="10" max="10" width="14" customWidth="1"/>
    <col min="11" max="11" width="28" customWidth="1"/>
    <col min="12" max="12" width="12" customWidth="1"/>
    <col min="13" max="13" width="18" customWidth="1"/>
    <col min="14" max="14" width="12" customWidth="1"/>
    <col min="15" max="15" width="18" customWidth="1"/>
    <col min="16" max="16" width="12" customWidth="1"/>
    <col min="17" max="17" width="18" customWidth="1"/>
    <col min="18" max="18" width="12" customWidth="1"/>
    <col min="19" max="20" width="18" customWidth="1"/>
    <col min="21" max="21" width="16" customWidth="1"/>
    <col min="22" max="22" width="38" customWidth="1"/>
    <col min="23" max="24" width="12" customWidth="1"/>
    <col min="25" max="25" width="20" customWidth="1"/>
    <col min="26" max="26" width="12" customWidth="1"/>
    <col min="27" max="28" width="16" customWidth="1"/>
    <col min="29" max="29" width="12" customWidth="1"/>
    <col min="30" max="30" width="14" customWidth="1"/>
    <col min="31" max="32" width="18" customWidth="1"/>
    <col min="33" max="33" width="16" customWidth="1"/>
    <col min="34" max="34" width="18" customWidth="1"/>
    <col min="35" max="35" width="14" customWidth="1"/>
    <col min="36" max="36" width="12" customWidth="1"/>
    <col min="37" max="39" width="18" customWidth="1"/>
    <col min="40" max="41" width="16" customWidth="1"/>
    <col min="42" max="42" width="12" customWidth="1"/>
    <col min="43" max="43" width="14" customWidth="1"/>
    <col min="44" max="44" width="20" customWidth="1"/>
    <col min="45" max="45" width="38" customWidth="1"/>
    <col min="46" max="46" width="18" customWidth="1"/>
    <col min="47" max="47" width="34" customWidth="1"/>
    <col min="48" max="48" width="18" customWidth="1"/>
    <col min="49" max="49" width="24" customWidth="1"/>
    <col min="50" max="50" width="22" customWidth="1"/>
    <col min="51" max="51" width="42" customWidth="1"/>
    <col min="52" max="52" width="16" customWidth="1"/>
    <col min="53" max="53" width="52" customWidth="1"/>
  </cols>
  <sheetData>
    <row r="1" spans="1:53" ht="33.950000000000003" customHeight="1">
      <c r="A1" s="43" t="s">
        <v>46</v>
      </c>
      <c r="B1" s="43" t="s">
        <v>46</v>
      </c>
      <c r="C1" s="43" t="s">
        <v>46</v>
      </c>
      <c r="D1" s="43" t="s">
        <v>46</v>
      </c>
      <c r="E1" s="43" t="s">
        <v>46</v>
      </c>
      <c r="F1" s="43" t="s">
        <v>46</v>
      </c>
      <c r="G1" s="43" t="s">
        <v>46</v>
      </c>
      <c r="H1" s="43" t="s">
        <v>46</v>
      </c>
      <c r="I1" s="43" t="s">
        <v>46</v>
      </c>
      <c r="J1" s="43" t="s">
        <v>46</v>
      </c>
      <c r="K1" s="43" t="s">
        <v>46</v>
      </c>
      <c r="L1" s="43" t="s">
        <v>46</v>
      </c>
      <c r="M1" s="43" t="s">
        <v>46</v>
      </c>
      <c r="N1" s="43" t="s">
        <v>46</v>
      </c>
      <c r="O1" s="43" t="s">
        <v>46</v>
      </c>
      <c r="P1" s="43" t="s">
        <v>46</v>
      </c>
      <c r="Q1" s="43" t="s">
        <v>46</v>
      </c>
      <c r="R1" s="43" t="s">
        <v>46</v>
      </c>
      <c r="S1" s="43" t="s">
        <v>46</v>
      </c>
      <c r="T1" s="43"/>
      <c r="U1" s="43" t="s">
        <v>46</v>
      </c>
      <c r="V1" s="43" t="s">
        <v>46</v>
      </c>
      <c r="W1" s="43" t="s">
        <v>46</v>
      </c>
      <c r="X1" s="43" t="s">
        <v>46</v>
      </c>
      <c r="Y1" s="43" t="s">
        <v>46</v>
      </c>
      <c r="Z1" s="43" t="s">
        <v>46</v>
      </c>
      <c r="AA1" s="43" t="s">
        <v>46</v>
      </c>
      <c r="AB1" s="43" t="s">
        <v>46</v>
      </c>
      <c r="AC1" s="43" t="s">
        <v>46</v>
      </c>
      <c r="AD1" s="43" t="s">
        <v>46</v>
      </c>
      <c r="AE1" s="43" t="s">
        <v>46</v>
      </c>
      <c r="AF1" s="43" t="s">
        <v>46</v>
      </c>
      <c r="AG1" s="43" t="s">
        <v>46</v>
      </c>
      <c r="AH1" s="43" t="s">
        <v>46</v>
      </c>
      <c r="AI1" s="43" t="s">
        <v>46</v>
      </c>
      <c r="AJ1" s="43" t="s">
        <v>46</v>
      </c>
      <c r="AK1" s="43" t="s">
        <v>46</v>
      </c>
      <c r="AL1" s="43" t="s">
        <v>46</v>
      </c>
      <c r="AM1" s="43" t="s">
        <v>46</v>
      </c>
      <c r="AN1" s="43" t="s">
        <v>46</v>
      </c>
      <c r="AO1" s="43" t="s">
        <v>46</v>
      </c>
      <c r="AP1" s="43" t="s">
        <v>46</v>
      </c>
      <c r="AQ1" s="43" t="s">
        <v>46</v>
      </c>
      <c r="AR1" s="43" t="s">
        <v>46</v>
      </c>
      <c r="AS1" s="43" t="s">
        <v>46</v>
      </c>
      <c r="AT1" s="43" t="s">
        <v>46</v>
      </c>
      <c r="AU1" s="43" t="s">
        <v>46</v>
      </c>
      <c r="AV1" s="43" t="s">
        <v>46</v>
      </c>
      <c r="AW1" s="43" t="s">
        <v>46</v>
      </c>
      <c r="AX1" s="43" t="s">
        <v>46</v>
      </c>
      <c r="AY1" s="43" t="s">
        <v>46</v>
      </c>
      <c r="AZ1" s="43" t="s">
        <v>46</v>
      </c>
      <c r="BA1" s="43" t="s">
        <v>46</v>
      </c>
    </row>
    <row r="2" spans="1:53" ht="27.95" customHeight="1">
      <c r="A2" s="44" t="s">
        <v>47</v>
      </c>
      <c r="B2" s="44" t="s">
        <v>47</v>
      </c>
      <c r="C2" s="44" t="s">
        <v>47</v>
      </c>
      <c r="D2" s="44" t="s">
        <v>47</v>
      </c>
      <c r="E2" s="44" t="s">
        <v>47</v>
      </c>
      <c r="F2" s="44" t="s">
        <v>47</v>
      </c>
      <c r="G2" s="44" t="s">
        <v>47</v>
      </c>
      <c r="H2" s="44" t="s">
        <v>47</v>
      </c>
      <c r="I2" s="44" t="s">
        <v>47</v>
      </c>
      <c r="J2" s="44" t="s">
        <v>47</v>
      </c>
      <c r="K2" s="44" t="s">
        <v>47</v>
      </c>
      <c r="L2" s="44" t="s">
        <v>47</v>
      </c>
      <c r="M2" s="44" t="s">
        <v>47</v>
      </c>
      <c r="N2" s="44" t="s">
        <v>47</v>
      </c>
      <c r="O2" s="44" t="s">
        <v>47</v>
      </c>
      <c r="P2" s="44" t="s">
        <v>47</v>
      </c>
      <c r="Q2" s="44" t="s">
        <v>47</v>
      </c>
      <c r="R2" s="44" t="s">
        <v>47</v>
      </c>
      <c r="S2" s="44" t="s">
        <v>47</v>
      </c>
      <c r="T2" s="44"/>
      <c r="U2" s="44" t="s">
        <v>47</v>
      </c>
      <c r="V2" s="44" t="s">
        <v>47</v>
      </c>
      <c r="W2" s="44" t="s">
        <v>47</v>
      </c>
      <c r="X2" s="44" t="s">
        <v>47</v>
      </c>
      <c r="Y2" s="44" t="s">
        <v>47</v>
      </c>
      <c r="Z2" s="44" t="s">
        <v>47</v>
      </c>
      <c r="AA2" s="44" t="s">
        <v>47</v>
      </c>
      <c r="AB2" s="44" t="s">
        <v>47</v>
      </c>
      <c r="AC2" s="44" t="s">
        <v>47</v>
      </c>
      <c r="AD2" s="44" t="s">
        <v>47</v>
      </c>
      <c r="AE2" s="44" t="s">
        <v>47</v>
      </c>
      <c r="AF2" s="44" t="s">
        <v>47</v>
      </c>
      <c r="AG2" s="44" t="s">
        <v>47</v>
      </c>
      <c r="AH2" s="44" t="s">
        <v>47</v>
      </c>
      <c r="AI2" s="44" t="s">
        <v>47</v>
      </c>
      <c r="AJ2" s="44" t="s">
        <v>47</v>
      </c>
      <c r="AK2" s="44" t="s">
        <v>47</v>
      </c>
      <c r="AL2" s="44" t="s">
        <v>47</v>
      </c>
      <c r="AM2" s="44" t="s">
        <v>47</v>
      </c>
      <c r="AN2" s="44" t="s">
        <v>47</v>
      </c>
      <c r="AO2" s="44" t="s">
        <v>47</v>
      </c>
      <c r="AP2" s="44" t="s">
        <v>47</v>
      </c>
      <c r="AQ2" s="44" t="s">
        <v>47</v>
      </c>
      <c r="AR2" s="44" t="s">
        <v>47</v>
      </c>
      <c r="AS2" s="44" t="s">
        <v>47</v>
      </c>
      <c r="AT2" s="44" t="s">
        <v>47</v>
      </c>
      <c r="AU2" s="44" t="s">
        <v>47</v>
      </c>
      <c r="AV2" s="44" t="s">
        <v>47</v>
      </c>
      <c r="AW2" s="44" t="s">
        <v>47</v>
      </c>
      <c r="AX2" s="44" t="s">
        <v>47</v>
      </c>
      <c r="AY2" s="44" t="s">
        <v>47</v>
      </c>
      <c r="AZ2" s="44" t="s">
        <v>47</v>
      </c>
      <c r="BA2" s="44" t="s">
        <v>47</v>
      </c>
    </row>
    <row r="3" spans="1:53">
      <c r="A3" s="5" t="s">
        <v>48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53</v>
      </c>
      <c r="G3" s="5" t="s">
        <v>54</v>
      </c>
      <c r="H3" s="5" t="s">
        <v>55</v>
      </c>
      <c r="I3" s="5" t="s">
        <v>56</v>
      </c>
      <c r="J3" s="5" t="s">
        <v>57</v>
      </c>
      <c r="K3" s="5" t="s">
        <v>58</v>
      </c>
      <c r="L3" s="5" t="s">
        <v>59</v>
      </c>
      <c r="M3" s="5" t="s">
        <v>60</v>
      </c>
      <c r="N3" s="5" t="s">
        <v>61</v>
      </c>
      <c r="O3" s="5" t="s">
        <v>62</v>
      </c>
      <c r="P3" s="5" t="s">
        <v>63</v>
      </c>
      <c r="Q3" s="5" t="s">
        <v>64</v>
      </c>
      <c r="R3" s="5" t="s">
        <v>65</v>
      </c>
      <c r="S3" s="5" t="s">
        <v>66</v>
      </c>
      <c r="T3" s="5"/>
      <c r="U3" s="5"/>
      <c r="V3" s="5" t="s">
        <v>69</v>
      </c>
      <c r="W3" s="5" t="s">
        <v>71</v>
      </c>
      <c r="X3" s="5" t="s">
        <v>72</v>
      </c>
      <c r="Y3" s="5" t="s">
        <v>73</v>
      </c>
      <c r="Z3" s="5" t="s">
        <v>74</v>
      </c>
      <c r="AA3" s="5" t="s">
        <v>75</v>
      </c>
      <c r="AB3" s="5" t="s">
        <v>76</v>
      </c>
      <c r="AC3" s="5" t="s">
        <v>77</v>
      </c>
      <c r="AD3" s="5" t="s">
        <v>78</v>
      </c>
      <c r="AE3" s="5" t="s">
        <v>79</v>
      </c>
      <c r="AF3" s="5" t="s">
        <v>80</v>
      </c>
      <c r="AG3" s="5" t="s">
        <v>81</v>
      </c>
      <c r="AH3" s="5" t="s">
        <v>82</v>
      </c>
      <c r="AI3" s="5" t="s">
        <v>83</v>
      </c>
      <c r="AJ3" s="5" t="s">
        <v>84</v>
      </c>
      <c r="AK3" s="5" t="s">
        <v>85</v>
      </c>
      <c r="AL3" s="5" t="s">
        <v>86</v>
      </c>
      <c r="AM3" s="5" t="s">
        <v>87</v>
      </c>
      <c r="AN3" s="5" t="s">
        <v>88</v>
      </c>
      <c r="AO3" s="5" t="s">
        <v>89</v>
      </c>
      <c r="AP3" s="5" t="s">
        <v>90</v>
      </c>
      <c r="AQ3" s="5" t="s">
        <v>91</v>
      </c>
      <c r="AR3" s="5" t="s">
        <v>92</v>
      </c>
      <c r="AS3" s="5" t="s">
        <v>93</v>
      </c>
      <c r="AT3" s="5" t="s">
        <v>94</v>
      </c>
      <c r="AU3" s="5" t="s">
        <v>95</v>
      </c>
      <c r="AV3" s="5" t="s">
        <v>96</v>
      </c>
      <c r="AW3" s="5" t="s">
        <v>97</v>
      </c>
      <c r="AX3" s="5" t="s">
        <v>98</v>
      </c>
      <c r="AY3" s="5" t="s">
        <v>99</v>
      </c>
      <c r="AZ3" s="5" t="s">
        <v>100</v>
      </c>
      <c r="BA3" s="5" t="s">
        <v>101</v>
      </c>
    </row>
    <row r="4" spans="1:53">
      <c r="A4" s="46" t="s">
        <v>102</v>
      </c>
      <c r="B4" s="47" t="s">
        <v>102</v>
      </c>
      <c r="C4" s="47" t="s">
        <v>102</v>
      </c>
      <c r="D4" s="48" t="s">
        <v>102</v>
      </c>
      <c r="E4" s="49" t="s">
        <v>103</v>
      </c>
      <c r="F4" s="50" t="s">
        <v>103</v>
      </c>
      <c r="G4" s="51" t="s">
        <v>104</v>
      </c>
      <c r="H4" s="52" t="s">
        <v>104</v>
      </c>
      <c r="I4" s="52" t="s">
        <v>104</v>
      </c>
      <c r="J4" s="52" t="s">
        <v>104</v>
      </c>
      <c r="K4" s="53" t="s">
        <v>104</v>
      </c>
      <c r="L4" s="54" t="s">
        <v>105</v>
      </c>
      <c r="M4" s="55" t="s">
        <v>105</v>
      </c>
      <c r="N4" s="55" t="s">
        <v>105</v>
      </c>
      <c r="O4" s="55" t="s">
        <v>105</v>
      </c>
      <c r="P4" s="55" t="s">
        <v>105</v>
      </c>
      <c r="Q4" s="55" t="s">
        <v>105</v>
      </c>
      <c r="R4" s="55" t="s">
        <v>105</v>
      </c>
      <c r="S4" s="55" t="s">
        <v>105</v>
      </c>
      <c r="T4" s="55"/>
      <c r="U4" s="55" t="s">
        <v>105</v>
      </c>
      <c r="V4" s="54" t="s">
        <v>106</v>
      </c>
      <c r="W4" s="55" t="s">
        <v>106</v>
      </c>
      <c r="X4" s="56" t="s">
        <v>106</v>
      </c>
      <c r="Y4" s="6" t="s">
        <v>103</v>
      </c>
      <c r="Z4" s="57" t="s">
        <v>107</v>
      </c>
      <c r="AA4" s="58" t="s">
        <v>107</v>
      </c>
      <c r="AB4" s="59" t="s">
        <v>107</v>
      </c>
      <c r="AC4" s="60" t="s">
        <v>108</v>
      </c>
      <c r="AD4" s="61" t="s">
        <v>108</v>
      </c>
      <c r="AE4" s="61" t="s">
        <v>108</v>
      </c>
      <c r="AF4" s="61" t="s">
        <v>108</v>
      </c>
      <c r="AG4" s="61" t="s">
        <v>108</v>
      </c>
      <c r="AH4" s="61" t="s">
        <v>108</v>
      </c>
      <c r="AI4" s="61" t="s">
        <v>108</v>
      </c>
      <c r="AJ4" s="62" t="s">
        <v>108</v>
      </c>
      <c r="AK4" s="63" t="s">
        <v>109</v>
      </c>
      <c r="AL4" s="64" t="s">
        <v>109</v>
      </c>
      <c r="AM4" s="65" t="s">
        <v>109</v>
      </c>
      <c r="AN4" s="66" t="s">
        <v>110</v>
      </c>
      <c r="AO4" s="67" t="s">
        <v>110</v>
      </c>
      <c r="AP4" s="67" t="s">
        <v>110</v>
      </c>
      <c r="AQ4" s="67" t="s">
        <v>110</v>
      </c>
      <c r="AR4" s="68" t="s">
        <v>110</v>
      </c>
      <c r="AS4" s="69" t="s">
        <v>111</v>
      </c>
      <c r="AT4" s="70" t="s">
        <v>111</v>
      </c>
      <c r="AU4" s="71" t="s">
        <v>111</v>
      </c>
      <c r="AV4" s="72" t="s">
        <v>112</v>
      </c>
      <c r="AW4" s="73" t="s">
        <v>112</v>
      </c>
      <c r="AX4" s="73" t="s">
        <v>112</v>
      </c>
      <c r="AY4" s="74" t="s">
        <v>112</v>
      </c>
      <c r="AZ4" s="69" t="s">
        <v>111</v>
      </c>
      <c r="BA4" s="71" t="s">
        <v>111</v>
      </c>
    </row>
    <row r="5" spans="1:53" ht="42" customHeight="1">
      <c r="A5" s="7" t="s">
        <v>113</v>
      </c>
      <c r="B5" s="8" t="s">
        <v>114</v>
      </c>
      <c r="C5" s="9" t="s">
        <v>115</v>
      </c>
      <c r="D5" s="9" t="s">
        <v>116</v>
      </c>
      <c r="E5" s="8" t="s">
        <v>117</v>
      </c>
      <c r="F5" s="9" t="s">
        <v>118</v>
      </c>
      <c r="G5" s="8" t="s">
        <v>119</v>
      </c>
      <c r="H5" s="9" t="s">
        <v>120</v>
      </c>
      <c r="I5" s="8" t="s">
        <v>121</v>
      </c>
      <c r="J5" s="9" t="s">
        <v>122</v>
      </c>
      <c r="K5" s="9" t="s">
        <v>123</v>
      </c>
      <c r="L5" s="9" t="s">
        <v>124</v>
      </c>
      <c r="M5" s="9" t="s">
        <v>125</v>
      </c>
      <c r="N5" s="9" t="s">
        <v>126</v>
      </c>
      <c r="O5" s="9" t="s">
        <v>127</v>
      </c>
      <c r="P5" s="9" t="s">
        <v>128</v>
      </c>
      <c r="Q5" s="9" t="s">
        <v>129</v>
      </c>
      <c r="R5" s="9" t="s">
        <v>130</v>
      </c>
      <c r="S5" s="9" t="s">
        <v>131</v>
      </c>
      <c r="T5" s="9" t="s">
        <v>646</v>
      </c>
      <c r="U5" s="8" t="s">
        <v>647</v>
      </c>
      <c r="V5" s="9" t="s">
        <v>134</v>
      </c>
      <c r="W5" s="9" t="s">
        <v>136</v>
      </c>
      <c r="X5" s="9" t="s">
        <v>137</v>
      </c>
      <c r="Y5" s="9" t="s">
        <v>138</v>
      </c>
      <c r="Z5" s="9" t="s">
        <v>139</v>
      </c>
      <c r="AA5" s="9" t="s">
        <v>140</v>
      </c>
      <c r="AB5" s="9" t="s">
        <v>141</v>
      </c>
      <c r="AC5" s="9" t="s">
        <v>142</v>
      </c>
      <c r="AD5" s="9" t="s">
        <v>143</v>
      </c>
      <c r="AE5" s="9" t="s">
        <v>144</v>
      </c>
      <c r="AF5" s="9" t="s">
        <v>145</v>
      </c>
      <c r="AG5" s="9" t="s">
        <v>146</v>
      </c>
      <c r="AH5" s="9" t="s">
        <v>147</v>
      </c>
      <c r="AI5" s="9" t="s">
        <v>148</v>
      </c>
      <c r="AJ5" s="9" t="s">
        <v>149</v>
      </c>
      <c r="AK5" s="9" t="s">
        <v>150</v>
      </c>
      <c r="AL5" s="9" t="s">
        <v>151</v>
      </c>
      <c r="AM5" s="9" t="s">
        <v>152</v>
      </c>
      <c r="AN5" s="9" t="s">
        <v>153</v>
      </c>
      <c r="AO5" s="9" t="s">
        <v>154</v>
      </c>
      <c r="AP5" s="9" t="s">
        <v>155</v>
      </c>
      <c r="AQ5" s="9" t="s">
        <v>156</v>
      </c>
      <c r="AR5" s="9" t="s">
        <v>157</v>
      </c>
      <c r="AS5" s="9" t="s">
        <v>158</v>
      </c>
      <c r="AT5" s="9" t="s">
        <v>159</v>
      </c>
      <c r="AU5" s="9" t="s">
        <v>160</v>
      </c>
      <c r="AV5" s="8" t="s">
        <v>161</v>
      </c>
      <c r="AW5" s="9" t="s">
        <v>162</v>
      </c>
      <c r="AX5" s="9" t="s">
        <v>163</v>
      </c>
      <c r="AY5" s="9" t="s">
        <v>164</v>
      </c>
      <c r="AZ5" s="9" t="s">
        <v>165</v>
      </c>
      <c r="BA5" s="10" t="s">
        <v>166</v>
      </c>
    </row>
    <row r="6" spans="1:53">
      <c r="A6" s="11" t="s">
        <v>167</v>
      </c>
      <c r="B6" s="12" t="s">
        <v>168</v>
      </c>
      <c r="C6" s="13" t="s">
        <v>169</v>
      </c>
      <c r="D6" s="12" t="s">
        <v>170</v>
      </c>
      <c r="E6" s="12">
        <v>1</v>
      </c>
      <c r="F6" s="12" t="s">
        <v>171</v>
      </c>
      <c r="G6" s="12" t="s">
        <v>172</v>
      </c>
      <c r="H6" s="12" t="s">
        <v>173</v>
      </c>
      <c r="I6" s="12" t="s">
        <v>174</v>
      </c>
      <c r="J6" s="12" t="s">
        <v>175</v>
      </c>
      <c r="K6" s="12" t="str">
        <f t="shared" ref="K6:K69" si="0">IF(TRIM(G6&amp;" "&amp;H6&amp;" "&amp;I6&amp;IF(J6&lt;&gt;""," ("&amp;J6&amp;")",""))="","",TRIM(G6&amp;" "&amp;H6&amp;" "&amp;I6&amp;IF(J6&lt;&gt;""," ("&amp;J6&amp;")","")))</f>
        <v>أحمد خالد زيتون (أبو أيوب)</v>
      </c>
      <c r="L6" s="12">
        <v>10</v>
      </c>
      <c r="M6" s="12" t="s">
        <v>171</v>
      </c>
      <c r="N6" s="12">
        <v>24</v>
      </c>
      <c r="O6" s="12" t="s">
        <v>171</v>
      </c>
      <c r="P6" s="12">
        <v>88</v>
      </c>
      <c r="Q6" s="12" t="s">
        <v>176</v>
      </c>
      <c r="R6" s="12">
        <v>125</v>
      </c>
      <c r="S6" s="12" t="s">
        <v>177</v>
      </c>
      <c r="T6" s="12"/>
      <c r="U6" s="12"/>
      <c r="V6" s="12" t="s">
        <v>178</v>
      </c>
      <c r="W6" s="14">
        <v>33.510199999999998</v>
      </c>
      <c r="X6" s="14">
        <v>36.278399999999998</v>
      </c>
      <c r="Y6" s="13" t="s">
        <v>180</v>
      </c>
      <c r="Z6" s="12" t="s">
        <v>181</v>
      </c>
      <c r="AA6" s="12"/>
      <c r="AB6" s="12"/>
      <c r="AC6" s="12" t="s">
        <v>182</v>
      </c>
      <c r="AD6" s="15">
        <v>31179</v>
      </c>
      <c r="AE6" s="12" t="s">
        <v>183</v>
      </c>
      <c r="AF6" s="13" t="s">
        <v>184</v>
      </c>
      <c r="AG6" s="12"/>
      <c r="AH6" s="12"/>
      <c r="AI6" s="15"/>
      <c r="AJ6" s="12"/>
      <c r="AK6" s="12" t="s">
        <v>185</v>
      </c>
      <c r="AL6" s="12"/>
      <c r="AM6" s="12" t="s">
        <v>186</v>
      </c>
      <c r="AN6" s="12" t="s">
        <v>187</v>
      </c>
      <c r="AO6" s="12" t="s">
        <v>188</v>
      </c>
      <c r="AP6" s="12" t="s">
        <v>181</v>
      </c>
      <c r="AQ6" s="15"/>
      <c r="AR6" s="12"/>
      <c r="AS6" s="12" t="s">
        <v>189</v>
      </c>
      <c r="AT6" s="12" t="s">
        <v>190</v>
      </c>
      <c r="AU6" s="12" t="s">
        <v>191</v>
      </c>
      <c r="AV6" s="12" t="s">
        <v>192</v>
      </c>
      <c r="AW6" s="12"/>
      <c r="AX6" s="13"/>
      <c r="AY6" s="12" t="s">
        <v>193</v>
      </c>
      <c r="AZ6" s="12" t="str">
        <f>IF(AND(A6="",B6="",E6="",G6="",I6="",AV6="",AX6=""),"",IF(OR(B6="skip",AV6="skip"),"SKIP",IF(OR(B6="to_candidate",AV6="proposed_name"),IF(OR(A6="",AW6="",AX6="",COUNTIF($A$6:$A$505,A6)&gt;1),"REVIEW","TO_PROPOSED"),IF(OR(B6="",A6="",E6="",G6="",I6="",U6="",AV6="",COUNTIF($A$6:$A$505,A6)&gt;1,(COUNTIFS('أرقام التواصل'!$A$6:$A$505,"client",'أرقام التواصل'!$B$6:$B$505,A6,'أرقام التواصل'!$I$6:$I$505,"TRUE")+COUNTIFS('أرقام التواصل'!$A$6:$A$505,"client",'أرقام التواصل'!$B$6:$B$505,A6,'أرقام التواصل'!$C$6:$C$505,1))=0),"REVIEW","READY"))))</f>
        <v>REVIEW</v>
      </c>
      <c r="BA6" s="16" t="str">
        <f>IF(AZ6="","",IF(OR(AZ6="READY",AZ6="TO_PROPOSED"),"",IF(AZ6="SKIP","Skipped by decision",TRIM(IF(B6="","missing import_action; ","")&amp;IF(A6="","missing migration_customer_key; ","")&amp;IF(AND(A6&lt;&gt;"",COUNTIF($A$6:$A$505,A6)&gt;1),"duplicate migration_customer_key; ","")&amp;IF(AND(NOT(OR(B6="to_candidate",AV6="proposed_name")),E6=""),"missing branch_id; ","")&amp;IF(AND(NOT(OR(B6="to_candidate",AV6="proposed_name")),G6=""),"missing first_name; ","")&amp;IF(AND(NOT(OR(B6="to_candidate",AV6="proposed_name")),I6=""),"missing last_name; ","")&amp;IF(AND(NOT(OR(B6="to_candidate",AV6="proposed_name")),U6=""),"missing final_geo_unit_id; ","")&amp;IF(AV6="","missing final_destination; ","")&amp;IF(AND(NOT(OR(B6="to_candidate",AV6="proposed_name")),(COUNTIFS('أرقام التواصل'!$A$6:$A$505,"client",'أرقام التواصل'!$B$6:$B$505,A6,'أرقام التواصل'!$I$6:$I$505,"TRUE")+COUNTIFS('أرقام التواصل'!$A$6:$A$505,"client",'أرقام التواصل'!$B$6:$B$505,A6,'أرقام التواصل'!$C$6:$C$505,1))=0),"missing primary contact in أرقام التواصل; ","")&amp;IF(OR(B6="to_candidate",AV6="proposed_name"),IF(AW6="","missing proposed_move_reason; ","")&amp;IF(AX6="","missing proposed_name_key; ",""),"")))))</f>
        <v>missing final_geo_unit_id;</v>
      </c>
    </row>
    <row r="7" spans="1:53">
      <c r="A7" s="11" t="s">
        <v>194</v>
      </c>
      <c r="B7" s="12" t="s">
        <v>195</v>
      </c>
      <c r="C7" s="13" t="s">
        <v>196</v>
      </c>
      <c r="D7" s="12" t="s">
        <v>197</v>
      </c>
      <c r="E7" s="12">
        <v>2</v>
      </c>
      <c r="F7" s="12" t="s">
        <v>198</v>
      </c>
      <c r="G7" s="12" t="s">
        <v>199</v>
      </c>
      <c r="H7" s="12"/>
      <c r="I7" s="12" t="s">
        <v>200</v>
      </c>
      <c r="J7" s="12"/>
      <c r="K7" s="12" t="str">
        <f t="shared" si="0"/>
        <v>سارة حسن</v>
      </c>
      <c r="L7" s="12">
        <v>11</v>
      </c>
      <c r="M7" s="12" t="s">
        <v>198</v>
      </c>
      <c r="N7" s="12">
        <v>31</v>
      </c>
      <c r="O7" s="12" t="s">
        <v>198</v>
      </c>
      <c r="P7" s="12"/>
      <c r="Q7" s="12"/>
      <c r="R7" s="12"/>
      <c r="S7" s="12"/>
      <c r="T7" s="12"/>
      <c r="U7" s="12"/>
      <c r="V7" s="12" t="s">
        <v>201</v>
      </c>
      <c r="W7" s="14"/>
      <c r="X7" s="14"/>
      <c r="Y7" s="13"/>
      <c r="Z7" s="12" t="s">
        <v>181</v>
      </c>
      <c r="AA7" s="12"/>
      <c r="AB7" s="12"/>
      <c r="AC7" s="12" t="s">
        <v>203</v>
      </c>
      <c r="AD7" s="15"/>
      <c r="AE7" s="12"/>
      <c r="AF7" s="13"/>
      <c r="AG7" s="12"/>
      <c r="AH7" s="12"/>
      <c r="AI7" s="15"/>
      <c r="AJ7" s="12"/>
      <c r="AK7" s="12"/>
      <c r="AL7" s="12"/>
      <c r="AM7" s="12"/>
      <c r="AN7" s="12" t="s">
        <v>204</v>
      </c>
      <c r="AO7" s="12" t="s">
        <v>188</v>
      </c>
      <c r="AP7" s="12" t="s">
        <v>181</v>
      </c>
      <c r="AQ7" s="15"/>
      <c r="AR7" s="12"/>
      <c r="AS7" s="12" t="s">
        <v>205</v>
      </c>
      <c r="AT7" s="12" t="s">
        <v>206</v>
      </c>
      <c r="AU7" s="12" t="s">
        <v>207</v>
      </c>
      <c r="AV7" s="12" t="s">
        <v>208</v>
      </c>
      <c r="AW7" s="12" t="s">
        <v>209</v>
      </c>
      <c r="AX7" s="13" t="s">
        <v>210</v>
      </c>
      <c r="AY7" s="12" t="s">
        <v>211</v>
      </c>
      <c r="AZ7" s="12" t="str">
        <f>IF(AND(A7="",B7="",E7="",G7="",I7="",AV7="",AX7=""),"",IF(OR(B7="skip",AV7="skip"),"SKIP",IF(OR(B7="to_candidate",AV7="proposed_name"),IF(OR(A7="",AW7="",AX7="",COUNTIF($A$6:$A$505,A7)&gt;1),"REVIEW","TO_PROPOSED"),IF(OR(B7="",A7="",E7="",G7="",I7="",U7="",AV7="",COUNTIF($A$6:$A$505,A7)&gt;1,(COUNTIFS('أرقام التواصل'!$A$6:$A$505,"client",'أرقام التواصل'!$B$6:$B$505,A7,'أرقام التواصل'!$I$6:$I$505,"TRUE")+COUNTIFS('أرقام التواصل'!$A$6:$A$505,"client",'أرقام التواصل'!$B$6:$B$505,A7,'أرقام التواصل'!$C$6:$C$505,1))=0),"REVIEW","READY"))))</f>
        <v>TO_PROPOSED</v>
      </c>
      <c r="BA7" s="16" t="str">
        <f>IF(AZ7="","",IF(OR(AZ7="READY",AZ7="TO_PROPOSED"),"",IF(AZ7="SKIP","Skipped by decision",TRIM(IF(B7="","missing import_action; ","")&amp;IF(A7="","missing migration_customer_key; ","")&amp;IF(AND(A7&lt;&gt;"",COUNTIF($A$6:$A$505,A7)&gt;1),"duplicate migration_customer_key; ","")&amp;IF(AND(NOT(OR(B7="to_candidate",AV7="proposed_name")),E7=""),"missing branch_id; ","")&amp;IF(AND(NOT(OR(B7="to_candidate",AV7="proposed_name")),G7=""),"missing first_name; ","")&amp;IF(AND(NOT(OR(B7="to_candidate",AV7="proposed_name")),I7=""),"missing last_name; ","")&amp;IF(AND(NOT(OR(B7="to_candidate",AV7="proposed_name")),U7=""),"missing final_geo_unit_id; ","")&amp;IF(AV7="","missing final_destination; ","")&amp;IF(AND(NOT(OR(B7="to_candidate",AV7="proposed_name")),(COUNTIFS('أرقام التواصل'!$A$6:$A$505,"client",'أرقام التواصل'!$B$6:$B$505,A7,'أرقام التواصل'!$I$6:$I$505,"TRUE")+COUNTIFS('أرقام التواصل'!$A$6:$A$505,"client",'أرقام التواصل'!$B$6:$B$505,A7,'أرقام التواصل'!$C$6:$C$505,1))=0),"missing primary contact in أرقام التواصل; ","")&amp;IF(OR(B7="to_candidate",AV7="proposed_name"),IF(AW7="","missing proposed_move_reason; ","")&amp;IF(AX7="","missing proposed_name_key; ",""),"")))))</f>
        <v/>
      </c>
    </row>
    <row r="8" spans="1:53">
      <c r="A8" s="11"/>
      <c r="B8" s="12"/>
      <c r="C8" s="13"/>
      <c r="D8" s="12"/>
      <c r="E8" s="12"/>
      <c r="F8" s="12"/>
      <c r="G8" s="12"/>
      <c r="H8" s="12"/>
      <c r="I8" s="12"/>
      <c r="J8" s="12"/>
      <c r="K8" s="12" t="str">
        <f t="shared" si="0"/>
        <v/>
      </c>
      <c r="L8" s="12"/>
      <c r="M8" s="12"/>
      <c r="N8" s="12"/>
      <c r="O8" s="12"/>
      <c r="P8" s="12"/>
      <c r="Q8" s="12"/>
      <c r="R8" s="12"/>
      <c r="S8" s="12"/>
      <c r="T8" s="12"/>
      <c r="U8" s="12" t="str">
        <f>IF(AND(L8="",N8="",P8="",R8=""),"",IF(R8&lt;&gt;"",R8,IF(P8&lt;&gt;"",P8,IF(N8&lt;&gt;"",N8,L8))))</f>
        <v/>
      </c>
      <c r="V8" s="12"/>
      <c r="W8" s="14"/>
      <c r="X8" s="14"/>
      <c r="Y8" s="13"/>
      <c r="Z8" s="12"/>
      <c r="AA8" s="12"/>
      <c r="AB8" s="12"/>
      <c r="AC8" s="12"/>
      <c r="AD8" s="15"/>
      <c r="AE8" s="12"/>
      <c r="AF8" s="13"/>
      <c r="AG8" s="12"/>
      <c r="AH8" s="12"/>
      <c r="AI8" s="15"/>
      <c r="AJ8" s="12"/>
      <c r="AK8" s="12"/>
      <c r="AL8" s="12"/>
      <c r="AM8" s="12"/>
      <c r="AN8" s="12"/>
      <c r="AO8" s="12"/>
      <c r="AP8" s="12"/>
      <c r="AQ8" s="15"/>
      <c r="AR8" s="12"/>
      <c r="AS8" s="12"/>
      <c r="AT8" s="12"/>
      <c r="AU8" s="12"/>
      <c r="AV8" s="12"/>
      <c r="AW8" s="12"/>
      <c r="AX8" s="13"/>
      <c r="AY8" s="12"/>
      <c r="AZ8" s="12" t="str">
        <f>IF(AND(A8="",B8="",E8="",G8="",I8="",AV8="",AX8=""),"",IF(OR(B8="skip",AV8="skip"),"SKIP",IF(OR(B8="to_candidate",AV8="proposed_name"),IF(OR(A8="",AW8="",AX8="",COUNTIF($A$6:$A$505,A8)&gt;1),"REVIEW","TO_PROPOSED"),IF(OR(B8="",A8="",E8="",G8="",I8="",U8="",AV8="",COUNTIF($A$6:$A$505,A8)&gt;1,(COUNTIFS('أرقام التواصل'!$A$6:$A$505,"client",'أرقام التواصل'!$B$6:$B$505,A8,'أرقام التواصل'!$I$6:$I$505,"TRUE")+COUNTIFS('أرقام التواصل'!$A$6:$A$505,"client",'أرقام التواصل'!$B$6:$B$505,A8,'أرقام التواصل'!$C$6:$C$505,1))=0),"REVIEW","READY"))))</f>
        <v/>
      </c>
      <c r="BA8" s="16" t="str">
        <f>IF(AZ8="","",IF(OR(AZ8="READY",AZ8="TO_PROPOSED"),"",IF(AZ8="SKIP","Skipped by decision",TRIM(IF(B8="","missing import_action; ","")&amp;IF(A8="","missing migration_customer_key; ","")&amp;IF(AND(A8&lt;&gt;"",COUNTIF($A$6:$A$505,A8)&gt;1),"duplicate migration_customer_key; ","")&amp;IF(AND(NOT(OR(B8="to_candidate",AV8="proposed_name")),E8=""),"missing branch_id; ","")&amp;IF(AND(NOT(OR(B8="to_candidate",AV8="proposed_name")),G8=""),"missing first_name; ","")&amp;IF(AND(NOT(OR(B8="to_candidate",AV8="proposed_name")),I8=""),"missing last_name; ","")&amp;IF(AND(NOT(OR(B8="to_candidate",AV8="proposed_name")),U8=""),"missing final_geo_unit_id; ","")&amp;IF(AV8="","missing final_destination; ","")&amp;IF(AND(NOT(OR(B8="to_candidate",AV8="proposed_name")),(COUNTIFS('أرقام التواصل'!$A$6:$A$505,"client",'أرقام التواصل'!$B$6:$B$505,A8,'أرقام التواصل'!$I$6:$I$505,"TRUE")+COUNTIFS('أرقام التواصل'!$A$6:$A$505,"client",'أرقام التواصل'!$B$6:$B$505,A8,'أرقام التواصل'!$C$6:$C$505,1))=0),"missing primary contact in أرقام التواصل; ","")&amp;IF(OR(B8="to_candidate",AV8="proposed_name"),IF(AW8="","missing proposed_move_reason; ","")&amp;IF(AX8="","missing proposed_name_key; ",""),"")))))</f>
        <v/>
      </c>
    </row>
    <row r="9" spans="1:53">
      <c r="A9" s="11"/>
      <c r="B9" s="12"/>
      <c r="C9" s="13"/>
      <c r="D9" s="12"/>
      <c r="E9" s="12"/>
      <c r="F9" s="12"/>
      <c r="G9" s="12"/>
      <c r="H9" s="12"/>
      <c r="I9" s="12"/>
      <c r="J9" s="12"/>
      <c r="K9" s="12" t="str">
        <f t="shared" si="0"/>
        <v/>
      </c>
      <c r="L9" s="12"/>
      <c r="M9" s="12"/>
      <c r="N9" s="12"/>
      <c r="O9" s="12"/>
      <c r="P9" s="12"/>
      <c r="Q9" s="12"/>
      <c r="R9" s="12"/>
      <c r="S9" s="12"/>
      <c r="T9" s="12"/>
      <c r="U9" s="12" t="str">
        <f>IF(AND(L9="",N9="",P9="",R9=""),"",IF(R9&lt;&gt;"",R9,IF(P9&lt;&gt;"",P9,IF(N9&lt;&gt;"",N9,L9))))</f>
        <v/>
      </c>
      <c r="V9" s="12"/>
      <c r="W9" s="14"/>
      <c r="X9" s="14"/>
      <c r="Y9" s="13"/>
      <c r="Z9" s="12"/>
      <c r="AA9" s="12"/>
      <c r="AB9" s="12"/>
      <c r="AC9" s="12"/>
      <c r="AD9" s="15"/>
      <c r="AE9" s="12"/>
      <c r="AF9" s="13"/>
      <c r="AG9" s="12"/>
      <c r="AH9" s="12"/>
      <c r="AI9" s="15"/>
      <c r="AJ9" s="12"/>
      <c r="AK9" s="12"/>
      <c r="AL9" s="12"/>
      <c r="AM9" s="12"/>
      <c r="AN9" s="12"/>
      <c r="AO9" s="12"/>
      <c r="AP9" s="12"/>
      <c r="AQ9" s="15"/>
      <c r="AR9" s="12"/>
      <c r="AS9" s="12"/>
      <c r="AT9" s="12"/>
      <c r="AU9" s="12"/>
      <c r="AV9" s="12"/>
      <c r="AW9" s="12"/>
      <c r="AX9" s="13"/>
      <c r="AY9" s="12"/>
      <c r="AZ9" s="12" t="str">
        <f>IF(AND(A9="",B9="",E9="",G9="",I9="",AV9="",AX9=""),"",IF(OR(B9="skip",AV9="skip"),"SKIP",IF(OR(B9="to_candidate",AV9="proposed_name"),IF(OR(A9="",AW9="",AX9="",COUNTIF($A$6:$A$505,A9)&gt;1),"REVIEW","TO_PROPOSED"),IF(OR(B9="",A9="",E9="",G9="",I9="",U9="",AV9="",COUNTIF($A$6:$A$505,A9)&gt;1,(COUNTIFS('أرقام التواصل'!$A$6:$A$505,"client",'أرقام التواصل'!$B$6:$B$505,A9,'أرقام التواصل'!$I$6:$I$505,"TRUE")+COUNTIFS('أرقام التواصل'!$A$6:$A$505,"client",'أرقام التواصل'!$B$6:$B$505,A9,'أرقام التواصل'!$C$6:$C$505,1))=0),"REVIEW","READY"))))</f>
        <v/>
      </c>
      <c r="BA9" s="16" t="str">
        <f>IF(AZ9="","",IF(OR(AZ9="READY",AZ9="TO_PROPOSED"),"",IF(AZ9="SKIP","Skipped by decision",TRIM(IF(B9="","missing import_action; ","")&amp;IF(A9="","missing migration_customer_key; ","")&amp;IF(AND(A9&lt;&gt;"",COUNTIF($A$6:$A$505,A9)&gt;1),"duplicate migration_customer_key; ","")&amp;IF(AND(NOT(OR(B9="to_candidate",AV9="proposed_name")),E9=""),"missing branch_id; ","")&amp;IF(AND(NOT(OR(B9="to_candidate",AV9="proposed_name")),G9=""),"missing first_name; ","")&amp;IF(AND(NOT(OR(B9="to_candidate",AV9="proposed_name")),I9=""),"missing last_name; ","")&amp;IF(AND(NOT(OR(B9="to_candidate",AV9="proposed_name")),U9=""),"missing final_geo_unit_id; ","")&amp;IF(AV9="","missing final_destination; ","")&amp;IF(AND(NOT(OR(B9="to_candidate",AV9="proposed_name")),(COUNTIFS('أرقام التواصل'!$A$6:$A$505,"client",'أرقام التواصل'!$B$6:$B$505,A9,'أرقام التواصل'!$I$6:$I$505,"TRUE")+COUNTIFS('أرقام التواصل'!$A$6:$A$505,"client",'أرقام التواصل'!$B$6:$B$505,A9,'أرقام التواصل'!$C$6:$C$505,1))=0),"missing primary contact in أرقام التواصل; ","")&amp;IF(OR(B9="to_candidate",AV9="proposed_name"),IF(AW9="","missing proposed_move_reason; ","")&amp;IF(AX9="","missing proposed_name_key; ",""),"")))))</f>
        <v/>
      </c>
    </row>
    <row r="10" spans="1:53">
      <c r="A10" s="11"/>
      <c r="B10" s="12"/>
      <c r="C10" s="13"/>
      <c r="D10" s="12"/>
      <c r="E10" s="12"/>
      <c r="F10" s="12"/>
      <c r="G10" s="12"/>
      <c r="H10" s="12"/>
      <c r="I10" s="12"/>
      <c r="J10" s="12"/>
      <c r="K10" s="12" t="str">
        <f t="shared" si="0"/>
        <v/>
      </c>
      <c r="L10" s="12"/>
      <c r="M10" s="12"/>
      <c r="N10" s="12"/>
      <c r="O10" s="12"/>
      <c r="P10" s="12"/>
      <c r="Q10" s="12"/>
      <c r="R10" s="12"/>
      <c r="S10" s="12"/>
      <c r="T10" s="12"/>
      <c r="U10" s="12" t="str">
        <f>IF(AND(L10="",N10="",P10="",R10=""),"",IF(R10&lt;&gt;"",R10,IF(P10&lt;&gt;"",P10,IF(N10&lt;&gt;"",N10,L10))))</f>
        <v/>
      </c>
      <c r="V10" s="12"/>
      <c r="W10" s="14"/>
      <c r="X10" s="14"/>
      <c r="Y10" s="13"/>
      <c r="Z10" s="12"/>
      <c r="AA10" s="12"/>
      <c r="AB10" s="12"/>
      <c r="AC10" s="12"/>
      <c r="AD10" s="15"/>
      <c r="AE10" s="12"/>
      <c r="AF10" s="13"/>
      <c r="AG10" s="12"/>
      <c r="AH10" s="12"/>
      <c r="AI10" s="15"/>
      <c r="AJ10" s="12"/>
      <c r="AK10" s="12"/>
      <c r="AL10" s="12"/>
      <c r="AM10" s="12"/>
      <c r="AN10" s="12"/>
      <c r="AO10" s="12"/>
      <c r="AP10" s="12"/>
      <c r="AQ10" s="15"/>
      <c r="AR10" s="12"/>
      <c r="AS10" s="12"/>
      <c r="AT10" s="12"/>
      <c r="AU10" s="12"/>
      <c r="AV10" s="12"/>
      <c r="AW10" s="12"/>
      <c r="AX10" s="13"/>
      <c r="AY10" s="12"/>
      <c r="AZ10" s="12" t="str">
        <f>IF(AND(A10="",B10="",E10="",G10="",I10="",AV10="",AX10=""),"",IF(OR(B10="skip",AV10="skip"),"SKIP",IF(OR(B10="to_candidate",AV10="proposed_name"),IF(OR(A10="",AW10="",AX10="",COUNTIF($A$6:$A$505,A10)&gt;1),"REVIEW","TO_PROPOSED"),IF(OR(B10="",A10="",E10="",G10="",I10="",U10="",AV10="",COUNTIF($A$6:$A$505,A10)&gt;1,(COUNTIFS('أرقام التواصل'!$A$6:$A$505,"client",'أرقام التواصل'!$B$6:$B$505,A10,'أرقام التواصل'!$I$6:$I$505,"TRUE")+COUNTIFS('أرقام التواصل'!$A$6:$A$505,"client",'أرقام التواصل'!$B$6:$B$505,A10,'أرقام التواصل'!$C$6:$C$505,1))=0),"REVIEW","READY"))))</f>
        <v/>
      </c>
      <c r="BA10" s="16" t="str">
        <f>IF(AZ10="","",IF(OR(AZ10="READY",AZ10="TO_PROPOSED"),"",IF(AZ10="SKIP","Skipped by decision",TRIM(IF(B10="","missing import_action; ","")&amp;IF(A10="","missing migration_customer_key; ","")&amp;IF(AND(A10&lt;&gt;"",COUNTIF($A$6:$A$505,A10)&gt;1),"duplicate migration_customer_key; ","")&amp;IF(AND(NOT(OR(B10="to_candidate",AV10="proposed_name")),E10=""),"missing branch_id; ","")&amp;IF(AND(NOT(OR(B10="to_candidate",AV10="proposed_name")),G10=""),"missing first_name; ","")&amp;IF(AND(NOT(OR(B10="to_candidate",AV10="proposed_name")),I10=""),"missing last_name; ","")&amp;IF(AND(NOT(OR(B10="to_candidate",AV10="proposed_name")),U10=""),"missing final_geo_unit_id; ","")&amp;IF(AV10="","missing final_destination; ","")&amp;IF(AND(NOT(OR(B10="to_candidate",AV10="proposed_name")),(COUNTIFS('أرقام التواصل'!$A$6:$A$505,"client",'أرقام التواصل'!$B$6:$B$505,A10,'أرقام التواصل'!$I$6:$I$505,"TRUE")+COUNTIFS('أرقام التواصل'!$A$6:$A$505,"client",'أرقام التواصل'!$B$6:$B$505,A10,'أرقام التواصل'!$C$6:$C$505,1))=0),"missing primary contact in أرقام التواصل; ","")&amp;IF(OR(B10="to_candidate",AV10="proposed_name"),IF(AW10="","missing proposed_move_reason; ","")&amp;IF(AX10="","missing proposed_name_key; ",""),"")))))</f>
        <v/>
      </c>
    </row>
    <row r="11" spans="1:53">
      <c r="A11" s="11"/>
      <c r="B11" s="12"/>
      <c r="C11" s="13"/>
      <c r="D11" s="12"/>
      <c r="E11" s="12"/>
      <c r="F11" s="12"/>
      <c r="G11" s="12"/>
      <c r="H11" s="12"/>
      <c r="I11" s="12"/>
      <c r="J11" s="12"/>
      <c r="K11" s="12" t="str">
        <f t="shared" si="0"/>
        <v/>
      </c>
      <c r="L11" s="12"/>
      <c r="M11" s="12"/>
      <c r="N11" s="12"/>
      <c r="O11" s="12"/>
      <c r="P11" s="12"/>
      <c r="Q11" s="12"/>
      <c r="R11" s="12"/>
      <c r="S11" s="12"/>
      <c r="T11" s="12"/>
      <c r="U11" s="12" t="str">
        <f>IF(AND(L11="",N11="",P11="",R11=""),"",IF(R11&lt;&gt;"",R11,IF(P11&lt;&gt;"",P11,IF(N11&lt;&gt;"",N11,L11))))</f>
        <v/>
      </c>
      <c r="V11" s="12"/>
      <c r="W11" s="14"/>
      <c r="X11" s="14"/>
      <c r="Y11" s="13"/>
      <c r="Z11" s="12"/>
      <c r="AA11" s="12"/>
      <c r="AB11" s="12"/>
      <c r="AC11" s="12"/>
      <c r="AD11" s="15"/>
      <c r="AE11" s="12"/>
      <c r="AF11" s="13"/>
      <c r="AG11" s="12"/>
      <c r="AH11" s="12"/>
      <c r="AI11" s="15"/>
      <c r="AJ11" s="12"/>
      <c r="AK11" s="12"/>
      <c r="AL11" s="12"/>
      <c r="AM11" s="12"/>
      <c r="AN11" s="12"/>
      <c r="AO11" s="12"/>
      <c r="AP11" s="12"/>
      <c r="AQ11" s="15"/>
      <c r="AR11" s="12"/>
      <c r="AS11" s="12"/>
      <c r="AT11" s="12"/>
      <c r="AU11" s="12"/>
      <c r="AV11" s="12"/>
      <c r="AW11" s="12"/>
      <c r="AX11" s="13"/>
      <c r="AY11" s="12"/>
      <c r="AZ11" s="12" t="str">
        <f>IF(AND(A11="",B11="",E11="",G11="",I11="",AV11="",AX11=""),"",IF(OR(B11="skip",AV11="skip"),"SKIP",IF(OR(B11="to_candidate",AV11="proposed_name"),IF(OR(A11="",AW11="",AX11="",COUNTIF($A$6:$A$505,A11)&gt;1),"REVIEW","TO_PROPOSED"),IF(OR(B11="",A11="",E11="",G11="",I11="",U11="",AV11="",COUNTIF($A$6:$A$505,A11)&gt;1,(COUNTIFS('أرقام التواصل'!$A$6:$A$505,"client",'أرقام التواصل'!$B$6:$B$505,A11,'أرقام التواصل'!$I$6:$I$505,"TRUE")+COUNTIFS('أرقام التواصل'!$A$6:$A$505,"client",'أرقام التواصل'!$B$6:$B$505,A11,'أرقام التواصل'!$C$6:$C$505,1))=0),"REVIEW","READY"))))</f>
        <v/>
      </c>
      <c r="BA11" s="16" t="str">
        <f>IF(AZ11="","",IF(OR(AZ11="READY",AZ11="TO_PROPOSED"),"",IF(AZ11="SKIP","Skipped by decision",TRIM(IF(B11="","missing import_action; ","")&amp;IF(A11="","missing migration_customer_key; ","")&amp;IF(AND(A11&lt;&gt;"",COUNTIF($A$6:$A$505,A11)&gt;1),"duplicate migration_customer_key; ","")&amp;IF(AND(NOT(OR(B11="to_candidate",AV11="proposed_name")),E11=""),"missing branch_id; ","")&amp;IF(AND(NOT(OR(B11="to_candidate",AV11="proposed_name")),G11=""),"missing first_name; ","")&amp;IF(AND(NOT(OR(B11="to_candidate",AV11="proposed_name")),I11=""),"missing last_name; ","")&amp;IF(AND(NOT(OR(B11="to_candidate",AV11="proposed_name")),U11=""),"missing final_geo_unit_id; ","")&amp;IF(AV11="","missing final_destination; ","")&amp;IF(AND(NOT(OR(B11="to_candidate",AV11="proposed_name")),(COUNTIFS('أرقام التواصل'!$A$6:$A$505,"client",'أرقام التواصل'!$B$6:$B$505,A11,'أرقام التواصل'!$I$6:$I$505,"TRUE")+COUNTIFS('أرقام التواصل'!$A$6:$A$505,"client",'أرقام التواصل'!$B$6:$B$505,A11,'أرقام التواصل'!$C$6:$C$505,1))=0),"missing primary contact in أرقام التواصل; ","")&amp;IF(OR(B11="to_candidate",AV11="proposed_name"),IF(AW11="","missing proposed_move_reason; ","")&amp;IF(AX11="","missing proposed_name_key; ",""),"")))))</f>
        <v/>
      </c>
    </row>
    <row r="12" spans="1:53">
      <c r="A12" s="11"/>
      <c r="B12" s="12"/>
      <c r="C12" s="13"/>
      <c r="D12" s="12"/>
      <c r="E12" s="12"/>
      <c r="F12" s="12"/>
      <c r="G12" s="12"/>
      <c r="H12" s="12"/>
      <c r="I12" s="12"/>
      <c r="J12" s="12"/>
      <c r="K12" s="12" t="str">
        <f t="shared" si="0"/>
        <v/>
      </c>
      <c r="L12" s="12"/>
      <c r="M12" s="12"/>
      <c r="N12" s="12"/>
      <c r="O12" s="12"/>
      <c r="P12" s="12"/>
      <c r="Q12" s="12"/>
      <c r="R12" s="12"/>
      <c r="S12" s="12"/>
      <c r="T12" s="12"/>
      <c r="U12" s="12" t="str">
        <f>IF(AND(L12="",N12="",P12="",R12=""),"",IF(R12&lt;&gt;"",R12,IF(P12&lt;&gt;"",P12,IF(N12&lt;&gt;"",N12,L12))))</f>
        <v/>
      </c>
      <c r="V12" s="12"/>
      <c r="W12" s="14"/>
      <c r="X12" s="14"/>
      <c r="Y12" s="13"/>
      <c r="Z12" s="12"/>
      <c r="AA12" s="12"/>
      <c r="AB12" s="12"/>
      <c r="AC12" s="12"/>
      <c r="AD12" s="15"/>
      <c r="AE12" s="12"/>
      <c r="AF12" s="13"/>
      <c r="AG12" s="12"/>
      <c r="AH12" s="12"/>
      <c r="AI12" s="15"/>
      <c r="AJ12" s="12"/>
      <c r="AK12" s="12"/>
      <c r="AL12" s="12"/>
      <c r="AM12" s="12"/>
      <c r="AN12" s="12"/>
      <c r="AO12" s="12"/>
      <c r="AP12" s="12"/>
      <c r="AQ12" s="15"/>
      <c r="AR12" s="12"/>
      <c r="AS12" s="12"/>
      <c r="AT12" s="12"/>
      <c r="AU12" s="12"/>
      <c r="AV12" s="12"/>
      <c r="AW12" s="12"/>
      <c r="AX12" s="13"/>
      <c r="AY12" s="12"/>
      <c r="AZ12" s="12" t="str">
        <f>IF(AND(A12="",B12="",E12="",G12="",I12="",AV12="",AX12=""),"",IF(OR(B12="skip",AV12="skip"),"SKIP",IF(OR(B12="to_candidate",AV12="proposed_name"),IF(OR(A12="",AW12="",AX12="",COUNTIF($A$6:$A$505,A12)&gt;1),"REVIEW","TO_PROPOSED"),IF(OR(B12="",A12="",E12="",G12="",I12="",U12="",AV12="",COUNTIF($A$6:$A$505,A12)&gt;1,(COUNTIFS('أرقام التواصل'!$A$6:$A$505,"client",'أرقام التواصل'!$B$6:$B$505,A12,'أرقام التواصل'!$I$6:$I$505,"TRUE")+COUNTIFS('أرقام التواصل'!$A$6:$A$505,"client",'أرقام التواصل'!$B$6:$B$505,A12,'أرقام التواصل'!$C$6:$C$505,1))=0),"REVIEW","READY"))))</f>
        <v/>
      </c>
      <c r="BA12" s="16" t="str">
        <f>IF(AZ12="","",IF(OR(AZ12="READY",AZ12="TO_PROPOSED"),"",IF(AZ12="SKIP","Skipped by decision",TRIM(IF(B12="","missing import_action; ","")&amp;IF(A12="","missing migration_customer_key; ","")&amp;IF(AND(A12&lt;&gt;"",COUNTIF($A$6:$A$505,A12)&gt;1),"duplicate migration_customer_key; ","")&amp;IF(AND(NOT(OR(B12="to_candidate",AV12="proposed_name")),E12=""),"missing branch_id; ","")&amp;IF(AND(NOT(OR(B12="to_candidate",AV12="proposed_name")),G12=""),"missing first_name; ","")&amp;IF(AND(NOT(OR(B12="to_candidate",AV12="proposed_name")),I12=""),"missing last_name; ","")&amp;IF(AND(NOT(OR(B12="to_candidate",AV12="proposed_name")),U12=""),"missing final_geo_unit_id; ","")&amp;IF(AV12="","missing final_destination; ","")&amp;IF(AND(NOT(OR(B12="to_candidate",AV12="proposed_name")),(COUNTIFS('أرقام التواصل'!$A$6:$A$505,"client",'أرقام التواصل'!$B$6:$B$505,A12,'أرقام التواصل'!$I$6:$I$505,"TRUE")+COUNTIFS('أرقام التواصل'!$A$6:$A$505,"client",'أرقام التواصل'!$B$6:$B$505,A12,'أرقام التواصل'!$C$6:$C$505,1))=0),"missing primary contact in أرقام التواصل; ","")&amp;IF(OR(B12="to_candidate",AV12="proposed_name"),IF(AW12="","missing proposed_move_reason; ","")&amp;IF(AX12="","missing proposed_name_key; ",""),"")))))</f>
        <v/>
      </c>
    </row>
    <row r="13" spans="1:53">
      <c r="A13" s="11"/>
      <c r="B13" s="12"/>
      <c r="C13" s="13"/>
      <c r="D13" s="12"/>
      <c r="E13" s="12"/>
      <c r="F13" s="12"/>
      <c r="G13" s="12"/>
      <c r="H13" s="12"/>
      <c r="I13" s="12"/>
      <c r="J13" s="12"/>
      <c r="K13" s="12" t="str">
        <f t="shared" si="0"/>
        <v/>
      </c>
      <c r="L13" s="12"/>
      <c r="M13" s="12"/>
      <c r="N13" s="12"/>
      <c r="O13" s="12"/>
      <c r="P13" s="12"/>
      <c r="Q13" s="12"/>
      <c r="R13" s="12"/>
      <c r="S13" s="12"/>
      <c r="T13" s="12"/>
      <c r="U13" s="12" t="str">
        <f>IF(AND(L13="",N13="",P13="",R13=""),"",IF(R13&lt;&gt;"",R13,IF(P13&lt;&gt;"",P13,IF(N13&lt;&gt;"",N13,L13))))</f>
        <v/>
      </c>
      <c r="V13" s="12"/>
      <c r="W13" s="14"/>
      <c r="X13" s="14"/>
      <c r="Y13" s="13"/>
      <c r="Z13" s="12"/>
      <c r="AA13" s="12"/>
      <c r="AB13" s="12"/>
      <c r="AC13" s="12"/>
      <c r="AD13" s="15"/>
      <c r="AE13" s="12"/>
      <c r="AF13" s="13"/>
      <c r="AG13" s="12"/>
      <c r="AH13" s="12"/>
      <c r="AI13" s="15"/>
      <c r="AJ13" s="12"/>
      <c r="AK13" s="12"/>
      <c r="AL13" s="12"/>
      <c r="AM13" s="12"/>
      <c r="AN13" s="12"/>
      <c r="AO13" s="12"/>
      <c r="AP13" s="12"/>
      <c r="AQ13" s="15"/>
      <c r="AR13" s="12"/>
      <c r="AS13" s="12"/>
      <c r="AT13" s="12"/>
      <c r="AU13" s="12"/>
      <c r="AV13" s="12"/>
      <c r="AW13" s="12"/>
      <c r="AX13" s="13"/>
      <c r="AY13" s="12"/>
      <c r="AZ13" s="12" t="str">
        <f>IF(AND(A13="",B13="",E13="",G13="",I13="",AV13="",AX13=""),"",IF(OR(B13="skip",AV13="skip"),"SKIP",IF(OR(B13="to_candidate",AV13="proposed_name"),IF(OR(A13="",AW13="",AX13="",COUNTIF($A$6:$A$505,A13)&gt;1),"REVIEW","TO_PROPOSED"),IF(OR(B13="",A13="",E13="",G13="",I13="",U13="",AV13="",COUNTIF($A$6:$A$505,A13)&gt;1,(COUNTIFS('أرقام التواصل'!$A$6:$A$505,"client",'أرقام التواصل'!$B$6:$B$505,A13,'أرقام التواصل'!$I$6:$I$505,"TRUE")+COUNTIFS('أرقام التواصل'!$A$6:$A$505,"client",'أرقام التواصل'!$B$6:$B$505,A13,'أرقام التواصل'!$C$6:$C$505,1))=0),"REVIEW","READY"))))</f>
        <v/>
      </c>
      <c r="BA13" s="16" t="str">
        <f>IF(AZ13="","",IF(OR(AZ13="READY",AZ13="TO_PROPOSED"),"",IF(AZ13="SKIP","Skipped by decision",TRIM(IF(B13="","missing import_action; ","")&amp;IF(A13="","missing migration_customer_key; ","")&amp;IF(AND(A13&lt;&gt;"",COUNTIF($A$6:$A$505,A13)&gt;1),"duplicate migration_customer_key; ","")&amp;IF(AND(NOT(OR(B13="to_candidate",AV13="proposed_name")),E13=""),"missing branch_id; ","")&amp;IF(AND(NOT(OR(B13="to_candidate",AV13="proposed_name")),G13=""),"missing first_name; ","")&amp;IF(AND(NOT(OR(B13="to_candidate",AV13="proposed_name")),I13=""),"missing last_name; ","")&amp;IF(AND(NOT(OR(B13="to_candidate",AV13="proposed_name")),U13=""),"missing final_geo_unit_id; ","")&amp;IF(AV13="","missing final_destination; ","")&amp;IF(AND(NOT(OR(B13="to_candidate",AV13="proposed_name")),(COUNTIFS('أرقام التواصل'!$A$6:$A$505,"client",'أرقام التواصل'!$B$6:$B$505,A13,'أرقام التواصل'!$I$6:$I$505,"TRUE")+COUNTIFS('أرقام التواصل'!$A$6:$A$505,"client",'أرقام التواصل'!$B$6:$B$505,A13,'أرقام التواصل'!$C$6:$C$505,1))=0),"missing primary contact in أرقام التواصل; ","")&amp;IF(OR(B13="to_candidate",AV13="proposed_name"),IF(AW13="","missing proposed_move_reason; ","")&amp;IF(AX13="","missing proposed_name_key; ",""),"")))))</f>
        <v/>
      </c>
    </row>
    <row r="14" spans="1:53">
      <c r="A14" s="11"/>
      <c r="B14" s="12"/>
      <c r="C14" s="13"/>
      <c r="D14" s="12"/>
      <c r="E14" s="12"/>
      <c r="F14" s="12"/>
      <c r="G14" s="12"/>
      <c r="H14" s="12"/>
      <c r="I14" s="12"/>
      <c r="J14" s="12"/>
      <c r="K14" s="12" t="str">
        <f t="shared" si="0"/>
        <v/>
      </c>
      <c r="L14" s="12"/>
      <c r="M14" s="12"/>
      <c r="N14" s="12"/>
      <c r="O14" s="12"/>
      <c r="P14" s="12"/>
      <c r="Q14" s="12"/>
      <c r="R14" s="12"/>
      <c r="S14" s="12"/>
      <c r="T14" s="12"/>
      <c r="U14" s="12" t="str">
        <f>IF(AND(L14="",N14="",P14="",R14=""),"",IF(R14&lt;&gt;"",R14,IF(P14&lt;&gt;"",P14,IF(N14&lt;&gt;"",N14,L14))))</f>
        <v/>
      </c>
      <c r="V14" s="12"/>
      <c r="W14" s="14"/>
      <c r="X14" s="14"/>
      <c r="Y14" s="13"/>
      <c r="Z14" s="12"/>
      <c r="AA14" s="12"/>
      <c r="AB14" s="12"/>
      <c r="AC14" s="12"/>
      <c r="AD14" s="15"/>
      <c r="AE14" s="12"/>
      <c r="AF14" s="13"/>
      <c r="AG14" s="12"/>
      <c r="AH14" s="12"/>
      <c r="AI14" s="15"/>
      <c r="AJ14" s="12"/>
      <c r="AK14" s="12"/>
      <c r="AL14" s="12"/>
      <c r="AM14" s="12"/>
      <c r="AN14" s="12"/>
      <c r="AO14" s="12"/>
      <c r="AP14" s="12"/>
      <c r="AQ14" s="15"/>
      <c r="AR14" s="12"/>
      <c r="AS14" s="12"/>
      <c r="AT14" s="12"/>
      <c r="AU14" s="12"/>
      <c r="AV14" s="12"/>
      <c r="AW14" s="12"/>
      <c r="AX14" s="13"/>
      <c r="AY14" s="12"/>
      <c r="AZ14" s="12" t="str">
        <f>IF(AND(A14="",B14="",E14="",G14="",I14="",AV14="",AX14=""),"",IF(OR(B14="skip",AV14="skip"),"SKIP",IF(OR(B14="to_candidate",AV14="proposed_name"),IF(OR(A14="",AW14="",AX14="",COUNTIF($A$6:$A$505,A14)&gt;1),"REVIEW","TO_PROPOSED"),IF(OR(B14="",A14="",E14="",G14="",I14="",U14="",AV14="",COUNTIF($A$6:$A$505,A14)&gt;1,(COUNTIFS('أرقام التواصل'!$A$6:$A$505,"client",'أرقام التواصل'!$B$6:$B$505,A14,'أرقام التواصل'!$I$6:$I$505,"TRUE")+COUNTIFS('أرقام التواصل'!$A$6:$A$505,"client",'أرقام التواصل'!$B$6:$B$505,A14,'أرقام التواصل'!$C$6:$C$505,1))=0),"REVIEW","READY"))))</f>
        <v/>
      </c>
      <c r="BA14" s="16" t="str">
        <f>IF(AZ14="","",IF(OR(AZ14="READY",AZ14="TO_PROPOSED"),"",IF(AZ14="SKIP","Skipped by decision",TRIM(IF(B14="","missing import_action; ","")&amp;IF(A14="","missing migration_customer_key; ","")&amp;IF(AND(A14&lt;&gt;"",COUNTIF($A$6:$A$505,A14)&gt;1),"duplicate migration_customer_key; ","")&amp;IF(AND(NOT(OR(B14="to_candidate",AV14="proposed_name")),E14=""),"missing branch_id; ","")&amp;IF(AND(NOT(OR(B14="to_candidate",AV14="proposed_name")),G14=""),"missing first_name; ","")&amp;IF(AND(NOT(OR(B14="to_candidate",AV14="proposed_name")),I14=""),"missing last_name; ","")&amp;IF(AND(NOT(OR(B14="to_candidate",AV14="proposed_name")),U14=""),"missing final_geo_unit_id; ","")&amp;IF(AV14="","missing final_destination; ","")&amp;IF(AND(NOT(OR(B14="to_candidate",AV14="proposed_name")),(COUNTIFS('أرقام التواصل'!$A$6:$A$505,"client",'أرقام التواصل'!$B$6:$B$505,A14,'أرقام التواصل'!$I$6:$I$505,"TRUE")+COUNTIFS('أرقام التواصل'!$A$6:$A$505,"client",'أرقام التواصل'!$B$6:$B$505,A14,'أرقام التواصل'!$C$6:$C$505,1))=0),"missing primary contact in أرقام التواصل; ","")&amp;IF(OR(B14="to_candidate",AV14="proposed_name"),IF(AW14="","missing proposed_move_reason; ","")&amp;IF(AX14="","missing proposed_name_key; ",""),"")))))</f>
        <v/>
      </c>
    </row>
    <row r="15" spans="1:53">
      <c r="A15" s="11"/>
      <c r="B15" s="12"/>
      <c r="C15" s="13"/>
      <c r="D15" s="12"/>
      <c r="E15" s="12"/>
      <c r="F15" s="12"/>
      <c r="G15" s="12"/>
      <c r="H15" s="12"/>
      <c r="I15" s="12"/>
      <c r="J15" s="12"/>
      <c r="K15" s="12" t="str">
        <f t="shared" si="0"/>
        <v/>
      </c>
      <c r="L15" s="12"/>
      <c r="M15" s="12"/>
      <c r="N15" s="12"/>
      <c r="O15" s="12"/>
      <c r="P15" s="12"/>
      <c r="Q15" s="12"/>
      <c r="R15" s="12"/>
      <c r="S15" s="12"/>
      <c r="T15" s="12"/>
      <c r="U15" s="12" t="str">
        <f>IF(AND(L15="",N15="",P15="",R15=""),"",IF(R15&lt;&gt;"",R15,IF(P15&lt;&gt;"",P15,IF(N15&lt;&gt;"",N15,L15))))</f>
        <v/>
      </c>
      <c r="V15" s="12"/>
      <c r="W15" s="14"/>
      <c r="X15" s="14"/>
      <c r="Y15" s="13"/>
      <c r="Z15" s="12"/>
      <c r="AA15" s="12"/>
      <c r="AB15" s="12"/>
      <c r="AC15" s="12"/>
      <c r="AD15" s="15"/>
      <c r="AE15" s="12"/>
      <c r="AF15" s="13"/>
      <c r="AG15" s="12"/>
      <c r="AH15" s="12"/>
      <c r="AI15" s="15"/>
      <c r="AJ15" s="12"/>
      <c r="AK15" s="12"/>
      <c r="AL15" s="12"/>
      <c r="AM15" s="12"/>
      <c r="AN15" s="12"/>
      <c r="AO15" s="12"/>
      <c r="AP15" s="12"/>
      <c r="AQ15" s="15"/>
      <c r="AR15" s="12"/>
      <c r="AS15" s="12"/>
      <c r="AT15" s="12"/>
      <c r="AU15" s="12"/>
      <c r="AV15" s="12"/>
      <c r="AW15" s="12"/>
      <c r="AX15" s="13"/>
      <c r="AY15" s="12"/>
      <c r="AZ15" s="12" t="str">
        <f>IF(AND(A15="",B15="",E15="",G15="",I15="",AV15="",AX15=""),"",IF(OR(B15="skip",AV15="skip"),"SKIP",IF(OR(B15="to_candidate",AV15="proposed_name"),IF(OR(A15="",AW15="",AX15="",COUNTIF($A$6:$A$505,A15)&gt;1),"REVIEW","TO_PROPOSED"),IF(OR(B15="",A15="",E15="",G15="",I15="",U15="",AV15="",COUNTIF($A$6:$A$505,A15)&gt;1,(COUNTIFS('أرقام التواصل'!$A$6:$A$505,"client",'أرقام التواصل'!$B$6:$B$505,A15,'أرقام التواصل'!$I$6:$I$505,"TRUE")+COUNTIFS('أرقام التواصل'!$A$6:$A$505,"client",'أرقام التواصل'!$B$6:$B$505,A15,'أرقام التواصل'!$C$6:$C$505,1))=0),"REVIEW","READY"))))</f>
        <v/>
      </c>
      <c r="BA15" s="16" t="str">
        <f>IF(AZ15="","",IF(OR(AZ15="READY",AZ15="TO_PROPOSED"),"",IF(AZ15="SKIP","Skipped by decision",TRIM(IF(B15="","missing import_action; ","")&amp;IF(A15="","missing migration_customer_key; ","")&amp;IF(AND(A15&lt;&gt;"",COUNTIF($A$6:$A$505,A15)&gt;1),"duplicate migration_customer_key; ","")&amp;IF(AND(NOT(OR(B15="to_candidate",AV15="proposed_name")),E15=""),"missing branch_id; ","")&amp;IF(AND(NOT(OR(B15="to_candidate",AV15="proposed_name")),G15=""),"missing first_name; ","")&amp;IF(AND(NOT(OR(B15="to_candidate",AV15="proposed_name")),I15=""),"missing last_name; ","")&amp;IF(AND(NOT(OR(B15="to_candidate",AV15="proposed_name")),U15=""),"missing final_geo_unit_id; ","")&amp;IF(AV15="","missing final_destination; ","")&amp;IF(AND(NOT(OR(B15="to_candidate",AV15="proposed_name")),(COUNTIFS('أرقام التواصل'!$A$6:$A$505,"client",'أرقام التواصل'!$B$6:$B$505,A15,'أرقام التواصل'!$I$6:$I$505,"TRUE")+COUNTIFS('أرقام التواصل'!$A$6:$A$505,"client",'أرقام التواصل'!$B$6:$B$505,A15,'أرقام التواصل'!$C$6:$C$505,1))=0),"missing primary contact in أرقام التواصل; ","")&amp;IF(OR(B15="to_candidate",AV15="proposed_name"),IF(AW15="","missing proposed_move_reason; ","")&amp;IF(AX15="","missing proposed_name_key; ",""),"")))))</f>
        <v/>
      </c>
    </row>
    <row r="16" spans="1:53">
      <c r="A16" s="11"/>
      <c r="B16" s="12"/>
      <c r="C16" s="13"/>
      <c r="D16" s="12"/>
      <c r="E16" s="12"/>
      <c r="F16" s="12"/>
      <c r="G16" s="12"/>
      <c r="H16" s="12"/>
      <c r="I16" s="12"/>
      <c r="J16" s="12"/>
      <c r="K16" s="12" t="str">
        <f t="shared" si="0"/>
        <v/>
      </c>
      <c r="L16" s="12"/>
      <c r="M16" s="12"/>
      <c r="N16" s="12"/>
      <c r="O16" s="12"/>
      <c r="P16" s="12"/>
      <c r="Q16" s="12"/>
      <c r="R16" s="12"/>
      <c r="S16" s="12"/>
      <c r="T16" s="12"/>
      <c r="U16" s="12" t="str">
        <f>IF(AND(L16="",N16="",P16="",R16=""),"",IF(R16&lt;&gt;"",R16,IF(P16&lt;&gt;"",P16,IF(N16&lt;&gt;"",N16,L16))))</f>
        <v/>
      </c>
      <c r="V16" s="12"/>
      <c r="W16" s="14"/>
      <c r="X16" s="14"/>
      <c r="Y16" s="13"/>
      <c r="Z16" s="12"/>
      <c r="AA16" s="12"/>
      <c r="AB16" s="12"/>
      <c r="AC16" s="12"/>
      <c r="AD16" s="15"/>
      <c r="AE16" s="12"/>
      <c r="AF16" s="13"/>
      <c r="AG16" s="12"/>
      <c r="AH16" s="12"/>
      <c r="AI16" s="15"/>
      <c r="AJ16" s="12"/>
      <c r="AK16" s="12"/>
      <c r="AL16" s="12"/>
      <c r="AM16" s="12"/>
      <c r="AN16" s="12"/>
      <c r="AO16" s="12"/>
      <c r="AP16" s="12"/>
      <c r="AQ16" s="15"/>
      <c r="AR16" s="12"/>
      <c r="AS16" s="12"/>
      <c r="AT16" s="12"/>
      <c r="AU16" s="12"/>
      <c r="AV16" s="12"/>
      <c r="AW16" s="12"/>
      <c r="AX16" s="13"/>
      <c r="AY16" s="12"/>
      <c r="AZ16" s="12" t="str">
        <f>IF(AND(A16="",B16="",E16="",G16="",I16="",AV16="",AX16=""),"",IF(OR(B16="skip",AV16="skip"),"SKIP",IF(OR(B16="to_candidate",AV16="proposed_name"),IF(OR(A16="",AW16="",AX16="",COUNTIF($A$6:$A$505,A16)&gt;1),"REVIEW","TO_PROPOSED"),IF(OR(B16="",A16="",E16="",G16="",I16="",U16="",AV16="",COUNTIF($A$6:$A$505,A16)&gt;1,(COUNTIFS('أرقام التواصل'!$A$6:$A$505,"client",'أرقام التواصل'!$B$6:$B$505,A16,'أرقام التواصل'!$I$6:$I$505,"TRUE")+COUNTIFS('أرقام التواصل'!$A$6:$A$505,"client",'أرقام التواصل'!$B$6:$B$505,A16,'أرقام التواصل'!$C$6:$C$505,1))=0),"REVIEW","READY"))))</f>
        <v/>
      </c>
      <c r="BA16" s="16" t="str">
        <f>IF(AZ16="","",IF(OR(AZ16="READY",AZ16="TO_PROPOSED"),"",IF(AZ16="SKIP","Skipped by decision",TRIM(IF(B16="","missing import_action; ","")&amp;IF(A16="","missing migration_customer_key; ","")&amp;IF(AND(A16&lt;&gt;"",COUNTIF($A$6:$A$505,A16)&gt;1),"duplicate migration_customer_key; ","")&amp;IF(AND(NOT(OR(B16="to_candidate",AV16="proposed_name")),E16=""),"missing branch_id; ","")&amp;IF(AND(NOT(OR(B16="to_candidate",AV16="proposed_name")),G16=""),"missing first_name; ","")&amp;IF(AND(NOT(OR(B16="to_candidate",AV16="proposed_name")),I16=""),"missing last_name; ","")&amp;IF(AND(NOT(OR(B16="to_candidate",AV16="proposed_name")),U16=""),"missing final_geo_unit_id; ","")&amp;IF(AV16="","missing final_destination; ","")&amp;IF(AND(NOT(OR(B16="to_candidate",AV16="proposed_name")),(COUNTIFS('أرقام التواصل'!$A$6:$A$505,"client",'أرقام التواصل'!$B$6:$B$505,A16,'أرقام التواصل'!$I$6:$I$505,"TRUE")+COUNTIFS('أرقام التواصل'!$A$6:$A$505,"client",'أرقام التواصل'!$B$6:$B$505,A16,'أرقام التواصل'!$C$6:$C$505,1))=0),"missing primary contact in أرقام التواصل; ","")&amp;IF(OR(B16="to_candidate",AV16="proposed_name"),IF(AW16="","missing proposed_move_reason; ","")&amp;IF(AX16="","missing proposed_name_key; ",""),"")))))</f>
        <v/>
      </c>
    </row>
    <row r="17" spans="1:53">
      <c r="A17" s="11"/>
      <c r="B17" s="12"/>
      <c r="C17" s="13"/>
      <c r="D17" s="12"/>
      <c r="E17" s="12"/>
      <c r="F17" s="12"/>
      <c r="G17" s="12"/>
      <c r="H17" s="12"/>
      <c r="I17" s="12"/>
      <c r="J17" s="12"/>
      <c r="K17" s="12" t="str">
        <f t="shared" si="0"/>
        <v/>
      </c>
      <c r="L17" s="12"/>
      <c r="M17" s="12"/>
      <c r="N17" s="12"/>
      <c r="O17" s="12"/>
      <c r="P17" s="12"/>
      <c r="Q17" s="12"/>
      <c r="R17" s="12"/>
      <c r="S17" s="12"/>
      <c r="T17" s="12"/>
      <c r="U17" s="12" t="str">
        <f>IF(AND(L17="",N17="",P17="",R17=""),"",IF(R17&lt;&gt;"",R17,IF(P17&lt;&gt;"",P17,IF(N17&lt;&gt;"",N17,L17))))</f>
        <v/>
      </c>
      <c r="V17" s="12"/>
      <c r="W17" s="14"/>
      <c r="X17" s="14"/>
      <c r="Y17" s="13"/>
      <c r="Z17" s="12"/>
      <c r="AA17" s="12"/>
      <c r="AB17" s="12"/>
      <c r="AC17" s="12"/>
      <c r="AD17" s="15"/>
      <c r="AE17" s="12"/>
      <c r="AF17" s="13"/>
      <c r="AG17" s="12"/>
      <c r="AH17" s="12"/>
      <c r="AI17" s="15"/>
      <c r="AJ17" s="12"/>
      <c r="AK17" s="12"/>
      <c r="AL17" s="12"/>
      <c r="AM17" s="12"/>
      <c r="AN17" s="12"/>
      <c r="AO17" s="12"/>
      <c r="AP17" s="12"/>
      <c r="AQ17" s="15"/>
      <c r="AR17" s="12"/>
      <c r="AS17" s="12"/>
      <c r="AT17" s="12"/>
      <c r="AU17" s="12"/>
      <c r="AV17" s="12"/>
      <c r="AW17" s="12"/>
      <c r="AX17" s="13"/>
      <c r="AY17" s="12"/>
      <c r="AZ17" s="12" t="str">
        <f>IF(AND(A17="",B17="",E17="",G17="",I17="",AV17="",AX17=""),"",IF(OR(B17="skip",AV17="skip"),"SKIP",IF(OR(B17="to_candidate",AV17="proposed_name"),IF(OR(A17="",AW17="",AX17="",COUNTIF($A$6:$A$505,A17)&gt;1),"REVIEW","TO_PROPOSED"),IF(OR(B17="",A17="",E17="",G17="",I17="",U17="",AV17="",COUNTIF($A$6:$A$505,A17)&gt;1,(COUNTIFS('أرقام التواصل'!$A$6:$A$505,"client",'أرقام التواصل'!$B$6:$B$505,A17,'أرقام التواصل'!$I$6:$I$505,"TRUE")+COUNTIFS('أرقام التواصل'!$A$6:$A$505,"client",'أرقام التواصل'!$B$6:$B$505,A17,'أرقام التواصل'!$C$6:$C$505,1))=0),"REVIEW","READY"))))</f>
        <v/>
      </c>
      <c r="BA17" s="16" t="str">
        <f>IF(AZ17="","",IF(OR(AZ17="READY",AZ17="TO_PROPOSED"),"",IF(AZ17="SKIP","Skipped by decision",TRIM(IF(B17="","missing import_action; ","")&amp;IF(A17="","missing migration_customer_key; ","")&amp;IF(AND(A17&lt;&gt;"",COUNTIF($A$6:$A$505,A17)&gt;1),"duplicate migration_customer_key; ","")&amp;IF(AND(NOT(OR(B17="to_candidate",AV17="proposed_name")),E17=""),"missing branch_id; ","")&amp;IF(AND(NOT(OR(B17="to_candidate",AV17="proposed_name")),G17=""),"missing first_name; ","")&amp;IF(AND(NOT(OR(B17="to_candidate",AV17="proposed_name")),I17=""),"missing last_name; ","")&amp;IF(AND(NOT(OR(B17="to_candidate",AV17="proposed_name")),U17=""),"missing final_geo_unit_id; ","")&amp;IF(AV17="","missing final_destination; ","")&amp;IF(AND(NOT(OR(B17="to_candidate",AV17="proposed_name")),(COUNTIFS('أرقام التواصل'!$A$6:$A$505,"client",'أرقام التواصل'!$B$6:$B$505,A17,'أرقام التواصل'!$I$6:$I$505,"TRUE")+COUNTIFS('أرقام التواصل'!$A$6:$A$505,"client",'أرقام التواصل'!$B$6:$B$505,A17,'أرقام التواصل'!$C$6:$C$505,1))=0),"missing primary contact in أرقام التواصل; ","")&amp;IF(OR(B17="to_candidate",AV17="proposed_name"),IF(AW17="","missing proposed_move_reason; ","")&amp;IF(AX17="","missing proposed_name_key; ",""),"")))))</f>
        <v/>
      </c>
    </row>
    <row r="18" spans="1:53">
      <c r="A18" s="11"/>
      <c r="B18" s="12"/>
      <c r="C18" s="13"/>
      <c r="D18" s="12"/>
      <c r="E18" s="12"/>
      <c r="F18" s="12"/>
      <c r="G18" s="12"/>
      <c r="H18" s="12"/>
      <c r="I18" s="12"/>
      <c r="J18" s="12"/>
      <c r="K18" s="12" t="str">
        <f t="shared" si="0"/>
        <v/>
      </c>
      <c r="L18" s="12"/>
      <c r="M18" s="12"/>
      <c r="N18" s="12"/>
      <c r="O18" s="12"/>
      <c r="P18" s="12"/>
      <c r="Q18" s="12"/>
      <c r="R18" s="12"/>
      <c r="S18" s="12"/>
      <c r="T18" s="12"/>
      <c r="U18" s="12" t="str">
        <f>IF(AND(L18="",N18="",P18="",R18=""),"",IF(R18&lt;&gt;"",R18,IF(P18&lt;&gt;"",P18,IF(N18&lt;&gt;"",N18,L18))))</f>
        <v/>
      </c>
      <c r="V18" s="12"/>
      <c r="W18" s="14"/>
      <c r="X18" s="14"/>
      <c r="Y18" s="13"/>
      <c r="Z18" s="12"/>
      <c r="AA18" s="12"/>
      <c r="AB18" s="12"/>
      <c r="AC18" s="12"/>
      <c r="AD18" s="15"/>
      <c r="AE18" s="12"/>
      <c r="AF18" s="13"/>
      <c r="AG18" s="12"/>
      <c r="AH18" s="12"/>
      <c r="AI18" s="15"/>
      <c r="AJ18" s="12"/>
      <c r="AK18" s="12"/>
      <c r="AL18" s="12"/>
      <c r="AM18" s="12"/>
      <c r="AN18" s="12"/>
      <c r="AO18" s="12"/>
      <c r="AP18" s="12"/>
      <c r="AQ18" s="15"/>
      <c r="AR18" s="12"/>
      <c r="AS18" s="12"/>
      <c r="AT18" s="12"/>
      <c r="AU18" s="12"/>
      <c r="AV18" s="12"/>
      <c r="AW18" s="12"/>
      <c r="AX18" s="13"/>
      <c r="AY18" s="12"/>
      <c r="AZ18" s="12" t="str">
        <f>IF(AND(A18="",B18="",E18="",G18="",I18="",AV18="",AX18=""),"",IF(OR(B18="skip",AV18="skip"),"SKIP",IF(OR(B18="to_candidate",AV18="proposed_name"),IF(OR(A18="",AW18="",AX18="",COUNTIF($A$6:$A$505,A18)&gt;1),"REVIEW","TO_PROPOSED"),IF(OR(B18="",A18="",E18="",G18="",I18="",U18="",AV18="",COUNTIF($A$6:$A$505,A18)&gt;1,(COUNTIFS('أرقام التواصل'!$A$6:$A$505,"client",'أرقام التواصل'!$B$6:$B$505,A18,'أرقام التواصل'!$I$6:$I$505,"TRUE")+COUNTIFS('أرقام التواصل'!$A$6:$A$505,"client",'أرقام التواصل'!$B$6:$B$505,A18,'أرقام التواصل'!$C$6:$C$505,1))=0),"REVIEW","READY"))))</f>
        <v/>
      </c>
      <c r="BA18" s="16" t="str">
        <f>IF(AZ18="","",IF(OR(AZ18="READY",AZ18="TO_PROPOSED"),"",IF(AZ18="SKIP","Skipped by decision",TRIM(IF(B18="","missing import_action; ","")&amp;IF(A18="","missing migration_customer_key; ","")&amp;IF(AND(A18&lt;&gt;"",COUNTIF($A$6:$A$505,A18)&gt;1),"duplicate migration_customer_key; ","")&amp;IF(AND(NOT(OR(B18="to_candidate",AV18="proposed_name")),E18=""),"missing branch_id; ","")&amp;IF(AND(NOT(OR(B18="to_candidate",AV18="proposed_name")),G18=""),"missing first_name; ","")&amp;IF(AND(NOT(OR(B18="to_candidate",AV18="proposed_name")),I18=""),"missing last_name; ","")&amp;IF(AND(NOT(OR(B18="to_candidate",AV18="proposed_name")),U18=""),"missing final_geo_unit_id; ","")&amp;IF(AV18="","missing final_destination; ","")&amp;IF(AND(NOT(OR(B18="to_candidate",AV18="proposed_name")),(COUNTIFS('أرقام التواصل'!$A$6:$A$505,"client",'أرقام التواصل'!$B$6:$B$505,A18,'أرقام التواصل'!$I$6:$I$505,"TRUE")+COUNTIFS('أرقام التواصل'!$A$6:$A$505,"client",'أرقام التواصل'!$B$6:$B$505,A18,'أرقام التواصل'!$C$6:$C$505,1))=0),"missing primary contact in أرقام التواصل; ","")&amp;IF(OR(B18="to_candidate",AV18="proposed_name"),IF(AW18="","missing proposed_move_reason; ","")&amp;IF(AX18="","missing proposed_name_key; ",""),"")))))</f>
        <v/>
      </c>
    </row>
    <row r="19" spans="1:53">
      <c r="A19" s="11"/>
      <c r="B19" s="12"/>
      <c r="C19" s="13"/>
      <c r="D19" s="12"/>
      <c r="E19" s="12"/>
      <c r="F19" s="12"/>
      <c r="G19" s="12"/>
      <c r="H19" s="12"/>
      <c r="I19" s="12"/>
      <c r="J19" s="12"/>
      <c r="K19" s="12" t="str">
        <f t="shared" si="0"/>
        <v/>
      </c>
      <c r="L19" s="12"/>
      <c r="M19" s="12"/>
      <c r="N19" s="12"/>
      <c r="O19" s="12"/>
      <c r="P19" s="12"/>
      <c r="Q19" s="12"/>
      <c r="R19" s="12"/>
      <c r="S19" s="12"/>
      <c r="T19" s="12"/>
      <c r="U19" s="12" t="str">
        <f>IF(AND(L19="",N19="",P19="",R19=""),"",IF(R19&lt;&gt;"",R19,IF(P19&lt;&gt;"",P19,IF(N19&lt;&gt;"",N19,L19))))</f>
        <v/>
      </c>
      <c r="V19" s="12"/>
      <c r="W19" s="14"/>
      <c r="X19" s="14"/>
      <c r="Y19" s="13"/>
      <c r="Z19" s="12"/>
      <c r="AA19" s="12"/>
      <c r="AB19" s="12"/>
      <c r="AC19" s="12"/>
      <c r="AD19" s="15"/>
      <c r="AE19" s="12"/>
      <c r="AF19" s="13"/>
      <c r="AG19" s="12"/>
      <c r="AH19" s="12"/>
      <c r="AI19" s="15"/>
      <c r="AJ19" s="12"/>
      <c r="AK19" s="12"/>
      <c r="AL19" s="12"/>
      <c r="AM19" s="12"/>
      <c r="AN19" s="12"/>
      <c r="AO19" s="12"/>
      <c r="AP19" s="12"/>
      <c r="AQ19" s="15"/>
      <c r="AR19" s="12"/>
      <c r="AS19" s="12"/>
      <c r="AT19" s="12"/>
      <c r="AU19" s="12"/>
      <c r="AV19" s="12"/>
      <c r="AW19" s="12"/>
      <c r="AX19" s="13"/>
      <c r="AY19" s="12"/>
      <c r="AZ19" s="12" t="str">
        <f>IF(AND(A19="",B19="",E19="",G19="",I19="",AV19="",AX19=""),"",IF(OR(B19="skip",AV19="skip"),"SKIP",IF(OR(B19="to_candidate",AV19="proposed_name"),IF(OR(A19="",AW19="",AX19="",COUNTIF($A$6:$A$505,A19)&gt;1),"REVIEW","TO_PROPOSED"),IF(OR(B19="",A19="",E19="",G19="",I19="",U19="",AV19="",COUNTIF($A$6:$A$505,A19)&gt;1,(COUNTIFS('أرقام التواصل'!$A$6:$A$505,"client",'أرقام التواصل'!$B$6:$B$505,A19,'أرقام التواصل'!$I$6:$I$505,"TRUE")+COUNTIFS('أرقام التواصل'!$A$6:$A$505,"client",'أرقام التواصل'!$B$6:$B$505,A19,'أرقام التواصل'!$C$6:$C$505,1))=0),"REVIEW","READY"))))</f>
        <v/>
      </c>
      <c r="BA19" s="16" t="str">
        <f>IF(AZ19="","",IF(OR(AZ19="READY",AZ19="TO_PROPOSED"),"",IF(AZ19="SKIP","Skipped by decision",TRIM(IF(B19="","missing import_action; ","")&amp;IF(A19="","missing migration_customer_key; ","")&amp;IF(AND(A19&lt;&gt;"",COUNTIF($A$6:$A$505,A19)&gt;1),"duplicate migration_customer_key; ","")&amp;IF(AND(NOT(OR(B19="to_candidate",AV19="proposed_name")),E19=""),"missing branch_id; ","")&amp;IF(AND(NOT(OR(B19="to_candidate",AV19="proposed_name")),G19=""),"missing first_name; ","")&amp;IF(AND(NOT(OR(B19="to_candidate",AV19="proposed_name")),I19=""),"missing last_name; ","")&amp;IF(AND(NOT(OR(B19="to_candidate",AV19="proposed_name")),U19=""),"missing final_geo_unit_id; ","")&amp;IF(AV19="","missing final_destination; ","")&amp;IF(AND(NOT(OR(B19="to_candidate",AV19="proposed_name")),(COUNTIFS('أرقام التواصل'!$A$6:$A$505,"client",'أرقام التواصل'!$B$6:$B$505,A19,'أرقام التواصل'!$I$6:$I$505,"TRUE")+COUNTIFS('أرقام التواصل'!$A$6:$A$505,"client",'أرقام التواصل'!$B$6:$B$505,A19,'أرقام التواصل'!$C$6:$C$505,1))=0),"missing primary contact in أرقام التواصل; ","")&amp;IF(OR(B19="to_candidate",AV19="proposed_name"),IF(AW19="","missing proposed_move_reason; ","")&amp;IF(AX19="","missing proposed_name_key; ",""),"")))))</f>
        <v/>
      </c>
    </row>
    <row r="20" spans="1:53">
      <c r="A20" s="11"/>
      <c r="B20" s="12"/>
      <c r="C20" s="13"/>
      <c r="D20" s="12"/>
      <c r="E20" s="12"/>
      <c r="F20" s="12"/>
      <c r="G20" s="12"/>
      <c r="H20" s="12"/>
      <c r="I20" s="12"/>
      <c r="J20" s="12"/>
      <c r="K20" s="12" t="str">
        <f t="shared" si="0"/>
        <v/>
      </c>
      <c r="L20" s="12"/>
      <c r="M20" s="12"/>
      <c r="N20" s="12"/>
      <c r="O20" s="12"/>
      <c r="P20" s="12"/>
      <c r="Q20" s="12"/>
      <c r="R20" s="12"/>
      <c r="S20" s="12"/>
      <c r="T20" s="12"/>
      <c r="U20" s="12" t="str">
        <f>IF(AND(L20="",N20="",P20="",R20=""),"",IF(R20&lt;&gt;"",R20,IF(P20&lt;&gt;"",P20,IF(N20&lt;&gt;"",N20,L20))))</f>
        <v/>
      </c>
      <c r="V20" s="12"/>
      <c r="W20" s="14"/>
      <c r="X20" s="14"/>
      <c r="Y20" s="13"/>
      <c r="Z20" s="12"/>
      <c r="AA20" s="12"/>
      <c r="AB20" s="12"/>
      <c r="AC20" s="12"/>
      <c r="AD20" s="15"/>
      <c r="AE20" s="12"/>
      <c r="AF20" s="13"/>
      <c r="AG20" s="12"/>
      <c r="AH20" s="12"/>
      <c r="AI20" s="15"/>
      <c r="AJ20" s="12"/>
      <c r="AK20" s="12"/>
      <c r="AL20" s="12"/>
      <c r="AM20" s="12"/>
      <c r="AN20" s="12"/>
      <c r="AO20" s="12"/>
      <c r="AP20" s="12"/>
      <c r="AQ20" s="15"/>
      <c r="AR20" s="12"/>
      <c r="AS20" s="12"/>
      <c r="AT20" s="12"/>
      <c r="AU20" s="12"/>
      <c r="AV20" s="12"/>
      <c r="AW20" s="12"/>
      <c r="AX20" s="13"/>
      <c r="AY20" s="12"/>
      <c r="AZ20" s="12" t="str">
        <f>IF(AND(A20="",B20="",E20="",G20="",I20="",AV20="",AX20=""),"",IF(OR(B20="skip",AV20="skip"),"SKIP",IF(OR(B20="to_candidate",AV20="proposed_name"),IF(OR(A20="",AW20="",AX20="",COUNTIF($A$6:$A$505,A20)&gt;1),"REVIEW","TO_PROPOSED"),IF(OR(B20="",A20="",E20="",G20="",I20="",U20="",AV20="",COUNTIF($A$6:$A$505,A20)&gt;1,(COUNTIFS('أرقام التواصل'!$A$6:$A$505,"client",'أرقام التواصل'!$B$6:$B$505,A20,'أرقام التواصل'!$I$6:$I$505,"TRUE")+COUNTIFS('أرقام التواصل'!$A$6:$A$505,"client",'أرقام التواصل'!$B$6:$B$505,A20,'أرقام التواصل'!$C$6:$C$505,1))=0),"REVIEW","READY"))))</f>
        <v/>
      </c>
      <c r="BA20" s="16" t="str">
        <f>IF(AZ20="","",IF(OR(AZ20="READY",AZ20="TO_PROPOSED"),"",IF(AZ20="SKIP","Skipped by decision",TRIM(IF(B20="","missing import_action; ","")&amp;IF(A20="","missing migration_customer_key; ","")&amp;IF(AND(A20&lt;&gt;"",COUNTIF($A$6:$A$505,A20)&gt;1),"duplicate migration_customer_key; ","")&amp;IF(AND(NOT(OR(B20="to_candidate",AV20="proposed_name")),E20=""),"missing branch_id; ","")&amp;IF(AND(NOT(OR(B20="to_candidate",AV20="proposed_name")),G20=""),"missing first_name; ","")&amp;IF(AND(NOT(OR(B20="to_candidate",AV20="proposed_name")),I20=""),"missing last_name; ","")&amp;IF(AND(NOT(OR(B20="to_candidate",AV20="proposed_name")),U20=""),"missing final_geo_unit_id; ","")&amp;IF(AV20="","missing final_destination; ","")&amp;IF(AND(NOT(OR(B20="to_candidate",AV20="proposed_name")),(COUNTIFS('أرقام التواصل'!$A$6:$A$505,"client",'أرقام التواصل'!$B$6:$B$505,A20,'أرقام التواصل'!$I$6:$I$505,"TRUE")+COUNTIFS('أرقام التواصل'!$A$6:$A$505,"client",'أرقام التواصل'!$B$6:$B$505,A20,'أرقام التواصل'!$C$6:$C$505,1))=0),"missing primary contact in أرقام التواصل; ","")&amp;IF(OR(B20="to_candidate",AV20="proposed_name"),IF(AW20="","missing proposed_move_reason; ","")&amp;IF(AX20="","missing proposed_name_key; ",""),"")))))</f>
        <v/>
      </c>
    </row>
    <row r="21" spans="1:53">
      <c r="A21" s="11"/>
      <c r="B21" s="12"/>
      <c r="C21" s="13"/>
      <c r="D21" s="12"/>
      <c r="E21" s="12"/>
      <c r="F21" s="12"/>
      <c r="G21" s="12"/>
      <c r="H21" s="12"/>
      <c r="I21" s="12"/>
      <c r="J21" s="12"/>
      <c r="K21" s="12" t="str">
        <f t="shared" si="0"/>
        <v/>
      </c>
      <c r="L21" s="12"/>
      <c r="M21" s="12"/>
      <c r="N21" s="12"/>
      <c r="O21" s="12"/>
      <c r="P21" s="12"/>
      <c r="Q21" s="12"/>
      <c r="R21" s="12"/>
      <c r="S21" s="12"/>
      <c r="T21" s="12"/>
      <c r="U21" s="12" t="str">
        <f>IF(AND(L21="",N21="",P21="",R21=""),"",IF(R21&lt;&gt;"",R21,IF(P21&lt;&gt;"",P21,IF(N21&lt;&gt;"",N21,L21))))</f>
        <v/>
      </c>
      <c r="V21" s="12"/>
      <c r="W21" s="14"/>
      <c r="X21" s="14"/>
      <c r="Y21" s="13"/>
      <c r="Z21" s="12"/>
      <c r="AA21" s="12"/>
      <c r="AB21" s="12"/>
      <c r="AC21" s="12"/>
      <c r="AD21" s="15"/>
      <c r="AE21" s="12"/>
      <c r="AF21" s="13"/>
      <c r="AG21" s="12"/>
      <c r="AH21" s="12"/>
      <c r="AI21" s="15"/>
      <c r="AJ21" s="12"/>
      <c r="AK21" s="12"/>
      <c r="AL21" s="12"/>
      <c r="AM21" s="12"/>
      <c r="AN21" s="12"/>
      <c r="AO21" s="12"/>
      <c r="AP21" s="12"/>
      <c r="AQ21" s="15"/>
      <c r="AR21" s="12"/>
      <c r="AS21" s="12"/>
      <c r="AT21" s="12"/>
      <c r="AU21" s="12"/>
      <c r="AV21" s="12"/>
      <c r="AW21" s="12"/>
      <c r="AX21" s="13"/>
      <c r="AY21" s="12"/>
      <c r="AZ21" s="12" t="str">
        <f>IF(AND(A21="",B21="",E21="",G21="",I21="",AV21="",AX21=""),"",IF(OR(B21="skip",AV21="skip"),"SKIP",IF(OR(B21="to_candidate",AV21="proposed_name"),IF(OR(A21="",AW21="",AX21="",COUNTIF($A$6:$A$505,A21)&gt;1),"REVIEW","TO_PROPOSED"),IF(OR(B21="",A21="",E21="",G21="",I21="",U21="",AV21="",COUNTIF($A$6:$A$505,A21)&gt;1,(COUNTIFS('أرقام التواصل'!$A$6:$A$505,"client",'أرقام التواصل'!$B$6:$B$505,A21,'أرقام التواصل'!$I$6:$I$505,"TRUE")+COUNTIFS('أرقام التواصل'!$A$6:$A$505,"client",'أرقام التواصل'!$B$6:$B$505,A21,'أرقام التواصل'!$C$6:$C$505,1))=0),"REVIEW","READY"))))</f>
        <v/>
      </c>
      <c r="BA21" s="16" t="str">
        <f>IF(AZ21="","",IF(OR(AZ21="READY",AZ21="TO_PROPOSED"),"",IF(AZ21="SKIP","Skipped by decision",TRIM(IF(B21="","missing import_action; ","")&amp;IF(A21="","missing migration_customer_key; ","")&amp;IF(AND(A21&lt;&gt;"",COUNTIF($A$6:$A$505,A21)&gt;1),"duplicate migration_customer_key; ","")&amp;IF(AND(NOT(OR(B21="to_candidate",AV21="proposed_name")),E21=""),"missing branch_id; ","")&amp;IF(AND(NOT(OR(B21="to_candidate",AV21="proposed_name")),G21=""),"missing first_name; ","")&amp;IF(AND(NOT(OR(B21="to_candidate",AV21="proposed_name")),I21=""),"missing last_name; ","")&amp;IF(AND(NOT(OR(B21="to_candidate",AV21="proposed_name")),U21=""),"missing final_geo_unit_id; ","")&amp;IF(AV21="","missing final_destination; ","")&amp;IF(AND(NOT(OR(B21="to_candidate",AV21="proposed_name")),(COUNTIFS('أرقام التواصل'!$A$6:$A$505,"client",'أرقام التواصل'!$B$6:$B$505,A21,'أرقام التواصل'!$I$6:$I$505,"TRUE")+COUNTIFS('أرقام التواصل'!$A$6:$A$505,"client",'أرقام التواصل'!$B$6:$B$505,A21,'أرقام التواصل'!$C$6:$C$505,1))=0),"missing primary contact in أرقام التواصل; ","")&amp;IF(OR(B21="to_candidate",AV21="proposed_name"),IF(AW21="","missing proposed_move_reason; ","")&amp;IF(AX21="","missing proposed_name_key; ",""),"")))))</f>
        <v/>
      </c>
    </row>
    <row r="22" spans="1:53">
      <c r="A22" s="11"/>
      <c r="B22" s="12"/>
      <c r="C22" s="13"/>
      <c r="D22" s="12"/>
      <c r="E22" s="12"/>
      <c r="F22" s="12"/>
      <c r="G22" s="12"/>
      <c r="H22" s="12"/>
      <c r="I22" s="12"/>
      <c r="J22" s="12"/>
      <c r="K22" s="12" t="str">
        <f t="shared" si="0"/>
        <v/>
      </c>
      <c r="L22" s="12"/>
      <c r="M22" s="12"/>
      <c r="N22" s="12"/>
      <c r="O22" s="12"/>
      <c r="P22" s="12"/>
      <c r="Q22" s="12"/>
      <c r="R22" s="12"/>
      <c r="S22" s="12"/>
      <c r="T22" s="12"/>
      <c r="U22" s="12" t="str">
        <f>IF(AND(L22="",N22="",P22="",R22=""),"",IF(R22&lt;&gt;"",R22,IF(P22&lt;&gt;"",P22,IF(N22&lt;&gt;"",N22,L22))))</f>
        <v/>
      </c>
      <c r="V22" s="12"/>
      <c r="W22" s="14"/>
      <c r="X22" s="14"/>
      <c r="Y22" s="13"/>
      <c r="Z22" s="12"/>
      <c r="AA22" s="12"/>
      <c r="AB22" s="12"/>
      <c r="AC22" s="12"/>
      <c r="AD22" s="15"/>
      <c r="AE22" s="12"/>
      <c r="AF22" s="13"/>
      <c r="AG22" s="12"/>
      <c r="AH22" s="12"/>
      <c r="AI22" s="15"/>
      <c r="AJ22" s="12"/>
      <c r="AK22" s="12"/>
      <c r="AL22" s="12"/>
      <c r="AM22" s="12"/>
      <c r="AN22" s="12"/>
      <c r="AO22" s="12"/>
      <c r="AP22" s="12"/>
      <c r="AQ22" s="15"/>
      <c r="AR22" s="12"/>
      <c r="AS22" s="12"/>
      <c r="AT22" s="12"/>
      <c r="AU22" s="12"/>
      <c r="AV22" s="12"/>
      <c r="AW22" s="12"/>
      <c r="AX22" s="13"/>
      <c r="AY22" s="12"/>
      <c r="AZ22" s="12" t="str">
        <f>IF(AND(A22="",B22="",E22="",G22="",I22="",AV22="",AX22=""),"",IF(OR(B22="skip",AV22="skip"),"SKIP",IF(OR(B22="to_candidate",AV22="proposed_name"),IF(OR(A22="",AW22="",AX22="",COUNTIF($A$6:$A$505,A22)&gt;1),"REVIEW","TO_PROPOSED"),IF(OR(B22="",A22="",E22="",G22="",I22="",U22="",AV22="",COUNTIF($A$6:$A$505,A22)&gt;1,(COUNTIFS('أرقام التواصل'!$A$6:$A$505,"client",'أرقام التواصل'!$B$6:$B$505,A22,'أرقام التواصل'!$I$6:$I$505,"TRUE")+COUNTIFS('أرقام التواصل'!$A$6:$A$505,"client",'أرقام التواصل'!$B$6:$B$505,A22,'أرقام التواصل'!$C$6:$C$505,1))=0),"REVIEW","READY"))))</f>
        <v/>
      </c>
      <c r="BA22" s="16" t="str">
        <f>IF(AZ22="","",IF(OR(AZ22="READY",AZ22="TO_PROPOSED"),"",IF(AZ22="SKIP","Skipped by decision",TRIM(IF(B22="","missing import_action; ","")&amp;IF(A22="","missing migration_customer_key; ","")&amp;IF(AND(A22&lt;&gt;"",COUNTIF($A$6:$A$505,A22)&gt;1),"duplicate migration_customer_key; ","")&amp;IF(AND(NOT(OR(B22="to_candidate",AV22="proposed_name")),E22=""),"missing branch_id; ","")&amp;IF(AND(NOT(OR(B22="to_candidate",AV22="proposed_name")),G22=""),"missing first_name; ","")&amp;IF(AND(NOT(OR(B22="to_candidate",AV22="proposed_name")),I22=""),"missing last_name; ","")&amp;IF(AND(NOT(OR(B22="to_candidate",AV22="proposed_name")),U22=""),"missing final_geo_unit_id; ","")&amp;IF(AV22="","missing final_destination; ","")&amp;IF(AND(NOT(OR(B22="to_candidate",AV22="proposed_name")),(COUNTIFS('أرقام التواصل'!$A$6:$A$505,"client",'أرقام التواصل'!$B$6:$B$505,A22,'أرقام التواصل'!$I$6:$I$505,"TRUE")+COUNTIFS('أرقام التواصل'!$A$6:$A$505,"client",'أرقام التواصل'!$B$6:$B$505,A22,'أرقام التواصل'!$C$6:$C$505,1))=0),"missing primary contact in أرقام التواصل; ","")&amp;IF(OR(B22="to_candidate",AV22="proposed_name"),IF(AW22="","missing proposed_move_reason; ","")&amp;IF(AX22="","missing proposed_name_key; ",""),"")))))</f>
        <v/>
      </c>
    </row>
    <row r="23" spans="1:53">
      <c r="A23" s="11"/>
      <c r="B23" s="12"/>
      <c r="C23" s="13"/>
      <c r="D23" s="12"/>
      <c r="E23" s="12"/>
      <c r="F23" s="12"/>
      <c r="G23" s="12"/>
      <c r="H23" s="12"/>
      <c r="I23" s="12"/>
      <c r="J23" s="12"/>
      <c r="K23" s="12" t="str">
        <f t="shared" si="0"/>
        <v/>
      </c>
      <c r="L23" s="12"/>
      <c r="M23" s="12"/>
      <c r="N23" s="12"/>
      <c r="O23" s="12"/>
      <c r="P23" s="12"/>
      <c r="Q23" s="12"/>
      <c r="R23" s="12"/>
      <c r="S23" s="12"/>
      <c r="T23" s="12"/>
      <c r="U23" s="12" t="str">
        <f>IF(AND(L23="",N23="",P23="",R23=""),"",IF(R23&lt;&gt;"",R23,IF(P23&lt;&gt;"",P23,IF(N23&lt;&gt;"",N23,L23))))</f>
        <v/>
      </c>
      <c r="V23" s="12"/>
      <c r="W23" s="14"/>
      <c r="X23" s="14"/>
      <c r="Y23" s="13"/>
      <c r="Z23" s="12"/>
      <c r="AA23" s="12"/>
      <c r="AB23" s="12"/>
      <c r="AC23" s="12"/>
      <c r="AD23" s="15"/>
      <c r="AE23" s="12"/>
      <c r="AF23" s="13"/>
      <c r="AG23" s="12"/>
      <c r="AH23" s="12"/>
      <c r="AI23" s="15"/>
      <c r="AJ23" s="12"/>
      <c r="AK23" s="12"/>
      <c r="AL23" s="12"/>
      <c r="AM23" s="12"/>
      <c r="AN23" s="12"/>
      <c r="AO23" s="12"/>
      <c r="AP23" s="12"/>
      <c r="AQ23" s="15"/>
      <c r="AR23" s="12"/>
      <c r="AS23" s="12"/>
      <c r="AT23" s="12"/>
      <c r="AU23" s="12"/>
      <c r="AV23" s="12"/>
      <c r="AW23" s="12"/>
      <c r="AX23" s="13"/>
      <c r="AY23" s="12"/>
      <c r="AZ23" s="12" t="str">
        <f>IF(AND(A23="",B23="",E23="",G23="",I23="",AV23="",AX23=""),"",IF(OR(B23="skip",AV23="skip"),"SKIP",IF(OR(B23="to_candidate",AV23="proposed_name"),IF(OR(A23="",AW23="",AX23="",COUNTIF($A$6:$A$505,A23)&gt;1),"REVIEW","TO_PROPOSED"),IF(OR(B23="",A23="",E23="",G23="",I23="",U23="",AV23="",COUNTIF($A$6:$A$505,A23)&gt;1,(COUNTIFS('أرقام التواصل'!$A$6:$A$505,"client",'أرقام التواصل'!$B$6:$B$505,A23,'أرقام التواصل'!$I$6:$I$505,"TRUE")+COUNTIFS('أرقام التواصل'!$A$6:$A$505,"client",'أرقام التواصل'!$B$6:$B$505,A23,'أرقام التواصل'!$C$6:$C$505,1))=0),"REVIEW","READY"))))</f>
        <v/>
      </c>
      <c r="BA23" s="16" t="str">
        <f>IF(AZ23="","",IF(OR(AZ23="READY",AZ23="TO_PROPOSED"),"",IF(AZ23="SKIP","Skipped by decision",TRIM(IF(B23="","missing import_action; ","")&amp;IF(A23="","missing migration_customer_key; ","")&amp;IF(AND(A23&lt;&gt;"",COUNTIF($A$6:$A$505,A23)&gt;1),"duplicate migration_customer_key; ","")&amp;IF(AND(NOT(OR(B23="to_candidate",AV23="proposed_name")),E23=""),"missing branch_id; ","")&amp;IF(AND(NOT(OR(B23="to_candidate",AV23="proposed_name")),G23=""),"missing first_name; ","")&amp;IF(AND(NOT(OR(B23="to_candidate",AV23="proposed_name")),I23=""),"missing last_name; ","")&amp;IF(AND(NOT(OR(B23="to_candidate",AV23="proposed_name")),U23=""),"missing final_geo_unit_id; ","")&amp;IF(AV23="","missing final_destination; ","")&amp;IF(AND(NOT(OR(B23="to_candidate",AV23="proposed_name")),(COUNTIFS('أرقام التواصل'!$A$6:$A$505,"client",'أرقام التواصل'!$B$6:$B$505,A23,'أرقام التواصل'!$I$6:$I$505,"TRUE")+COUNTIFS('أرقام التواصل'!$A$6:$A$505,"client",'أرقام التواصل'!$B$6:$B$505,A23,'أرقام التواصل'!$C$6:$C$505,1))=0),"missing primary contact in أرقام التواصل; ","")&amp;IF(OR(B23="to_candidate",AV23="proposed_name"),IF(AW23="","missing proposed_move_reason; ","")&amp;IF(AX23="","missing proposed_name_key; ",""),"")))))</f>
        <v/>
      </c>
    </row>
    <row r="24" spans="1:53">
      <c r="A24" s="11"/>
      <c r="B24" s="12"/>
      <c r="C24" s="13"/>
      <c r="D24" s="12"/>
      <c r="E24" s="12"/>
      <c r="F24" s="12"/>
      <c r="G24" s="12"/>
      <c r="H24" s="12"/>
      <c r="I24" s="12"/>
      <c r="J24" s="12"/>
      <c r="K24" s="12" t="str">
        <f t="shared" si="0"/>
        <v/>
      </c>
      <c r="L24" s="12"/>
      <c r="M24" s="12"/>
      <c r="N24" s="12"/>
      <c r="O24" s="12"/>
      <c r="P24" s="12"/>
      <c r="Q24" s="12"/>
      <c r="R24" s="12"/>
      <c r="S24" s="12"/>
      <c r="T24" s="12"/>
      <c r="U24" s="12" t="str">
        <f>IF(AND(L24="",N24="",P24="",R24=""),"",IF(R24&lt;&gt;"",R24,IF(P24&lt;&gt;"",P24,IF(N24&lt;&gt;"",N24,L24))))</f>
        <v/>
      </c>
      <c r="V24" s="12"/>
      <c r="W24" s="14"/>
      <c r="X24" s="14"/>
      <c r="Y24" s="13"/>
      <c r="Z24" s="12"/>
      <c r="AA24" s="12"/>
      <c r="AB24" s="12"/>
      <c r="AC24" s="12"/>
      <c r="AD24" s="15"/>
      <c r="AE24" s="12"/>
      <c r="AF24" s="13"/>
      <c r="AG24" s="12"/>
      <c r="AH24" s="12"/>
      <c r="AI24" s="15"/>
      <c r="AJ24" s="12"/>
      <c r="AK24" s="12"/>
      <c r="AL24" s="12"/>
      <c r="AM24" s="12"/>
      <c r="AN24" s="12"/>
      <c r="AO24" s="12"/>
      <c r="AP24" s="12"/>
      <c r="AQ24" s="15"/>
      <c r="AR24" s="12"/>
      <c r="AS24" s="12"/>
      <c r="AT24" s="12"/>
      <c r="AU24" s="12"/>
      <c r="AV24" s="12"/>
      <c r="AW24" s="12"/>
      <c r="AX24" s="13"/>
      <c r="AY24" s="12"/>
      <c r="AZ24" s="12" t="str">
        <f>IF(AND(A24="",B24="",E24="",G24="",I24="",AV24="",AX24=""),"",IF(OR(B24="skip",AV24="skip"),"SKIP",IF(OR(B24="to_candidate",AV24="proposed_name"),IF(OR(A24="",AW24="",AX24="",COUNTIF($A$6:$A$505,A24)&gt;1),"REVIEW","TO_PROPOSED"),IF(OR(B24="",A24="",E24="",G24="",I24="",U24="",AV24="",COUNTIF($A$6:$A$505,A24)&gt;1,(COUNTIFS('أرقام التواصل'!$A$6:$A$505,"client",'أرقام التواصل'!$B$6:$B$505,A24,'أرقام التواصل'!$I$6:$I$505,"TRUE")+COUNTIFS('أرقام التواصل'!$A$6:$A$505,"client",'أرقام التواصل'!$B$6:$B$505,A24,'أرقام التواصل'!$C$6:$C$505,1))=0),"REVIEW","READY"))))</f>
        <v/>
      </c>
      <c r="BA24" s="16" t="str">
        <f>IF(AZ24="","",IF(OR(AZ24="READY",AZ24="TO_PROPOSED"),"",IF(AZ24="SKIP","Skipped by decision",TRIM(IF(B24="","missing import_action; ","")&amp;IF(A24="","missing migration_customer_key; ","")&amp;IF(AND(A24&lt;&gt;"",COUNTIF($A$6:$A$505,A24)&gt;1),"duplicate migration_customer_key; ","")&amp;IF(AND(NOT(OR(B24="to_candidate",AV24="proposed_name")),E24=""),"missing branch_id; ","")&amp;IF(AND(NOT(OR(B24="to_candidate",AV24="proposed_name")),G24=""),"missing first_name; ","")&amp;IF(AND(NOT(OR(B24="to_candidate",AV24="proposed_name")),I24=""),"missing last_name; ","")&amp;IF(AND(NOT(OR(B24="to_candidate",AV24="proposed_name")),U24=""),"missing final_geo_unit_id; ","")&amp;IF(AV24="","missing final_destination; ","")&amp;IF(AND(NOT(OR(B24="to_candidate",AV24="proposed_name")),(COUNTIFS('أرقام التواصل'!$A$6:$A$505,"client",'أرقام التواصل'!$B$6:$B$505,A24,'أرقام التواصل'!$I$6:$I$505,"TRUE")+COUNTIFS('أرقام التواصل'!$A$6:$A$505,"client",'أرقام التواصل'!$B$6:$B$505,A24,'أرقام التواصل'!$C$6:$C$505,1))=0),"missing primary contact in أرقام التواصل; ","")&amp;IF(OR(B24="to_candidate",AV24="proposed_name"),IF(AW24="","missing proposed_move_reason; ","")&amp;IF(AX24="","missing proposed_name_key; ",""),"")))))</f>
        <v/>
      </c>
    </row>
    <row r="25" spans="1:53">
      <c r="A25" s="11"/>
      <c r="B25" s="12"/>
      <c r="C25" s="13"/>
      <c r="D25" s="12"/>
      <c r="E25" s="12"/>
      <c r="F25" s="12"/>
      <c r="G25" s="12"/>
      <c r="H25" s="12"/>
      <c r="I25" s="12"/>
      <c r="J25" s="12"/>
      <c r="K25" s="12" t="str">
        <f t="shared" si="0"/>
        <v/>
      </c>
      <c r="L25" s="12"/>
      <c r="M25" s="12"/>
      <c r="N25" s="12"/>
      <c r="O25" s="12"/>
      <c r="P25" s="12"/>
      <c r="Q25" s="12"/>
      <c r="R25" s="12"/>
      <c r="S25" s="12"/>
      <c r="T25" s="12"/>
      <c r="U25" s="12" t="str">
        <f>IF(AND(L25="",N25="",P25="",R25=""),"",IF(R25&lt;&gt;"",R25,IF(P25&lt;&gt;"",P25,IF(N25&lt;&gt;"",N25,L25))))</f>
        <v/>
      </c>
      <c r="V25" s="12"/>
      <c r="W25" s="14"/>
      <c r="X25" s="14"/>
      <c r="Y25" s="13"/>
      <c r="Z25" s="12"/>
      <c r="AA25" s="12"/>
      <c r="AB25" s="12"/>
      <c r="AC25" s="12"/>
      <c r="AD25" s="15"/>
      <c r="AE25" s="12"/>
      <c r="AF25" s="13"/>
      <c r="AG25" s="12"/>
      <c r="AH25" s="12"/>
      <c r="AI25" s="15"/>
      <c r="AJ25" s="12"/>
      <c r="AK25" s="12"/>
      <c r="AL25" s="12"/>
      <c r="AM25" s="12"/>
      <c r="AN25" s="12"/>
      <c r="AO25" s="12"/>
      <c r="AP25" s="12"/>
      <c r="AQ25" s="15"/>
      <c r="AR25" s="12"/>
      <c r="AS25" s="12"/>
      <c r="AT25" s="12"/>
      <c r="AU25" s="12"/>
      <c r="AV25" s="12"/>
      <c r="AW25" s="12"/>
      <c r="AX25" s="13"/>
      <c r="AY25" s="12"/>
      <c r="AZ25" s="12" t="str">
        <f>IF(AND(A25="",B25="",E25="",G25="",I25="",AV25="",AX25=""),"",IF(OR(B25="skip",AV25="skip"),"SKIP",IF(OR(B25="to_candidate",AV25="proposed_name"),IF(OR(A25="",AW25="",AX25="",COUNTIF($A$6:$A$505,A25)&gt;1),"REVIEW","TO_PROPOSED"),IF(OR(B25="",A25="",E25="",G25="",I25="",U25="",AV25="",COUNTIF($A$6:$A$505,A25)&gt;1,(COUNTIFS('أرقام التواصل'!$A$6:$A$505,"client",'أرقام التواصل'!$B$6:$B$505,A25,'أرقام التواصل'!$I$6:$I$505,"TRUE")+COUNTIFS('أرقام التواصل'!$A$6:$A$505,"client",'أرقام التواصل'!$B$6:$B$505,A25,'أرقام التواصل'!$C$6:$C$505,1))=0),"REVIEW","READY"))))</f>
        <v/>
      </c>
      <c r="BA25" s="16" t="str">
        <f>IF(AZ25="","",IF(OR(AZ25="READY",AZ25="TO_PROPOSED"),"",IF(AZ25="SKIP","Skipped by decision",TRIM(IF(B25="","missing import_action; ","")&amp;IF(A25="","missing migration_customer_key; ","")&amp;IF(AND(A25&lt;&gt;"",COUNTIF($A$6:$A$505,A25)&gt;1),"duplicate migration_customer_key; ","")&amp;IF(AND(NOT(OR(B25="to_candidate",AV25="proposed_name")),E25=""),"missing branch_id; ","")&amp;IF(AND(NOT(OR(B25="to_candidate",AV25="proposed_name")),G25=""),"missing first_name; ","")&amp;IF(AND(NOT(OR(B25="to_candidate",AV25="proposed_name")),I25=""),"missing last_name; ","")&amp;IF(AND(NOT(OR(B25="to_candidate",AV25="proposed_name")),U25=""),"missing final_geo_unit_id; ","")&amp;IF(AV25="","missing final_destination; ","")&amp;IF(AND(NOT(OR(B25="to_candidate",AV25="proposed_name")),(COUNTIFS('أرقام التواصل'!$A$6:$A$505,"client",'أرقام التواصل'!$B$6:$B$505,A25,'أرقام التواصل'!$I$6:$I$505,"TRUE")+COUNTIFS('أرقام التواصل'!$A$6:$A$505,"client",'أرقام التواصل'!$B$6:$B$505,A25,'أرقام التواصل'!$C$6:$C$505,1))=0),"missing primary contact in أرقام التواصل; ","")&amp;IF(OR(B25="to_candidate",AV25="proposed_name"),IF(AW25="","missing proposed_move_reason; ","")&amp;IF(AX25="","missing proposed_name_key; ",""),"")))))</f>
        <v/>
      </c>
    </row>
    <row r="26" spans="1:53">
      <c r="A26" s="11"/>
      <c r="B26" s="12"/>
      <c r="C26" s="13"/>
      <c r="D26" s="12"/>
      <c r="E26" s="12"/>
      <c r="F26" s="12"/>
      <c r="G26" s="12"/>
      <c r="H26" s="12"/>
      <c r="I26" s="12"/>
      <c r="J26" s="12"/>
      <c r="K26" s="12" t="str">
        <f t="shared" si="0"/>
        <v/>
      </c>
      <c r="L26" s="12"/>
      <c r="M26" s="12"/>
      <c r="N26" s="12"/>
      <c r="O26" s="12"/>
      <c r="P26" s="12"/>
      <c r="Q26" s="12"/>
      <c r="R26" s="12"/>
      <c r="S26" s="12"/>
      <c r="T26" s="12"/>
      <c r="U26" s="12" t="str">
        <f>IF(AND(L26="",N26="",P26="",R26=""),"",IF(R26&lt;&gt;"",R26,IF(P26&lt;&gt;"",P26,IF(N26&lt;&gt;"",N26,L26))))</f>
        <v/>
      </c>
      <c r="V26" s="12"/>
      <c r="W26" s="14"/>
      <c r="X26" s="14"/>
      <c r="Y26" s="13"/>
      <c r="Z26" s="12"/>
      <c r="AA26" s="12"/>
      <c r="AB26" s="12"/>
      <c r="AC26" s="12"/>
      <c r="AD26" s="15"/>
      <c r="AE26" s="12"/>
      <c r="AF26" s="13"/>
      <c r="AG26" s="12"/>
      <c r="AH26" s="12"/>
      <c r="AI26" s="15"/>
      <c r="AJ26" s="12"/>
      <c r="AK26" s="12"/>
      <c r="AL26" s="12"/>
      <c r="AM26" s="12"/>
      <c r="AN26" s="12"/>
      <c r="AO26" s="12"/>
      <c r="AP26" s="12"/>
      <c r="AQ26" s="15"/>
      <c r="AR26" s="12"/>
      <c r="AS26" s="12"/>
      <c r="AT26" s="12"/>
      <c r="AU26" s="12"/>
      <c r="AV26" s="12"/>
      <c r="AW26" s="12"/>
      <c r="AX26" s="13"/>
      <c r="AY26" s="12"/>
      <c r="AZ26" s="12" t="str">
        <f>IF(AND(A26="",B26="",E26="",G26="",I26="",AV26="",AX26=""),"",IF(OR(B26="skip",AV26="skip"),"SKIP",IF(OR(B26="to_candidate",AV26="proposed_name"),IF(OR(A26="",AW26="",AX26="",COUNTIF($A$6:$A$505,A26)&gt;1),"REVIEW","TO_PROPOSED"),IF(OR(B26="",A26="",E26="",G26="",I26="",U26="",AV26="",COUNTIF($A$6:$A$505,A26)&gt;1,(COUNTIFS('أرقام التواصل'!$A$6:$A$505,"client",'أرقام التواصل'!$B$6:$B$505,A26,'أرقام التواصل'!$I$6:$I$505,"TRUE")+COUNTIFS('أرقام التواصل'!$A$6:$A$505,"client",'أرقام التواصل'!$B$6:$B$505,A26,'أرقام التواصل'!$C$6:$C$505,1))=0),"REVIEW","READY"))))</f>
        <v/>
      </c>
      <c r="BA26" s="16" t="str">
        <f>IF(AZ26="","",IF(OR(AZ26="READY",AZ26="TO_PROPOSED"),"",IF(AZ26="SKIP","Skipped by decision",TRIM(IF(B26="","missing import_action; ","")&amp;IF(A26="","missing migration_customer_key; ","")&amp;IF(AND(A26&lt;&gt;"",COUNTIF($A$6:$A$505,A26)&gt;1),"duplicate migration_customer_key; ","")&amp;IF(AND(NOT(OR(B26="to_candidate",AV26="proposed_name")),E26=""),"missing branch_id; ","")&amp;IF(AND(NOT(OR(B26="to_candidate",AV26="proposed_name")),G26=""),"missing first_name; ","")&amp;IF(AND(NOT(OR(B26="to_candidate",AV26="proposed_name")),I26=""),"missing last_name; ","")&amp;IF(AND(NOT(OR(B26="to_candidate",AV26="proposed_name")),U26=""),"missing final_geo_unit_id; ","")&amp;IF(AV26="","missing final_destination; ","")&amp;IF(AND(NOT(OR(B26="to_candidate",AV26="proposed_name")),(COUNTIFS('أرقام التواصل'!$A$6:$A$505,"client",'أرقام التواصل'!$B$6:$B$505,A26,'أرقام التواصل'!$I$6:$I$505,"TRUE")+COUNTIFS('أرقام التواصل'!$A$6:$A$505,"client",'أرقام التواصل'!$B$6:$B$505,A26,'أرقام التواصل'!$C$6:$C$505,1))=0),"missing primary contact in أرقام التواصل; ","")&amp;IF(OR(B26="to_candidate",AV26="proposed_name"),IF(AW26="","missing proposed_move_reason; ","")&amp;IF(AX26="","missing proposed_name_key; ",""),"")))))</f>
        <v/>
      </c>
    </row>
    <row r="27" spans="1:53">
      <c r="A27" s="11"/>
      <c r="B27" s="12"/>
      <c r="C27" s="13"/>
      <c r="D27" s="12"/>
      <c r="E27" s="12"/>
      <c r="F27" s="12"/>
      <c r="G27" s="12"/>
      <c r="H27" s="12"/>
      <c r="I27" s="12"/>
      <c r="J27" s="12"/>
      <c r="K27" s="12" t="str">
        <f t="shared" si="0"/>
        <v/>
      </c>
      <c r="L27" s="12"/>
      <c r="M27" s="12"/>
      <c r="N27" s="12"/>
      <c r="O27" s="12"/>
      <c r="P27" s="12"/>
      <c r="Q27" s="12"/>
      <c r="R27" s="12"/>
      <c r="S27" s="12"/>
      <c r="T27" s="12"/>
      <c r="U27" s="12" t="str">
        <f>IF(AND(L27="",N27="",P27="",R27=""),"",IF(R27&lt;&gt;"",R27,IF(P27&lt;&gt;"",P27,IF(N27&lt;&gt;"",N27,L27))))</f>
        <v/>
      </c>
      <c r="V27" s="12"/>
      <c r="W27" s="14"/>
      <c r="X27" s="14"/>
      <c r="Y27" s="13"/>
      <c r="Z27" s="12"/>
      <c r="AA27" s="12"/>
      <c r="AB27" s="12"/>
      <c r="AC27" s="12"/>
      <c r="AD27" s="15"/>
      <c r="AE27" s="12"/>
      <c r="AF27" s="13"/>
      <c r="AG27" s="12"/>
      <c r="AH27" s="12"/>
      <c r="AI27" s="15"/>
      <c r="AJ27" s="12"/>
      <c r="AK27" s="12"/>
      <c r="AL27" s="12"/>
      <c r="AM27" s="12"/>
      <c r="AN27" s="12"/>
      <c r="AO27" s="12"/>
      <c r="AP27" s="12"/>
      <c r="AQ27" s="15"/>
      <c r="AR27" s="12"/>
      <c r="AS27" s="12"/>
      <c r="AT27" s="12"/>
      <c r="AU27" s="12"/>
      <c r="AV27" s="12"/>
      <c r="AW27" s="12"/>
      <c r="AX27" s="13"/>
      <c r="AY27" s="12"/>
      <c r="AZ27" s="12" t="str">
        <f>IF(AND(A27="",B27="",E27="",G27="",I27="",AV27="",AX27=""),"",IF(OR(B27="skip",AV27="skip"),"SKIP",IF(OR(B27="to_candidate",AV27="proposed_name"),IF(OR(A27="",AW27="",AX27="",COUNTIF($A$6:$A$505,A27)&gt;1),"REVIEW","TO_PROPOSED"),IF(OR(B27="",A27="",E27="",G27="",I27="",U27="",AV27="",COUNTIF($A$6:$A$505,A27)&gt;1,(COUNTIFS('أرقام التواصل'!$A$6:$A$505,"client",'أرقام التواصل'!$B$6:$B$505,A27,'أرقام التواصل'!$I$6:$I$505,"TRUE")+COUNTIFS('أرقام التواصل'!$A$6:$A$505,"client",'أرقام التواصل'!$B$6:$B$505,A27,'أرقام التواصل'!$C$6:$C$505,1))=0),"REVIEW","READY"))))</f>
        <v/>
      </c>
      <c r="BA27" s="16" t="str">
        <f>IF(AZ27="","",IF(OR(AZ27="READY",AZ27="TO_PROPOSED"),"",IF(AZ27="SKIP","Skipped by decision",TRIM(IF(B27="","missing import_action; ","")&amp;IF(A27="","missing migration_customer_key; ","")&amp;IF(AND(A27&lt;&gt;"",COUNTIF($A$6:$A$505,A27)&gt;1),"duplicate migration_customer_key; ","")&amp;IF(AND(NOT(OR(B27="to_candidate",AV27="proposed_name")),E27=""),"missing branch_id; ","")&amp;IF(AND(NOT(OR(B27="to_candidate",AV27="proposed_name")),G27=""),"missing first_name; ","")&amp;IF(AND(NOT(OR(B27="to_candidate",AV27="proposed_name")),I27=""),"missing last_name; ","")&amp;IF(AND(NOT(OR(B27="to_candidate",AV27="proposed_name")),U27=""),"missing final_geo_unit_id; ","")&amp;IF(AV27="","missing final_destination; ","")&amp;IF(AND(NOT(OR(B27="to_candidate",AV27="proposed_name")),(COUNTIFS('أرقام التواصل'!$A$6:$A$505,"client",'أرقام التواصل'!$B$6:$B$505,A27,'أرقام التواصل'!$I$6:$I$505,"TRUE")+COUNTIFS('أرقام التواصل'!$A$6:$A$505,"client",'أرقام التواصل'!$B$6:$B$505,A27,'أرقام التواصل'!$C$6:$C$505,1))=0),"missing primary contact in أرقام التواصل; ","")&amp;IF(OR(B27="to_candidate",AV27="proposed_name"),IF(AW27="","missing proposed_move_reason; ","")&amp;IF(AX27="","missing proposed_name_key; ",""),"")))))</f>
        <v/>
      </c>
    </row>
    <row r="28" spans="1:53">
      <c r="A28" s="11"/>
      <c r="B28" s="12"/>
      <c r="C28" s="13"/>
      <c r="D28" s="12"/>
      <c r="E28" s="12"/>
      <c r="F28" s="12"/>
      <c r="G28" s="12"/>
      <c r="H28" s="12"/>
      <c r="I28" s="12"/>
      <c r="J28" s="12"/>
      <c r="K28" s="12" t="str">
        <f t="shared" si="0"/>
        <v/>
      </c>
      <c r="L28" s="12"/>
      <c r="M28" s="12"/>
      <c r="N28" s="12"/>
      <c r="O28" s="12"/>
      <c r="P28" s="12"/>
      <c r="Q28" s="12"/>
      <c r="R28" s="12"/>
      <c r="S28" s="12"/>
      <c r="T28" s="12"/>
      <c r="U28" s="12" t="str">
        <f>IF(AND(L28="",N28="",P28="",R28=""),"",IF(R28&lt;&gt;"",R28,IF(P28&lt;&gt;"",P28,IF(N28&lt;&gt;"",N28,L28))))</f>
        <v/>
      </c>
      <c r="V28" s="12"/>
      <c r="W28" s="14"/>
      <c r="X28" s="14"/>
      <c r="Y28" s="13"/>
      <c r="Z28" s="12"/>
      <c r="AA28" s="12"/>
      <c r="AB28" s="12"/>
      <c r="AC28" s="12"/>
      <c r="AD28" s="15"/>
      <c r="AE28" s="12"/>
      <c r="AF28" s="13"/>
      <c r="AG28" s="12"/>
      <c r="AH28" s="12"/>
      <c r="AI28" s="15"/>
      <c r="AJ28" s="12"/>
      <c r="AK28" s="12"/>
      <c r="AL28" s="12"/>
      <c r="AM28" s="12"/>
      <c r="AN28" s="12"/>
      <c r="AO28" s="12"/>
      <c r="AP28" s="12"/>
      <c r="AQ28" s="15"/>
      <c r="AR28" s="12"/>
      <c r="AS28" s="12"/>
      <c r="AT28" s="12"/>
      <c r="AU28" s="12"/>
      <c r="AV28" s="12"/>
      <c r="AW28" s="12"/>
      <c r="AX28" s="13"/>
      <c r="AY28" s="12"/>
      <c r="AZ28" s="12" t="str">
        <f>IF(AND(A28="",B28="",E28="",G28="",I28="",AV28="",AX28=""),"",IF(OR(B28="skip",AV28="skip"),"SKIP",IF(OR(B28="to_candidate",AV28="proposed_name"),IF(OR(A28="",AW28="",AX28="",COUNTIF($A$6:$A$505,A28)&gt;1),"REVIEW","TO_PROPOSED"),IF(OR(B28="",A28="",E28="",G28="",I28="",U28="",AV28="",COUNTIF($A$6:$A$505,A28)&gt;1,(COUNTIFS('أرقام التواصل'!$A$6:$A$505,"client",'أرقام التواصل'!$B$6:$B$505,A28,'أرقام التواصل'!$I$6:$I$505,"TRUE")+COUNTIFS('أرقام التواصل'!$A$6:$A$505,"client",'أرقام التواصل'!$B$6:$B$505,A28,'أرقام التواصل'!$C$6:$C$505,1))=0),"REVIEW","READY"))))</f>
        <v/>
      </c>
      <c r="BA28" s="16" t="str">
        <f>IF(AZ28="","",IF(OR(AZ28="READY",AZ28="TO_PROPOSED"),"",IF(AZ28="SKIP","Skipped by decision",TRIM(IF(B28="","missing import_action; ","")&amp;IF(A28="","missing migration_customer_key; ","")&amp;IF(AND(A28&lt;&gt;"",COUNTIF($A$6:$A$505,A28)&gt;1),"duplicate migration_customer_key; ","")&amp;IF(AND(NOT(OR(B28="to_candidate",AV28="proposed_name")),E28=""),"missing branch_id; ","")&amp;IF(AND(NOT(OR(B28="to_candidate",AV28="proposed_name")),G28=""),"missing first_name; ","")&amp;IF(AND(NOT(OR(B28="to_candidate",AV28="proposed_name")),I28=""),"missing last_name; ","")&amp;IF(AND(NOT(OR(B28="to_candidate",AV28="proposed_name")),U28=""),"missing final_geo_unit_id; ","")&amp;IF(AV28="","missing final_destination; ","")&amp;IF(AND(NOT(OR(B28="to_candidate",AV28="proposed_name")),(COUNTIFS('أرقام التواصل'!$A$6:$A$505,"client",'أرقام التواصل'!$B$6:$B$505,A28,'أرقام التواصل'!$I$6:$I$505,"TRUE")+COUNTIFS('أرقام التواصل'!$A$6:$A$505,"client",'أرقام التواصل'!$B$6:$B$505,A28,'أرقام التواصل'!$C$6:$C$505,1))=0),"missing primary contact in أرقام التواصل; ","")&amp;IF(OR(B28="to_candidate",AV28="proposed_name"),IF(AW28="","missing proposed_move_reason; ","")&amp;IF(AX28="","missing proposed_name_key; ",""),"")))))</f>
        <v/>
      </c>
    </row>
    <row r="29" spans="1:53">
      <c r="A29" s="11"/>
      <c r="B29" s="12"/>
      <c r="C29" s="13"/>
      <c r="D29" s="12"/>
      <c r="E29" s="12"/>
      <c r="F29" s="12"/>
      <c r="G29" s="12"/>
      <c r="H29" s="12"/>
      <c r="I29" s="12"/>
      <c r="J29" s="12"/>
      <c r="K29" s="12" t="str">
        <f t="shared" si="0"/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 t="str">
        <f>IF(AND(L29="",N29="",P29="",R29=""),"",IF(R29&lt;&gt;"",R29,IF(P29&lt;&gt;"",P29,IF(N29&lt;&gt;"",N29,L29))))</f>
        <v/>
      </c>
      <c r="V29" s="12"/>
      <c r="W29" s="14"/>
      <c r="X29" s="14"/>
      <c r="Y29" s="13"/>
      <c r="Z29" s="12"/>
      <c r="AA29" s="12"/>
      <c r="AB29" s="12"/>
      <c r="AC29" s="12"/>
      <c r="AD29" s="15"/>
      <c r="AE29" s="12"/>
      <c r="AF29" s="13"/>
      <c r="AG29" s="12"/>
      <c r="AH29" s="12"/>
      <c r="AI29" s="15"/>
      <c r="AJ29" s="12"/>
      <c r="AK29" s="12"/>
      <c r="AL29" s="12"/>
      <c r="AM29" s="12"/>
      <c r="AN29" s="12"/>
      <c r="AO29" s="12"/>
      <c r="AP29" s="12"/>
      <c r="AQ29" s="15"/>
      <c r="AR29" s="12"/>
      <c r="AS29" s="12"/>
      <c r="AT29" s="12"/>
      <c r="AU29" s="12"/>
      <c r="AV29" s="12"/>
      <c r="AW29" s="12"/>
      <c r="AX29" s="13"/>
      <c r="AY29" s="12"/>
      <c r="AZ29" s="12" t="str">
        <f>IF(AND(A29="",B29="",E29="",G29="",I29="",AV29="",AX29=""),"",IF(OR(B29="skip",AV29="skip"),"SKIP",IF(OR(B29="to_candidate",AV29="proposed_name"),IF(OR(A29="",AW29="",AX29="",COUNTIF($A$6:$A$505,A29)&gt;1),"REVIEW","TO_PROPOSED"),IF(OR(B29="",A29="",E29="",G29="",I29="",U29="",AV29="",COUNTIF($A$6:$A$505,A29)&gt;1,(COUNTIFS('أرقام التواصل'!$A$6:$A$505,"client",'أرقام التواصل'!$B$6:$B$505,A29,'أرقام التواصل'!$I$6:$I$505,"TRUE")+COUNTIFS('أرقام التواصل'!$A$6:$A$505,"client",'أرقام التواصل'!$B$6:$B$505,A29,'أرقام التواصل'!$C$6:$C$505,1))=0),"REVIEW","READY"))))</f>
        <v/>
      </c>
      <c r="BA29" s="16" t="str">
        <f>IF(AZ29="","",IF(OR(AZ29="READY",AZ29="TO_PROPOSED"),"",IF(AZ29="SKIP","Skipped by decision",TRIM(IF(B29="","missing import_action; ","")&amp;IF(A29="","missing migration_customer_key; ","")&amp;IF(AND(A29&lt;&gt;"",COUNTIF($A$6:$A$505,A29)&gt;1),"duplicate migration_customer_key; ","")&amp;IF(AND(NOT(OR(B29="to_candidate",AV29="proposed_name")),E29=""),"missing branch_id; ","")&amp;IF(AND(NOT(OR(B29="to_candidate",AV29="proposed_name")),G29=""),"missing first_name; ","")&amp;IF(AND(NOT(OR(B29="to_candidate",AV29="proposed_name")),I29=""),"missing last_name; ","")&amp;IF(AND(NOT(OR(B29="to_candidate",AV29="proposed_name")),U29=""),"missing final_geo_unit_id; ","")&amp;IF(AV29="","missing final_destination; ","")&amp;IF(AND(NOT(OR(B29="to_candidate",AV29="proposed_name")),(COUNTIFS('أرقام التواصل'!$A$6:$A$505,"client",'أرقام التواصل'!$B$6:$B$505,A29,'أرقام التواصل'!$I$6:$I$505,"TRUE")+COUNTIFS('أرقام التواصل'!$A$6:$A$505,"client",'أرقام التواصل'!$B$6:$B$505,A29,'أرقام التواصل'!$C$6:$C$505,1))=0),"missing primary contact in أرقام التواصل; ","")&amp;IF(OR(B29="to_candidate",AV29="proposed_name"),IF(AW29="","missing proposed_move_reason; ","")&amp;IF(AX29="","missing proposed_name_key; ",""),"")))))</f>
        <v/>
      </c>
    </row>
    <row r="30" spans="1:53">
      <c r="A30" s="11"/>
      <c r="B30" s="12"/>
      <c r="C30" s="13"/>
      <c r="D30" s="12"/>
      <c r="E30" s="12"/>
      <c r="F30" s="12"/>
      <c r="G30" s="12"/>
      <c r="H30" s="12"/>
      <c r="I30" s="12"/>
      <c r="J30" s="12"/>
      <c r="K30" s="12" t="str">
        <f t="shared" si="0"/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 t="str">
        <f>IF(AND(L30="",N30="",P30="",R30=""),"",IF(R30&lt;&gt;"",R30,IF(P30&lt;&gt;"",P30,IF(N30&lt;&gt;"",N30,L30))))</f>
        <v/>
      </c>
      <c r="V30" s="12"/>
      <c r="W30" s="14"/>
      <c r="X30" s="14"/>
      <c r="Y30" s="13"/>
      <c r="Z30" s="12"/>
      <c r="AA30" s="12"/>
      <c r="AB30" s="12"/>
      <c r="AC30" s="12"/>
      <c r="AD30" s="15"/>
      <c r="AE30" s="12"/>
      <c r="AF30" s="13"/>
      <c r="AG30" s="12"/>
      <c r="AH30" s="12"/>
      <c r="AI30" s="15"/>
      <c r="AJ30" s="12"/>
      <c r="AK30" s="12"/>
      <c r="AL30" s="12"/>
      <c r="AM30" s="12"/>
      <c r="AN30" s="12"/>
      <c r="AO30" s="12"/>
      <c r="AP30" s="12"/>
      <c r="AQ30" s="15"/>
      <c r="AR30" s="12"/>
      <c r="AS30" s="12"/>
      <c r="AT30" s="12"/>
      <c r="AU30" s="12"/>
      <c r="AV30" s="12"/>
      <c r="AW30" s="12"/>
      <c r="AX30" s="13"/>
      <c r="AY30" s="12"/>
      <c r="AZ30" s="12" t="str">
        <f>IF(AND(A30="",B30="",E30="",G30="",I30="",AV30="",AX30=""),"",IF(OR(B30="skip",AV30="skip"),"SKIP",IF(OR(B30="to_candidate",AV30="proposed_name"),IF(OR(A30="",AW30="",AX30="",COUNTIF($A$6:$A$505,A30)&gt;1),"REVIEW","TO_PROPOSED"),IF(OR(B30="",A30="",E30="",G30="",I30="",U30="",AV30="",COUNTIF($A$6:$A$505,A30)&gt;1,(COUNTIFS('أرقام التواصل'!$A$6:$A$505,"client",'أرقام التواصل'!$B$6:$B$505,A30,'أرقام التواصل'!$I$6:$I$505,"TRUE")+COUNTIFS('أرقام التواصل'!$A$6:$A$505,"client",'أرقام التواصل'!$B$6:$B$505,A30,'أرقام التواصل'!$C$6:$C$505,1))=0),"REVIEW","READY"))))</f>
        <v/>
      </c>
      <c r="BA30" s="16" t="str">
        <f>IF(AZ30="","",IF(OR(AZ30="READY",AZ30="TO_PROPOSED"),"",IF(AZ30="SKIP","Skipped by decision",TRIM(IF(B30="","missing import_action; ","")&amp;IF(A30="","missing migration_customer_key; ","")&amp;IF(AND(A30&lt;&gt;"",COUNTIF($A$6:$A$505,A30)&gt;1),"duplicate migration_customer_key; ","")&amp;IF(AND(NOT(OR(B30="to_candidate",AV30="proposed_name")),E30=""),"missing branch_id; ","")&amp;IF(AND(NOT(OR(B30="to_candidate",AV30="proposed_name")),G30=""),"missing first_name; ","")&amp;IF(AND(NOT(OR(B30="to_candidate",AV30="proposed_name")),I30=""),"missing last_name; ","")&amp;IF(AND(NOT(OR(B30="to_candidate",AV30="proposed_name")),U30=""),"missing final_geo_unit_id; ","")&amp;IF(AV30="","missing final_destination; ","")&amp;IF(AND(NOT(OR(B30="to_candidate",AV30="proposed_name")),(COUNTIFS('أرقام التواصل'!$A$6:$A$505,"client",'أرقام التواصل'!$B$6:$B$505,A30,'أرقام التواصل'!$I$6:$I$505,"TRUE")+COUNTIFS('أرقام التواصل'!$A$6:$A$505,"client",'أرقام التواصل'!$B$6:$B$505,A30,'أرقام التواصل'!$C$6:$C$505,1))=0),"missing primary contact in أرقام التواصل; ","")&amp;IF(OR(B30="to_candidate",AV30="proposed_name"),IF(AW30="","missing proposed_move_reason; ","")&amp;IF(AX30="","missing proposed_name_key; ",""),"")))))</f>
        <v/>
      </c>
    </row>
    <row r="31" spans="1:53">
      <c r="A31" s="11"/>
      <c r="B31" s="12"/>
      <c r="C31" s="13"/>
      <c r="D31" s="12"/>
      <c r="E31" s="12"/>
      <c r="F31" s="12"/>
      <c r="G31" s="12"/>
      <c r="H31" s="12"/>
      <c r="I31" s="12"/>
      <c r="J31" s="12"/>
      <c r="K31" s="12" t="str">
        <f t="shared" si="0"/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 t="str">
        <f>IF(AND(L31="",N31="",P31="",R31=""),"",IF(R31&lt;&gt;"",R31,IF(P31&lt;&gt;"",P31,IF(N31&lt;&gt;"",N31,L31))))</f>
        <v/>
      </c>
      <c r="V31" s="12"/>
      <c r="W31" s="14"/>
      <c r="X31" s="14"/>
      <c r="Y31" s="13"/>
      <c r="Z31" s="12"/>
      <c r="AA31" s="12"/>
      <c r="AB31" s="12"/>
      <c r="AC31" s="12"/>
      <c r="AD31" s="15"/>
      <c r="AE31" s="12"/>
      <c r="AF31" s="13"/>
      <c r="AG31" s="12"/>
      <c r="AH31" s="12"/>
      <c r="AI31" s="15"/>
      <c r="AJ31" s="12"/>
      <c r="AK31" s="12"/>
      <c r="AL31" s="12"/>
      <c r="AM31" s="12"/>
      <c r="AN31" s="12"/>
      <c r="AO31" s="12"/>
      <c r="AP31" s="12"/>
      <c r="AQ31" s="15"/>
      <c r="AR31" s="12"/>
      <c r="AS31" s="12"/>
      <c r="AT31" s="12"/>
      <c r="AU31" s="12"/>
      <c r="AV31" s="12"/>
      <c r="AW31" s="12"/>
      <c r="AX31" s="13"/>
      <c r="AY31" s="12"/>
      <c r="AZ31" s="12" t="str">
        <f>IF(AND(A31="",B31="",E31="",G31="",I31="",AV31="",AX31=""),"",IF(OR(B31="skip",AV31="skip"),"SKIP",IF(OR(B31="to_candidate",AV31="proposed_name"),IF(OR(A31="",AW31="",AX31="",COUNTIF($A$6:$A$505,A31)&gt;1),"REVIEW","TO_PROPOSED"),IF(OR(B31="",A31="",E31="",G31="",I31="",U31="",AV31="",COUNTIF($A$6:$A$505,A31)&gt;1,(COUNTIFS('أرقام التواصل'!$A$6:$A$505,"client",'أرقام التواصل'!$B$6:$B$505,A31,'أرقام التواصل'!$I$6:$I$505,"TRUE")+COUNTIFS('أرقام التواصل'!$A$6:$A$505,"client",'أرقام التواصل'!$B$6:$B$505,A31,'أرقام التواصل'!$C$6:$C$505,1))=0),"REVIEW","READY"))))</f>
        <v/>
      </c>
      <c r="BA31" s="16" t="str">
        <f>IF(AZ31="","",IF(OR(AZ31="READY",AZ31="TO_PROPOSED"),"",IF(AZ31="SKIP","Skipped by decision",TRIM(IF(B31="","missing import_action; ","")&amp;IF(A31="","missing migration_customer_key; ","")&amp;IF(AND(A31&lt;&gt;"",COUNTIF($A$6:$A$505,A31)&gt;1),"duplicate migration_customer_key; ","")&amp;IF(AND(NOT(OR(B31="to_candidate",AV31="proposed_name")),E31=""),"missing branch_id; ","")&amp;IF(AND(NOT(OR(B31="to_candidate",AV31="proposed_name")),G31=""),"missing first_name; ","")&amp;IF(AND(NOT(OR(B31="to_candidate",AV31="proposed_name")),I31=""),"missing last_name; ","")&amp;IF(AND(NOT(OR(B31="to_candidate",AV31="proposed_name")),U31=""),"missing final_geo_unit_id; ","")&amp;IF(AV31="","missing final_destination; ","")&amp;IF(AND(NOT(OR(B31="to_candidate",AV31="proposed_name")),(COUNTIFS('أرقام التواصل'!$A$6:$A$505,"client",'أرقام التواصل'!$B$6:$B$505,A31,'أرقام التواصل'!$I$6:$I$505,"TRUE")+COUNTIFS('أرقام التواصل'!$A$6:$A$505,"client",'أرقام التواصل'!$B$6:$B$505,A31,'أرقام التواصل'!$C$6:$C$505,1))=0),"missing primary contact in أرقام التواصل; ","")&amp;IF(OR(B31="to_candidate",AV31="proposed_name"),IF(AW31="","missing proposed_move_reason; ","")&amp;IF(AX31="","missing proposed_name_key; ",""),"")))))</f>
        <v/>
      </c>
    </row>
    <row r="32" spans="1:53">
      <c r="A32" s="11"/>
      <c r="B32" s="12"/>
      <c r="C32" s="13"/>
      <c r="D32" s="12"/>
      <c r="E32" s="12"/>
      <c r="F32" s="12"/>
      <c r="G32" s="12"/>
      <c r="H32" s="12"/>
      <c r="I32" s="12"/>
      <c r="J32" s="12"/>
      <c r="K32" s="12" t="str">
        <f t="shared" si="0"/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 t="str">
        <f>IF(AND(L32="",N32="",P32="",R32=""),"",IF(R32&lt;&gt;"",R32,IF(P32&lt;&gt;"",P32,IF(N32&lt;&gt;"",N32,L32))))</f>
        <v/>
      </c>
      <c r="V32" s="12"/>
      <c r="W32" s="14"/>
      <c r="X32" s="14"/>
      <c r="Y32" s="13"/>
      <c r="Z32" s="12"/>
      <c r="AA32" s="12"/>
      <c r="AB32" s="12"/>
      <c r="AC32" s="12"/>
      <c r="AD32" s="15"/>
      <c r="AE32" s="12"/>
      <c r="AF32" s="13"/>
      <c r="AG32" s="12"/>
      <c r="AH32" s="12"/>
      <c r="AI32" s="15"/>
      <c r="AJ32" s="12"/>
      <c r="AK32" s="12"/>
      <c r="AL32" s="12"/>
      <c r="AM32" s="12"/>
      <c r="AN32" s="12"/>
      <c r="AO32" s="12"/>
      <c r="AP32" s="12"/>
      <c r="AQ32" s="15"/>
      <c r="AR32" s="12"/>
      <c r="AS32" s="12"/>
      <c r="AT32" s="12"/>
      <c r="AU32" s="12"/>
      <c r="AV32" s="12"/>
      <c r="AW32" s="12"/>
      <c r="AX32" s="13"/>
      <c r="AY32" s="12"/>
      <c r="AZ32" s="12" t="str">
        <f>IF(AND(A32="",B32="",E32="",G32="",I32="",AV32="",AX32=""),"",IF(OR(B32="skip",AV32="skip"),"SKIP",IF(OR(B32="to_candidate",AV32="proposed_name"),IF(OR(A32="",AW32="",AX32="",COUNTIF($A$6:$A$505,A32)&gt;1),"REVIEW","TO_PROPOSED"),IF(OR(B32="",A32="",E32="",G32="",I32="",U32="",AV32="",COUNTIF($A$6:$A$505,A32)&gt;1,(COUNTIFS('أرقام التواصل'!$A$6:$A$505,"client",'أرقام التواصل'!$B$6:$B$505,A32,'أرقام التواصل'!$I$6:$I$505,"TRUE")+COUNTIFS('أرقام التواصل'!$A$6:$A$505,"client",'أرقام التواصل'!$B$6:$B$505,A32,'أرقام التواصل'!$C$6:$C$505,1))=0),"REVIEW","READY"))))</f>
        <v/>
      </c>
      <c r="BA32" s="16" t="str">
        <f>IF(AZ32="","",IF(OR(AZ32="READY",AZ32="TO_PROPOSED"),"",IF(AZ32="SKIP","Skipped by decision",TRIM(IF(B32="","missing import_action; ","")&amp;IF(A32="","missing migration_customer_key; ","")&amp;IF(AND(A32&lt;&gt;"",COUNTIF($A$6:$A$505,A32)&gt;1),"duplicate migration_customer_key; ","")&amp;IF(AND(NOT(OR(B32="to_candidate",AV32="proposed_name")),E32=""),"missing branch_id; ","")&amp;IF(AND(NOT(OR(B32="to_candidate",AV32="proposed_name")),G32=""),"missing first_name; ","")&amp;IF(AND(NOT(OR(B32="to_candidate",AV32="proposed_name")),I32=""),"missing last_name; ","")&amp;IF(AND(NOT(OR(B32="to_candidate",AV32="proposed_name")),U32=""),"missing final_geo_unit_id; ","")&amp;IF(AV32="","missing final_destination; ","")&amp;IF(AND(NOT(OR(B32="to_candidate",AV32="proposed_name")),(COUNTIFS('أرقام التواصل'!$A$6:$A$505,"client",'أرقام التواصل'!$B$6:$B$505,A32,'أرقام التواصل'!$I$6:$I$505,"TRUE")+COUNTIFS('أرقام التواصل'!$A$6:$A$505,"client",'أرقام التواصل'!$B$6:$B$505,A32,'أرقام التواصل'!$C$6:$C$505,1))=0),"missing primary contact in أرقام التواصل; ","")&amp;IF(OR(B32="to_candidate",AV32="proposed_name"),IF(AW32="","missing proposed_move_reason; ","")&amp;IF(AX32="","missing proposed_name_key; ",""),"")))))</f>
        <v/>
      </c>
    </row>
    <row r="33" spans="1:53">
      <c r="A33" s="11"/>
      <c r="B33" s="12"/>
      <c r="C33" s="13"/>
      <c r="D33" s="12"/>
      <c r="E33" s="12"/>
      <c r="F33" s="12"/>
      <c r="G33" s="12"/>
      <c r="H33" s="12"/>
      <c r="I33" s="12"/>
      <c r="J33" s="12"/>
      <c r="K33" s="12" t="str">
        <f t="shared" si="0"/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 t="str">
        <f>IF(AND(L33="",N33="",P33="",R33=""),"",IF(R33&lt;&gt;"",R33,IF(P33&lt;&gt;"",P33,IF(N33&lt;&gt;"",N33,L33))))</f>
        <v/>
      </c>
      <c r="V33" s="12"/>
      <c r="W33" s="14"/>
      <c r="X33" s="14"/>
      <c r="Y33" s="13"/>
      <c r="Z33" s="12"/>
      <c r="AA33" s="12"/>
      <c r="AB33" s="12"/>
      <c r="AC33" s="12"/>
      <c r="AD33" s="15"/>
      <c r="AE33" s="12"/>
      <c r="AF33" s="13"/>
      <c r="AG33" s="12"/>
      <c r="AH33" s="12"/>
      <c r="AI33" s="15"/>
      <c r="AJ33" s="12"/>
      <c r="AK33" s="12"/>
      <c r="AL33" s="12"/>
      <c r="AM33" s="12"/>
      <c r="AN33" s="12"/>
      <c r="AO33" s="12"/>
      <c r="AP33" s="12"/>
      <c r="AQ33" s="15"/>
      <c r="AR33" s="12"/>
      <c r="AS33" s="12"/>
      <c r="AT33" s="12"/>
      <c r="AU33" s="12"/>
      <c r="AV33" s="12"/>
      <c r="AW33" s="12"/>
      <c r="AX33" s="13"/>
      <c r="AY33" s="12"/>
      <c r="AZ33" s="12" t="str">
        <f>IF(AND(A33="",B33="",E33="",G33="",I33="",AV33="",AX33=""),"",IF(OR(B33="skip",AV33="skip"),"SKIP",IF(OR(B33="to_candidate",AV33="proposed_name"),IF(OR(A33="",AW33="",AX33="",COUNTIF($A$6:$A$505,A33)&gt;1),"REVIEW","TO_PROPOSED"),IF(OR(B33="",A33="",E33="",G33="",I33="",U33="",AV33="",COUNTIF($A$6:$A$505,A33)&gt;1,(COUNTIFS('أرقام التواصل'!$A$6:$A$505,"client",'أرقام التواصل'!$B$6:$B$505,A33,'أرقام التواصل'!$I$6:$I$505,"TRUE")+COUNTIFS('أرقام التواصل'!$A$6:$A$505,"client",'أرقام التواصل'!$B$6:$B$505,A33,'أرقام التواصل'!$C$6:$C$505,1))=0),"REVIEW","READY"))))</f>
        <v/>
      </c>
      <c r="BA33" s="16" t="str">
        <f>IF(AZ33="","",IF(OR(AZ33="READY",AZ33="TO_PROPOSED"),"",IF(AZ33="SKIP","Skipped by decision",TRIM(IF(B33="","missing import_action; ","")&amp;IF(A33="","missing migration_customer_key; ","")&amp;IF(AND(A33&lt;&gt;"",COUNTIF($A$6:$A$505,A33)&gt;1),"duplicate migration_customer_key; ","")&amp;IF(AND(NOT(OR(B33="to_candidate",AV33="proposed_name")),E33=""),"missing branch_id; ","")&amp;IF(AND(NOT(OR(B33="to_candidate",AV33="proposed_name")),G33=""),"missing first_name; ","")&amp;IF(AND(NOT(OR(B33="to_candidate",AV33="proposed_name")),I33=""),"missing last_name; ","")&amp;IF(AND(NOT(OR(B33="to_candidate",AV33="proposed_name")),U33=""),"missing final_geo_unit_id; ","")&amp;IF(AV33="","missing final_destination; ","")&amp;IF(AND(NOT(OR(B33="to_candidate",AV33="proposed_name")),(COUNTIFS('أرقام التواصل'!$A$6:$A$505,"client",'أرقام التواصل'!$B$6:$B$505,A33,'أرقام التواصل'!$I$6:$I$505,"TRUE")+COUNTIFS('أرقام التواصل'!$A$6:$A$505,"client",'أرقام التواصل'!$B$6:$B$505,A33,'أرقام التواصل'!$C$6:$C$505,1))=0),"missing primary contact in أرقام التواصل; ","")&amp;IF(OR(B33="to_candidate",AV33="proposed_name"),IF(AW33="","missing proposed_move_reason; ","")&amp;IF(AX33="","missing proposed_name_key; ",""),"")))))</f>
        <v/>
      </c>
    </row>
    <row r="34" spans="1:53">
      <c r="A34" s="11"/>
      <c r="B34" s="12"/>
      <c r="C34" s="13"/>
      <c r="D34" s="12"/>
      <c r="E34" s="12"/>
      <c r="F34" s="12"/>
      <c r="G34" s="12"/>
      <c r="H34" s="12"/>
      <c r="I34" s="12"/>
      <c r="J34" s="12"/>
      <c r="K34" s="12" t="str">
        <f t="shared" si="0"/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 t="str">
        <f>IF(AND(L34="",N34="",P34="",R34=""),"",IF(R34&lt;&gt;"",R34,IF(P34&lt;&gt;"",P34,IF(N34&lt;&gt;"",N34,L34))))</f>
        <v/>
      </c>
      <c r="V34" s="12"/>
      <c r="W34" s="14"/>
      <c r="X34" s="14"/>
      <c r="Y34" s="13"/>
      <c r="Z34" s="12"/>
      <c r="AA34" s="12"/>
      <c r="AB34" s="12"/>
      <c r="AC34" s="12"/>
      <c r="AD34" s="15"/>
      <c r="AE34" s="12"/>
      <c r="AF34" s="13"/>
      <c r="AG34" s="12"/>
      <c r="AH34" s="12"/>
      <c r="AI34" s="15"/>
      <c r="AJ34" s="12"/>
      <c r="AK34" s="12"/>
      <c r="AL34" s="12"/>
      <c r="AM34" s="12"/>
      <c r="AN34" s="12"/>
      <c r="AO34" s="12"/>
      <c r="AP34" s="12"/>
      <c r="AQ34" s="15"/>
      <c r="AR34" s="12"/>
      <c r="AS34" s="12"/>
      <c r="AT34" s="12"/>
      <c r="AU34" s="12"/>
      <c r="AV34" s="12"/>
      <c r="AW34" s="12"/>
      <c r="AX34" s="13"/>
      <c r="AY34" s="12"/>
      <c r="AZ34" s="12" t="str">
        <f>IF(AND(A34="",B34="",E34="",G34="",I34="",AV34="",AX34=""),"",IF(OR(B34="skip",AV34="skip"),"SKIP",IF(OR(B34="to_candidate",AV34="proposed_name"),IF(OR(A34="",AW34="",AX34="",COUNTIF($A$6:$A$505,A34)&gt;1),"REVIEW","TO_PROPOSED"),IF(OR(B34="",A34="",E34="",G34="",I34="",U34="",AV34="",COUNTIF($A$6:$A$505,A34)&gt;1,(COUNTIFS('أرقام التواصل'!$A$6:$A$505,"client",'أرقام التواصل'!$B$6:$B$505,A34,'أرقام التواصل'!$I$6:$I$505,"TRUE")+COUNTIFS('أرقام التواصل'!$A$6:$A$505,"client",'أرقام التواصل'!$B$6:$B$505,A34,'أرقام التواصل'!$C$6:$C$505,1))=0),"REVIEW","READY"))))</f>
        <v/>
      </c>
      <c r="BA34" s="16" t="str">
        <f>IF(AZ34="","",IF(OR(AZ34="READY",AZ34="TO_PROPOSED"),"",IF(AZ34="SKIP","Skipped by decision",TRIM(IF(B34="","missing import_action; ","")&amp;IF(A34="","missing migration_customer_key; ","")&amp;IF(AND(A34&lt;&gt;"",COUNTIF($A$6:$A$505,A34)&gt;1),"duplicate migration_customer_key; ","")&amp;IF(AND(NOT(OR(B34="to_candidate",AV34="proposed_name")),E34=""),"missing branch_id; ","")&amp;IF(AND(NOT(OR(B34="to_candidate",AV34="proposed_name")),G34=""),"missing first_name; ","")&amp;IF(AND(NOT(OR(B34="to_candidate",AV34="proposed_name")),I34=""),"missing last_name; ","")&amp;IF(AND(NOT(OR(B34="to_candidate",AV34="proposed_name")),U34=""),"missing final_geo_unit_id; ","")&amp;IF(AV34="","missing final_destination; ","")&amp;IF(AND(NOT(OR(B34="to_candidate",AV34="proposed_name")),(COUNTIFS('أرقام التواصل'!$A$6:$A$505,"client",'أرقام التواصل'!$B$6:$B$505,A34,'أرقام التواصل'!$I$6:$I$505,"TRUE")+COUNTIFS('أرقام التواصل'!$A$6:$A$505,"client",'أرقام التواصل'!$B$6:$B$505,A34,'أرقام التواصل'!$C$6:$C$505,1))=0),"missing primary contact in أرقام التواصل; ","")&amp;IF(OR(B34="to_candidate",AV34="proposed_name"),IF(AW34="","missing proposed_move_reason; ","")&amp;IF(AX34="","missing proposed_name_key; ",""),"")))))</f>
        <v/>
      </c>
    </row>
    <row r="35" spans="1:53">
      <c r="A35" s="11"/>
      <c r="B35" s="12"/>
      <c r="C35" s="13"/>
      <c r="D35" s="12"/>
      <c r="E35" s="12"/>
      <c r="F35" s="12"/>
      <c r="G35" s="12"/>
      <c r="H35" s="12"/>
      <c r="I35" s="12"/>
      <c r="J35" s="12"/>
      <c r="K35" s="12" t="str">
        <f t="shared" si="0"/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 t="str">
        <f>IF(AND(L35="",N35="",P35="",R35=""),"",IF(R35&lt;&gt;"",R35,IF(P35&lt;&gt;"",P35,IF(N35&lt;&gt;"",N35,L35))))</f>
        <v/>
      </c>
      <c r="V35" s="12"/>
      <c r="W35" s="14"/>
      <c r="X35" s="14"/>
      <c r="Y35" s="13"/>
      <c r="Z35" s="12"/>
      <c r="AA35" s="12"/>
      <c r="AB35" s="12"/>
      <c r="AC35" s="12"/>
      <c r="AD35" s="15"/>
      <c r="AE35" s="12"/>
      <c r="AF35" s="13"/>
      <c r="AG35" s="12"/>
      <c r="AH35" s="12"/>
      <c r="AI35" s="15"/>
      <c r="AJ35" s="12"/>
      <c r="AK35" s="12"/>
      <c r="AL35" s="12"/>
      <c r="AM35" s="12"/>
      <c r="AN35" s="12"/>
      <c r="AO35" s="12"/>
      <c r="AP35" s="12"/>
      <c r="AQ35" s="15"/>
      <c r="AR35" s="12"/>
      <c r="AS35" s="12"/>
      <c r="AT35" s="12"/>
      <c r="AU35" s="12"/>
      <c r="AV35" s="12"/>
      <c r="AW35" s="12"/>
      <c r="AX35" s="13"/>
      <c r="AY35" s="12"/>
      <c r="AZ35" s="12" t="str">
        <f>IF(AND(A35="",B35="",E35="",G35="",I35="",AV35="",AX35=""),"",IF(OR(B35="skip",AV35="skip"),"SKIP",IF(OR(B35="to_candidate",AV35="proposed_name"),IF(OR(A35="",AW35="",AX35="",COUNTIF($A$6:$A$505,A35)&gt;1),"REVIEW","TO_PROPOSED"),IF(OR(B35="",A35="",E35="",G35="",I35="",U35="",AV35="",COUNTIF($A$6:$A$505,A35)&gt;1,(COUNTIFS('أرقام التواصل'!$A$6:$A$505,"client",'أرقام التواصل'!$B$6:$B$505,A35,'أرقام التواصل'!$I$6:$I$505,"TRUE")+COUNTIFS('أرقام التواصل'!$A$6:$A$505,"client",'أرقام التواصل'!$B$6:$B$505,A35,'أرقام التواصل'!$C$6:$C$505,1))=0),"REVIEW","READY"))))</f>
        <v/>
      </c>
      <c r="BA35" s="16" t="str">
        <f>IF(AZ35="","",IF(OR(AZ35="READY",AZ35="TO_PROPOSED"),"",IF(AZ35="SKIP","Skipped by decision",TRIM(IF(B35="","missing import_action; ","")&amp;IF(A35="","missing migration_customer_key; ","")&amp;IF(AND(A35&lt;&gt;"",COUNTIF($A$6:$A$505,A35)&gt;1),"duplicate migration_customer_key; ","")&amp;IF(AND(NOT(OR(B35="to_candidate",AV35="proposed_name")),E35=""),"missing branch_id; ","")&amp;IF(AND(NOT(OR(B35="to_candidate",AV35="proposed_name")),G35=""),"missing first_name; ","")&amp;IF(AND(NOT(OR(B35="to_candidate",AV35="proposed_name")),I35=""),"missing last_name; ","")&amp;IF(AND(NOT(OR(B35="to_candidate",AV35="proposed_name")),U35=""),"missing final_geo_unit_id; ","")&amp;IF(AV35="","missing final_destination; ","")&amp;IF(AND(NOT(OR(B35="to_candidate",AV35="proposed_name")),(COUNTIFS('أرقام التواصل'!$A$6:$A$505,"client",'أرقام التواصل'!$B$6:$B$505,A35,'أرقام التواصل'!$I$6:$I$505,"TRUE")+COUNTIFS('أرقام التواصل'!$A$6:$A$505,"client",'أرقام التواصل'!$B$6:$B$505,A35,'أرقام التواصل'!$C$6:$C$505,1))=0),"missing primary contact in أرقام التواصل; ","")&amp;IF(OR(B35="to_candidate",AV35="proposed_name"),IF(AW35="","missing proposed_move_reason; ","")&amp;IF(AX35="","missing proposed_name_key; ",""),"")))))</f>
        <v/>
      </c>
    </row>
    <row r="36" spans="1:53">
      <c r="A36" s="11"/>
      <c r="B36" s="12"/>
      <c r="C36" s="13"/>
      <c r="D36" s="12"/>
      <c r="E36" s="12"/>
      <c r="F36" s="12"/>
      <c r="G36" s="12"/>
      <c r="H36" s="12"/>
      <c r="I36" s="12"/>
      <c r="J36" s="12"/>
      <c r="K36" s="12" t="str">
        <f t="shared" si="0"/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 t="str">
        <f>IF(AND(L36="",N36="",P36="",R36=""),"",IF(R36&lt;&gt;"",R36,IF(P36&lt;&gt;"",P36,IF(N36&lt;&gt;"",N36,L36))))</f>
        <v/>
      </c>
      <c r="V36" s="12"/>
      <c r="W36" s="14"/>
      <c r="X36" s="14"/>
      <c r="Y36" s="13"/>
      <c r="Z36" s="12"/>
      <c r="AA36" s="12"/>
      <c r="AB36" s="12"/>
      <c r="AC36" s="12"/>
      <c r="AD36" s="15"/>
      <c r="AE36" s="12"/>
      <c r="AF36" s="13"/>
      <c r="AG36" s="12"/>
      <c r="AH36" s="12"/>
      <c r="AI36" s="15"/>
      <c r="AJ36" s="12"/>
      <c r="AK36" s="12"/>
      <c r="AL36" s="12"/>
      <c r="AM36" s="12"/>
      <c r="AN36" s="12"/>
      <c r="AO36" s="12"/>
      <c r="AP36" s="12"/>
      <c r="AQ36" s="15"/>
      <c r="AR36" s="12"/>
      <c r="AS36" s="12"/>
      <c r="AT36" s="12"/>
      <c r="AU36" s="12"/>
      <c r="AV36" s="12"/>
      <c r="AW36" s="12"/>
      <c r="AX36" s="13"/>
      <c r="AY36" s="12"/>
      <c r="AZ36" s="12" t="str">
        <f>IF(AND(A36="",B36="",E36="",G36="",I36="",AV36="",AX36=""),"",IF(OR(B36="skip",AV36="skip"),"SKIP",IF(OR(B36="to_candidate",AV36="proposed_name"),IF(OR(A36="",AW36="",AX36="",COUNTIF($A$6:$A$505,A36)&gt;1),"REVIEW","TO_PROPOSED"),IF(OR(B36="",A36="",E36="",G36="",I36="",U36="",AV36="",COUNTIF($A$6:$A$505,A36)&gt;1,(COUNTIFS('أرقام التواصل'!$A$6:$A$505,"client",'أرقام التواصل'!$B$6:$B$505,A36,'أرقام التواصل'!$I$6:$I$505,"TRUE")+COUNTIFS('أرقام التواصل'!$A$6:$A$505,"client",'أرقام التواصل'!$B$6:$B$505,A36,'أرقام التواصل'!$C$6:$C$505,1))=0),"REVIEW","READY"))))</f>
        <v/>
      </c>
      <c r="BA36" s="16" t="str">
        <f>IF(AZ36="","",IF(OR(AZ36="READY",AZ36="TO_PROPOSED"),"",IF(AZ36="SKIP","Skipped by decision",TRIM(IF(B36="","missing import_action; ","")&amp;IF(A36="","missing migration_customer_key; ","")&amp;IF(AND(A36&lt;&gt;"",COUNTIF($A$6:$A$505,A36)&gt;1),"duplicate migration_customer_key; ","")&amp;IF(AND(NOT(OR(B36="to_candidate",AV36="proposed_name")),E36=""),"missing branch_id; ","")&amp;IF(AND(NOT(OR(B36="to_candidate",AV36="proposed_name")),G36=""),"missing first_name; ","")&amp;IF(AND(NOT(OR(B36="to_candidate",AV36="proposed_name")),I36=""),"missing last_name; ","")&amp;IF(AND(NOT(OR(B36="to_candidate",AV36="proposed_name")),U36=""),"missing final_geo_unit_id; ","")&amp;IF(AV36="","missing final_destination; ","")&amp;IF(AND(NOT(OR(B36="to_candidate",AV36="proposed_name")),(COUNTIFS('أرقام التواصل'!$A$6:$A$505,"client",'أرقام التواصل'!$B$6:$B$505,A36,'أرقام التواصل'!$I$6:$I$505,"TRUE")+COUNTIFS('أرقام التواصل'!$A$6:$A$505,"client",'أرقام التواصل'!$B$6:$B$505,A36,'أرقام التواصل'!$C$6:$C$505,1))=0),"missing primary contact in أرقام التواصل; ","")&amp;IF(OR(B36="to_candidate",AV36="proposed_name"),IF(AW36="","missing proposed_move_reason; ","")&amp;IF(AX36="","missing proposed_name_key; ",""),"")))))</f>
        <v/>
      </c>
    </row>
    <row r="37" spans="1:53">
      <c r="A37" s="11"/>
      <c r="B37" s="12"/>
      <c r="C37" s="13"/>
      <c r="D37" s="12"/>
      <c r="E37" s="12"/>
      <c r="F37" s="12"/>
      <c r="G37" s="12"/>
      <c r="H37" s="12"/>
      <c r="I37" s="12"/>
      <c r="J37" s="12"/>
      <c r="K37" s="12" t="str">
        <f t="shared" si="0"/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 t="str">
        <f>IF(AND(L37="",N37="",P37="",R37=""),"",IF(R37&lt;&gt;"",R37,IF(P37&lt;&gt;"",P37,IF(N37&lt;&gt;"",N37,L37))))</f>
        <v/>
      </c>
      <c r="V37" s="12"/>
      <c r="W37" s="14"/>
      <c r="X37" s="14"/>
      <c r="Y37" s="13"/>
      <c r="Z37" s="12"/>
      <c r="AA37" s="12"/>
      <c r="AB37" s="12"/>
      <c r="AC37" s="12"/>
      <c r="AD37" s="15"/>
      <c r="AE37" s="12"/>
      <c r="AF37" s="13"/>
      <c r="AG37" s="12"/>
      <c r="AH37" s="12"/>
      <c r="AI37" s="15"/>
      <c r="AJ37" s="12"/>
      <c r="AK37" s="12"/>
      <c r="AL37" s="12"/>
      <c r="AM37" s="12"/>
      <c r="AN37" s="12"/>
      <c r="AO37" s="12"/>
      <c r="AP37" s="12"/>
      <c r="AQ37" s="15"/>
      <c r="AR37" s="12"/>
      <c r="AS37" s="12"/>
      <c r="AT37" s="12"/>
      <c r="AU37" s="12"/>
      <c r="AV37" s="12"/>
      <c r="AW37" s="12"/>
      <c r="AX37" s="13"/>
      <c r="AY37" s="12"/>
      <c r="AZ37" s="12" t="str">
        <f>IF(AND(A37="",B37="",E37="",G37="",I37="",AV37="",AX37=""),"",IF(OR(B37="skip",AV37="skip"),"SKIP",IF(OR(B37="to_candidate",AV37="proposed_name"),IF(OR(A37="",AW37="",AX37="",COUNTIF($A$6:$A$505,A37)&gt;1),"REVIEW","TO_PROPOSED"),IF(OR(B37="",A37="",E37="",G37="",I37="",U37="",AV37="",COUNTIF($A$6:$A$505,A37)&gt;1,(COUNTIFS('أرقام التواصل'!$A$6:$A$505,"client",'أرقام التواصل'!$B$6:$B$505,A37,'أرقام التواصل'!$I$6:$I$505,"TRUE")+COUNTIFS('أرقام التواصل'!$A$6:$A$505,"client",'أرقام التواصل'!$B$6:$B$505,A37,'أرقام التواصل'!$C$6:$C$505,1))=0),"REVIEW","READY"))))</f>
        <v/>
      </c>
      <c r="BA37" s="16" t="str">
        <f>IF(AZ37="","",IF(OR(AZ37="READY",AZ37="TO_PROPOSED"),"",IF(AZ37="SKIP","Skipped by decision",TRIM(IF(B37="","missing import_action; ","")&amp;IF(A37="","missing migration_customer_key; ","")&amp;IF(AND(A37&lt;&gt;"",COUNTIF($A$6:$A$505,A37)&gt;1),"duplicate migration_customer_key; ","")&amp;IF(AND(NOT(OR(B37="to_candidate",AV37="proposed_name")),E37=""),"missing branch_id; ","")&amp;IF(AND(NOT(OR(B37="to_candidate",AV37="proposed_name")),G37=""),"missing first_name; ","")&amp;IF(AND(NOT(OR(B37="to_candidate",AV37="proposed_name")),I37=""),"missing last_name; ","")&amp;IF(AND(NOT(OR(B37="to_candidate",AV37="proposed_name")),U37=""),"missing final_geo_unit_id; ","")&amp;IF(AV37="","missing final_destination; ","")&amp;IF(AND(NOT(OR(B37="to_candidate",AV37="proposed_name")),(COUNTIFS('أرقام التواصل'!$A$6:$A$505,"client",'أرقام التواصل'!$B$6:$B$505,A37,'أرقام التواصل'!$I$6:$I$505,"TRUE")+COUNTIFS('أرقام التواصل'!$A$6:$A$505,"client",'أرقام التواصل'!$B$6:$B$505,A37,'أرقام التواصل'!$C$6:$C$505,1))=0),"missing primary contact in أرقام التواصل; ","")&amp;IF(OR(B37="to_candidate",AV37="proposed_name"),IF(AW37="","missing proposed_move_reason; ","")&amp;IF(AX37="","missing proposed_name_key; ",""),"")))))</f>
        <v/>
      </c>
    </row>
    <row r="38" spans="1:53">
      <c r="A38" s="11"/>
      <c r="B38" s="12"/>
      <c r="C38" s="13"/>
      <c r="D38" s="12"/>
      <c r="E38" s="12"/>
      <c r="F38" s="12"/>
      <c r="G38" s="12"/>
      <c r="H38" s="12"/>
      <c r="I38" s="12"/>
      <c r="J38" s="12"/>
      <c r="K38" s="12" t="str">
        <f t="shared" si="0"/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 t="str">
        <f>IF(AND(L38="",N38="",P38="",R38=""),"",IF(R38&lt;&gt;"",R38,IF(P38&lt;&gt;"",P38,IF(N38&lt;&gt;"",N38,L38))))</f>
        <v/>
      </c>
      <c r="V38" s="12"/>
      <c r="W38" s="14"/>
      <c r="X38" s="14"/>
      <c r="Y38" s="13"/>
      <c r="Z38" s="12"/>
      <c r="AA38" s="12"/>
      <c r="AB38" s="12"/>
      <c r="AC38" s="12"/>
      <c r="AD38" s="15"/>
      <c r="AE38" s="12"/>
      <c r="AF38" s="13"/>
      <c r="AG38" s="12"/>
      <c r="AH38" s="12"/>
      <c r="AI38" s="15"/>
      <c r="AJ38" s="12"/>
      <c r="AK38" s="12"/>
      <c r="AL38" s="12"/>
      <c r="AM38" s="12"/>
      <c r="AN38" s="12"/>
      <c r="AO38" s="12"/>
      <c r="AP38" s="12"/>
      <c r="AQ38" s="15"/>
      <c r="AR38" s="12"/>
      <c r="AS38" s="12"/>
      <c r="AT38" s="12"/>
      <c r="AU38" s="12"/>
      <c r="AV38" s="12"/>
      <c r="AW38" s="12"/>
      <c r="AX38" s="13"/>
      <c r="AY38" s="12"/>
      <c r="AZ38" s="12" t="str">
        <f>IF(AND(A38="",B38="",E38="",G38="",I38="",AV38="",AX38=""),"",IF(OR(B38="skip",AV38="skip"),"SKIP",IF(OR(B38="to_candidate",AV38="proposed_name"),IF(OR(A38="",AW38="",AX38="",COUNTIF($A$6:$A$505,A38)&gt;1),"REVIEW","TO_PROPOSED"),IF(OR(B38="",A38="",E38="",G38="",I38="",U38="",AV38="",COUNTIF($A$6:$A$505,A38)&gt;1,(COUNTIFS('أرقام التواصل'!$A$6:$A$505,"client",'أرقام التواصل'!$B$6:$B$505,A38,'أرقام التواصل'!$I$6:$I$505,"TRUE")+COUNTIFS('أرقام التواصل'!$A$6:$A$505,"client",'أرقام التواصل'!$B$6:$B$505,A38,'أرقام التواصل'!$C$6:$C$505,1))=0),"REVIEW","READY"))))</f>
        <v/>
      </c>
      <c r="BA38" s="16" t="str">
        <f>IF(AZ38="","",IF(OR(AZ38="READY",AZ38="TO_PROPOSED"),"",IF(AZ38="SKIP","Skipped by decision",TRIM(IF(B38="","missing import_action; ","")&amp;IF(A38="","missing migration_customer_key; ","")&amp;IF(AND(A38&lt;&gt;"",COUNTIF($A$6:$A$505,A38)&gt;1),"duplicate migration_customer_key; ","")&amp;IF(AND(NOT(OR(B38="to_candidate",AV38="proposed_name")),E38=""),"missing branch_id; ","")&amp;IF(AND(NOT(OR(B38="to_candidate",AV38="proposed_name")),G38=""),"missing first_name; ","")&amp;IF(AND(NOT(OR(B38="to_candidate",AV38="proposed_name")),I38=""),"missing last_name; ","")&amp;IF(AND(NOT(OR(B38="to_candidate",AV38="proposed_name")),U38=""),"missing final_geo_unit_id; ","")&amp;IF(AV38="","missing final_destination; ","")&amp;IF(AND(NOT(OR(B38="to_candidate",AV38="proposed_name")),(COUNTIFS('أرقام التواصل'!$A$6:$A$505,"client",'أرقام التواصل'!$B$6:$B$505,A38,'أرقام التواصل'!$I$6:$I$505,"TRUE")+COUNTIFS('أرقام التواصل'!$A$6:$A$505,"client",'أرقام التواصل'!$B$6:$B$505,A38,'أرقام التواصل'!$C$6:$C$505,1))=0),"missing primary contact in أرقام التواصل; ","")&amp;IF(OR(B38="to_candidate",AV38="proposed_name"),IF(AW38="","missing proposed_move_reason; ","")&amp;IF(AX38="","missing proposed_name_key; ",""),"")))))</f>
        <v/>
      </c>
    </row>
    <row r="39" spans="1:53">
      <c r="A39" s="11"/>
      <c r="B39" s="12"/>
      <c r="C39" s="13"/>
      <c r="D39" s="12"/>
      <c r="E39" s="12"/>
      <c r="F39" s="12"/>
      <c r="G39" s="12"/>
      <c r="H39" s="12"/>
      <c r="I39" s="12"/>
      <c r="J39" s="12"/>
      <c r="K39" s="12" t="str">
        <f t="shared" si="0"/>
        <v/>
      </c>
      <c r="L39" s="12"/>
      <c r="M39" s="12"/>
      <c r="N39" s="12"/>
      <c r="O39" s="12"/>
      <c r="P39" s="12"/>
      <c r="Q39" s="12"/>
      <c r="R39" s="12"/>
      <c r="S39" s="12"/>
      <c r="T39" s="12"/>
      <c r="U39" s="12" t="str">
        <f>IF(AND(L39="",N39="",P39="",R39=""),"",IF(R39&lt;&gt;"",R39,IF(P39&lt;&gt;"",P39,IF(N39&lt;&gt;"",N39,L39))))</f>
        <v/>
      </c>
      <c r="V39" s="12"/>
      <c r="W39" s="14"/>
      <c r="X39" s="14"/>
      <c r="Y39" s="13"/>
      <c r="Z39" s="12"/>
      <c r="AA39" s="12"/>
      <c r="AB39" s="12"/>
      <c r="AC39" s="12"/>
      <c r="AD39" s="15"/>
      <c r="AE39" s="12"/>
      <c r="AF39" s="13"/>
      <c r="AG39" s="12"/>
      <c r="AH39" s="12"/>
      <c r="AI39" s="15"/>
      <c r="AJ39" s="12"/>
      <c r="AK39" s="12"/>
      <c r="AL39" s="12"/>
      <c r="AM39" s="12"/>
      <c r="AN39" s="12"/>
      <c r="AO39" s="12"/>
      <c r="AP39" s="12"/>
      <c r="AQ39" s="15"/>
      <c r="AR39" s="12"/>
      <c r="AS39" s="12"/>
      <c r="AT39" s="12"/>
      <c r="AU39" s="12"/>
      <c r="AV39" s="12"/>
      <c r="AW39" s="12"/>
      <c r="AX39" s="13"/>
      <c r="AY39" s="12"/>
      <c r="AZ39" s="12" t="str">
        <f>IF(AND(A39="",B39="",E39="",G39="",I39="",AV39="",AX39=""),"",IF(OR(B39="skip",AV39="skip"),"SKIP",IF(OR(B39="to_candidate",AV39="proposed_name"),IF(OR(A39="",AW39="",AX39="",COUNTIF($A$6:$A$505,A39)&gt;1),"REVIEW","TO_PROPOSED"),IF(OR(B39="",A39="",E39="",G39="",I39="",U39="",AV39="",COUNTIF($A$6:$A$505,A39)&gt;1,(COUNTIFS('أرقام التواصل'!$A$6:$A$505,"client",'أرقام التواصل'!$B$6:$B$505,A39,'أرقام التواصل'!$I$6:$I$505,"TRUE")+COUNTIFS('أرقام التواصل'!$A$6:$A$505,"client",'أرقام التواصل'!$B$6:$B$505,A39,'أرقام التواصل'!$C$6:$C$505,1))=0),"REVIEW","READY"))))</f>
        <v/>
      </c>
      <c r="BA39" s="16" t="str">
        <f>IF(AZ39="","",IF(OR(AZ39="READY",AZ39="TO_PROPOSED"),"",IF(AZ39="SKIP","Skipped by decision",TRIM(IF(B39="","missing import_action; ","")&amp;IF(A39="","missing migration_customer_key; ","")&amp;IF(AND(A39&lt;&gt;"",COUNTIF($A$6:$A$505,A39)&gt;1),"duplicate migration_customer_key; ","")&amp;IF(AND(NOT(OR(B39="to_candidate",AV39="proposed_name")),E39=""),"missing branch_id; ","")&amp;IF(AND(NOT(OR(B39="to_candidate",AV39="proposed_name")),G39=""),"missing first_name; ","")&amp;IF(AND(NOT(OR(B39="to_candidate",AV39="proposed_name")),I39=""),"missing last_name; ","")&amp;IF(AND(NOT(OR(B39="to_candidate",AV39="proposed_name")),U39=""),"missing final_geo_unit_id; ","")&amp;IF(AV39="","missing final_destination; ","")&amp;IF(AND(NOT(OR(B39="to_candidate",AV39="proposed_name")),(COUNTIFS('أرقام التواصل'!$A$6:$A$505,"client",'أرقام التواصل'!$B$6:$B$505,A39,'أرقام التواصل'!$I$6:$I$505,"TRUE")+COUNTIFS('أرقام التواصل'!$A$6:$A$505,"client",'أرقام التواصل'!$B$6:$B$505,A39,'أرقام التواصل'!$C$6:$C$505,1))=0),"missing primary contact in أرقام التواصل; ","")&amp;IF(OR(B39="to_candidate",AV39="proposed_name"),IF(AW39="","missing proposed_move_reason; ","")&amp;IF(AX39="","missing proposed_name_key; ",""),"")))))</f>
        <v/>
      </c>
    </row>
    <row r="40" spans="1:53">
      <c r="A40" s="11"/>
      <c r="B40" s="12"/>
      <c r="C40" s="13"/>
      <c r="D40" s="12"/>
      <c r="E40" s="12"/>
      <c r="F40" s="12"/>
      <c r="G40" s="12"/>
      <c r="H40" s="12"/>
      <c r="I40" s="12"/>
      <c r="J40" s="12"/>
      <c r="K40" s="12" t="str">
        <f t="shared" si="0"/>
        <v/>
      </c>
      <c r="L40" s="12"/>
      <c r="M40" s="12"/>
      <c r="N40" s="12"/>
      <c r="O40" s="12"/>
      <c r="P40" s="12"/>
      <c r="Q40" s="12"/>
      <c r="R40" s="12"/>
      <c r="S40" s="12"/>
      <c r="T40" s="12"/>
      <c r="U40" s="12" t="str">
        <f>IF(AND(L40="",N40="",P40="",R40=""),"",IF(R40&lt;&gt;"",R40,IF(P40&lt;&gt;"",P40,IF(N40&lt;&gt;"",N40,L40))))</f>
        <v/>
      </c>
      <c r="V40" s="12"/>
      <c r="W40" s="14"/>
      <c r="X40" s="14"/>
      <c r="Y40" s="13"/>
      <c r="Z40" s="12"/>
      <c r="AA40" s="12"/>
      <c r="AB40" s="12"/>
      <c r="AC40" s="12"/>
      <c r="AD40" s="15"/>
      <c r="AE40" s="12"/>
      <c r="AF40" s="13"/>
      <c r="AG40" s="12"/>
      <c r="AH40" s="12"/>
      <c r="AI40" s="15"/>
      <c r="AJ40" s="12"/>
      <c r="AK40" s="12"/>
      <c r="AL40" s="12"/>
      <c r="AM40" s="12"/>
      <c r="AN40" s="12"/>
      <c r="AO40" s="12"/>
      <c r="AP40" s="12"/>
      <c r="AQ40" s="15"/>
      <c r="AR40" s="12"/>
      <c r="AS40" s="12"/>
      <c r="AT40" s="12"/>
      <c r="AU40" s="12"/>
      <c r="AV40" s="12"/>
      <c r="AW40" s="12"/>
      <c r="AX40" s="13"/>
      <c r="AY40" s="12"/>
      <c r="AZ40" s="12" t="str">
        <f>IF(AND(A40="",B40="",E40="",G40="",I40="",AV40="",AX40=""),"",IF(OR(B40="skip",AV40="skip"),"SKIP",IF(OR(B40="to_candidate",AV40="proposed_name"),IF(OR(A40="",AW40="",AX40="",COUNTIF($A$6:$A$505,A40)&gt;1),"REVIEW","TO_PROPOSED"),IF(OR(B40="",A40="",E40="",G40="",I40="",U40="",AV40="",COUNTIF($A$6:$A$505,A40)&gt;1,(COUNTIFS('أرقام التواصل'!$A$6:$A$505,"client",'أرقام التواصل'!$B$6:$B$505,A40,'أرقام التواصل'!$I$6:$I$505,"TRUE")+COUNTIFS('أرقام التواصل'!$A$6:$A$505,"client",'أرقام التواصل'!$B$6:$B$505,A40,'أرقام التواصل'!$C$6:$C$505,1))=0),"REVIEW","READY"))))</f>
        <v/>
      </c>
      <c r="BA40" s="16" t="str">
        <f>IF(AZ40="","",IF(OR(AZ40="READY",AZ40="TO_PROPOSED"),"",IF(AZ40="SKIP","Skipped by decision",TRIM(IF(B40="","missing import_action; ","")&amp;IF(A40="","missing migration_customer_key; ","")&amp;IF(AND(A40&lt;&gt;"",COUNTIF($A$6:$A$505,A40)&gt;1),"duplicate migration_customer_key; ","")&amp;IF(AND(NOT(OR(B40="to_candidate",AV40="proposed_name")),E40=""),"missing branch_id; ","")&amp;IF(AND(NOT(OR(B40="to_candidate",AV40="proposed_name")),G40=""),"missing first_name; ","")&amp;IF(AND(NOT(OR(B40="to_candidate",AV40="proposed_name")),I40=""),"missing last_name; ","")&amp;IF(AND(NOT(OR(B40="to_candidate",AV40="proposed_name")),U40=""),"missing final_geo_unit_id; ","")&amp;IF(AV40="","missing final_destination; ","")&amp;IF(AND(NOT(OR(B40="to_candidate",AV40="proposed_name")),(COUNTIFS('أرقام التواصل'!$A$6:$A$505,"client",'أرقام التواصل'!$B$6:$B$505,A40,'أرقام التواصل'!$I$6:$I$505,"TRUE")+COUNTIFS('أرقام التواصل'!$A$6:$A$505,"client",'أرقام التواصل'!$B$6:$B$505,A40,'أرقام التواصل'!$C$6:$C$505,1))=0),"missing primary contact in أرقام التواصل; ","")&amp;IF(OR(B40="to_candidate",AV40="proposed_name"),IF(AW40="","missing proposed_move_reason; ","")&amp;IF(AX40="","missing proposed_name_key; ",""),"")))))</f>
        <v/>
      </c>
    </row>
    <row r="41" spans="1:53">
      <c r="A41" s="11"/>
      <c r="B41" s="12"/>
      <c r="C41" s="13"/>
      <c r="D41" s="12"/>
      <c r="E41" s="12"/>
      <c r="F41" s="12"/>
      <c r="G41" s="12"/>
      <c r="H41" s="12"/>
      <c r="I41" s="12"/>
      <c r="J41" s="12"/>
      <c r="K41" s="12" t="str">
        <f t="shared" si="0"/>
        <v/>
      </c>
      <c r="L41" s="12"/>
      <c r="M41" s="12"/>
      <c r="N41" s="12"/>
      <c r="O41" s="12"/>
      <c r="P41" s="12"/>
      <c r="Q41" s="12"/>
      <c r="R41" s="12"/>
      <c r="S41" s="12"/>
      <c r="T41" s="12"/>
      <c r="U41" s="12" t="str">
        <f>IF(AND(L41="",N41="",P41="",R41=""),"",IF(R41&lt;&gt;"",R41,IF(P41&lt;&gt;"",P41,IF(N41&lt;&gt;"",N41,L41))))</f>
        <v/>
      </c>
      <c r="V41" s="12"/>
      <c r="W41" s="14"/>
      <c r="X41" s="14"/>
      <c r="Y41" s="13"/>
      <c r="Z41" s="12"/>
      <c r="AA41" s="12"/>
      <c r="AB41" s="12"/>
      <c r="AC41" s="12"/>
      <c r="AD41" s="15"/>
      <c r="AE41" s="12"/>
      <c r="AF41" s="13"/>
      <c r="AG41" s="12"/>
      <c r="AH41" s="12"/>
      <c r="AI41" s="15"/>
      <c r="AJ41" s="12"/>
      <c r="AK41" s="12"/>
      <c r="AL41" s="12"/>
      <c r="AM41" s="12"/>
      <c r="AN41" s="12"/>
      <c r="AO41" s="12"/>
      <c r="AP41" s="12"/>
      <c r="AQ41" s="15"/>
      <c r="AR41" s="12"/>
      <c r="AS41" s="12"/>
      <c r="AT41" s="12"/>
      <c r="AU41" s="12"/>
      <c r="AV41" s="12"/>
      <c r="AW41" s="12"/>
      <c r="AX41" s="13"/>
      <c r="AY41" s="12"/>
      <c r="AZ41" s="12" t="str">
        <f>IF(AND(A41="",B41="",E41="",G41="",I41="",AV41="",AX41=""),"",IF(OR(B41="skip",AV41="skip"),"SKIP",IF(OR(B41="to_candidate",AV41="proposed_name"),IF(OR(A41="",AW41="",AX41="",COUNTIF($A$6:$A$505,A41)&gt;1),"REVIEW","TO_PROPOSED"),IF(OR(B41="",A41="",E41="",G41="",I41="",U41="",AV41="",COUNTIF($A$6:$A$505,A41)&gt;1,(COUNTIFS('أرقام التواصل'!$A$6:$A$505,"client",'أرقام التواصل'!$B$6:$B$505,A41,'أرقام التواصل'!$I$6:$I$505,"TRUE")+COUNTIFS('أرقام التواصل'!$A$6:$A$505,"client",'أرقام التواصل'!$B$6:$B$505,A41,'أرقام التواصل'!$C$6:$C$505,1))=0),"REVIEW","READY"))))</f>
        <v/>
      </c>
      <c r="BA41" s="16" t="str">
        <f>IF(AZ41="","",IF(OR(AZ41="READY",AZ41="TO_PROPOSED"),"",IF(AZ41="SKIP","Skipped by decision",TRIM(IF(B41="","missing import_action; ","")&amp;IF(A41="","missing migration_customer_key; ","")&amp;IF(AND(A41&lt;&gt;"",COUNTIF($A$6:$A$505,A41)&gt;1),"duplicate migration_customer_key; ","")&amp;IF(AND(NOT(OR(B41="to_candidate",AV41="proposed_name")),E41=""),"missing branch_id; ","")&amp;IF(AND(NOT(OR(B41="to_candidate",AV41="proposed_name")),G41=""),"missing first_name; ","")&amp;IF(AND(NOT(OR(B41="to_candidate",AV41="proposed_name")),I41=""),"missing last_name; ","")&amp;IF(AND(NOT(OR(B41="to_candidate",AV41="proposed_name")),U41=""),"missing final_geo_unit_id; ","")&amp;IF(AV41="","missing final_destination; ","")&amp;IF(AND(NOT(OR(B41="to_candidate",AV41="proposed_name")),(COUNTIFS('أرقام التواصل'!$A$6:$A$505,"client",'أرقام التواصل'!$B$6:$B$505,A41,'أرقام التواصل'!$I$6:$I$505,"TRUE")+COUNTIFS('أرقام التواصل'!$A$6:$A$505,"client",'أرقام التواصل'!$B$6:$B$505,A41,'أرقام التواصل'!$C$6:$C$505,1))=0),"missing primary contact in أرقام التواصل; ","")&amp;IF(OR(B41="to_candidate",AV41="proposed_name"),IF(AW41="","missing proposed_move_reason; ","")&amp;IF(AX41="","missing proposed_name_key; ",""),"")))))</f>
        <v/>
      </c>
    </row>
    <row r="42" spans="1:53">
      <c r="A42" s="11"/>
      <c r="B42" s="12"/>
      <c r="C42" s="13"/>
      <c r="D42" s="12"/>
      <c r="E42" s="12"/>
      <c r="F42" s="12"/>
      <c r="G42" s="12"/>
      <c r="H42" s="12"/>
      <c r="I42" s="12"/>
      <c r="J42" s="12"/>
      <c r="K42" s="12" t="str">
        <f t="shared" si="0"/>
        <v/>
      </c>
      <c r="L42" s="12"/>
      <c r="M42" s="12"/>
      <c r="N42" s="12"/>
      <c r="O42" s="12"/>
      <c r="P42" s="12"/>
      <c r="Q42" s="12"/>
      <c r="R42" s="12"/>
      <c r="S42" s="12"/>
      <c r="T42" s="12"/>
      <c r="U42" s="12" t="str">
        <f>IF(AND(L42="",N42="",P42="",R42=""),"",IF(R42&lt;&gt;"",R42,IF(P42&lt;&gt;"",P42,IF(N42&lt;&gt;"",N42,L42))))</f>
        <v/>
      </c>
      <c r="V42" s="12"/>
      <c r="W42" s="14"/>
      <c r="X42" s="14"/>
      <c r="Y42" s="13"/>
      <c r="Z42" s="12"/>
      <c r="AA42" s="12"/>
      <c r="AB42" s="12"/>
      <c r="AC42" s="12"/>
      <c r="AD42" s="15"/>
      <c r="AE42" s="12"/>
      <c r="AF42" s="13"/>
      <c r="AG42" s="12"/>
      <c r="AH42" s="12"/>
      <c r="AI42" s="15"/>
      <c r="AJ42" s="12"/>
      <c r="AK42" s="12"/>
      <c r="AL42" s="12"/>
      <c r="AM42" s="12"/>
      <c r="AN42" s="12"/>
      <c r="AO42" s="12"/>
      <c r="AP42" s="12"/>
      <c r="AQ42" s="15"/>
      <c r="AR42" s="12"/>
      <c r="AS42" s="12"/>
      <c r="AT42" s="12"/>
      <c r="AU42" s="12"/>
      <c r="AV42" s="12"/>
      <c r="AW42" s="12"/>
      <c r="AX42" s="13"/>
      <c r="AY42" s="12"/>
      <c r="AZ42" s="12" t="str">
        <f>IF(AND(A42="",B42="",E42="",G42="",I42="",AV42="",AX42=""),"",IF(OR(B42="skip",AV42="skip"),"SKIP",IF(OR(B42="to_candidate",AV42="proposed_name"),IF(OR(A42="",AW42="",AX42="",COUNTIF($A$6:$A$505,A42)&gt;1),"REVIEW","TO_PROPOSED"),IF(OR(B42="",A42="",E42="",G42="",I42="",U42="",AV42="",COUNTIF($A$6:$A$505,A42)&gt;1,(COUNTIFS('أرقام التواصل'!$A$6:$A$505,"client",'أرقام التواصل'!$B$6:$B$505,A42,'أرقام التواصل'!$I$6:$I$505,"TRUE")+COUNTIFS('أرقام التواصل'!$A$6:$A$505,"client",'أرقام التواصل'!$B$6:$B$505,A42,'أرقام التواصل'!$C$6:$C$505,1))=0),"REVIEW","READY"))))</f>
        <v/>
      </c>
      <c r="BA42" s="16" t="str">
        <f>IF(AZ42="","",IF(OR(AZ42="READY",AZ42="TO_PROPOSED"),"",IF(AZ42="SKIP","Skipped by decision",TRIM(IF(B42="","missing import_action; ","")&amp;IF(A42="","missing migration_customer_key; ","")&amp;IF(AND(A42&lt;&gt;"",COUNTIF($A$6:$A$505,A42)&gt;1),"duplicate migration_customer_key; ","")&amp;IF(AND(NOT(OR(B42="to_candidate",AV42="proposed_name")),E42=""),"missing branch_id; ","")&amp;IF(AND(NOT(OR(B42="to_candidate",AV42="proposed_name")),G42=""),"missing first_name; ","")&amp;IF(AND(NOT(OR(B42="to_candidate",AV42="proposed_name")),I42=""),"missing last_name; ","")&amp;IF(AND(NOT(OR(B42="to_candidate",AV42="proposed_name")),U42=""),"missing final_geo_unit_id; ","")&amp;IF(AV42="","missing final_destination; ","")&amp;IF(AND(NOT(OR(B42="to_candidate",AV42="proposed_name")),(COUNTIFS('أرقام التواصل'!$A$6:$A$505,"client",'أرقام التواصل'!$B$6:$B$505,A42,'أرقام التواصل'!$I$6:$I$505,"TRUE")+COUNTIFS('أرقام التواصل'!$A$6:$A$505,"client",'أرقام التواصل'!$B$6:$B$505,A42,'أرقام التواصل'!$C$6:$C$505,1))=0),"missing primary contact in أرقام التواصل; ","")&amp;IF(OR(B42="to_candidate",AV42="proposed_name"),IF(AW42="","missing proposed_move_reason; ","")&amp;IF(AX42="","missing proposed_name_key; ",""),"")))))</f>
        <v/>
      </c>
    </row>
    <row r="43" spans="1:53">
      <c r="A43" s="11"/>
      <c r="B43" s="12"/>
      <c r="C43" s="13"/>
      <c r="D43" s="12"/>
      <c r="E43" s="12"/>
      <c r="F43" s="12"/>
      <c r="G43" s="12"/>
      <c r="H43" s="12"/>
      <c r="I43" s="12"/>
      <c r="J43" s="12"/>
      <c r="K43" s="12" t="str">
        <f t="shared" si="0"/>
        <v/>
      </c>
      <c r="L43" s="12"/>
      <c r="M43" s="12"/>
      <c r="N43" s="12"/>
      <c r="O43" s="12"/>
      <c r="P43" s="12"/>
      <c r="Q43" s="12"/>
      <c r="R43" s="12"/>
      <c r="S43" s="12"/>
      <c r="T43" s="12"/>
      <c r="U43" s="12" t="str">
        <f>IF(AND(L43="",N43="",P43="",R43=""),"",IF(R43&lt;&gt;"",R43,IF(P43&lt;&gt;"",P43,IF(N43&lt;&gt;"",N43,L43))))</f>
        <v/>
      </c>
      <c r="V43" s="12"/>
      <c r="W43" s="14"/>
      <c r="X43" s="14"/>
      <c r="Y43" s="13"/>
      <c r="Z43" s="12"/>
      <c r="AA43" s="12"/>
      <c r="AB43" s="12"/>
      <c r="AC43" s="12"/>
      <c r="AD43" s="15"/>
      <c r="AE43" s="12"/>
      <c r="AF43" s="13"/>
      <c r="AG43" s="12"/>
      <c r="AH43" s="12"/>
      <c r="AI43" s="15"/>
      <c r="AJ43" s="12"/>
      <c r="AK43" s="12"/>
      <c r="AL43" s="12"/>
      <c r="AM43" s="12"/>
      <c r="AN43" s="12"/>
      <c r="AO43" s="12"/>
      <c r="AP43" s="12"/>
      <c r="AQ43" s="15"/>
      <c r="AR43" s="12"/>
      <c r="AS43" s="12"/>
      <c r="AT43" s="12"/>
      <c r="AU43" s="12"/>
      <c r="AV43" s="12"/>
      <c r="AW43" s="12"/>
      <c r="AX43" s="13"/>
      <c r="AY43" s="12"/>
      <c r="AZ43" s="12" t="str">
        <f>IF(AND(A43="",B43="",E43="",G43="",I43="",AV43="",AX43=""),"",IF(OR(B43="skip",AV43="skip"),"SKIP",IF(OR(B43="to_candidate",AV43="proposed_name"),IF(OR(A43="",AW43="",AX43="",COUNTIF($A$6:$A$505,A43)&gt;1),"REVIEW","TO_PROPOSED"),IF(OR(B43="",A43="",E43="",G43="",I43="",U43="",AV43="",COUNTIF($A$6:$A$505,A43)&gt;1,(COUNTIFS('أرقام التواصل'!$A$6:$A$505,"client",'أرقام التواصل'!$B$6:$B$505,A43,'أرقام التواصل'!$I$6:$I$505,"TRUE")+COUNTIFS('أرقام التواصل'!$A$6:$A$505,"client",'أرقام التواصل'!$B$6:$B$505,A43,'أرقام التواصل'!$C$6:$C$505,1))=0),"REVIEW","READY"))))</f>
        <v/>
      </c>
      <c r="BA43" s="16" t="str">
        <f>IF(AZ43="","",IF(OR(AZ43="READY",AZ43="TO_PROPOSED"),"",IF(AZ43="SKIP","Skipped by decision",TRIM(IF(B43="","missing import_action; ","")&amp;IF(A43="","missing migration_customer_key; ","")&amp;IF(AND(A43&lt;&gt;"",COUNTIF($A$6:$A$505,A43)&gt;1),"duplicate migration_customer_key; ","")&amp;IF(AND(NOT(OR(B43="to_candidate",AV43="proposed_name")),E43=""),"missing branch_id; ","")&amp;IF(AND(NOT(OR(B43="to_candidate",AV43="proposed_name")),G43=""),"missing first_name; ","")&amp;IF(AND(NOT(OR(B43="to_candidate",AV43="proposed_name")),I43=""),"missing last_name; ","")&amp;IF(AND(NOT(OR(B43="to_candidate",AV43="proposed_name")),U43=""),"missing final_geo_unit_id; ","")&amp;IF(AV43="","missing final_destination; ","")&amp;IF(AND(NOT(OR(B43="to_candidate",AV43="proposed_name")),(COUNTIFS('أرقام التواصل'!$A$6:$A$505,"client",'أرقام التواصل'!$B$6:$B$505,A43,'أرقام التواصل'!$I$6:$I$505,"TRUE")+COUNTIFS('أرقام التواصل'!$A$6:$A$505,"client",'أرقام التواصل'!$B$6:$B$505,A43,'أرقام التواصل'!$C$6:$C$505,1))=0),"missing primary contact in أرقام التواصل; ","")&amp;IF(OR(B43="to_candidate",AV43="proposed_name"),IF(AW43="","missing proposed_move_reason; ","")&amp;IF(AX43="","missing proposed_name_key; ",""),"")))))</f>
        <v/>
      </c>
    </row>
    <row r="44" spans="1:53">
      <c r="A44" s="11"/>
      <c r="B44" s="12"/>
      <c r="C44" s="13"/>
      <c r="D44" s="12"/>
      <c r="E44" s="12"/>
      <c r="F44" s="12"/>
      <c r="G44" s="12"/>
      <c r="H44" s="12"/>
      <c r="I44" s="12"/>
      <c r="J44" s="12"/>
      <c r="K44" s="12" t="str">
        <f t="shared" si="0"/>
        <v/>
      </c>
      <c r="L44" s="12"/>
      <c r="M44" s="12"/>
      <c r="N44" s="12"/>
      <c r="O44" s="12"/>
      <c r="P44" s="12"/>
      <c r="Q44" s="12"/>
      <c r="R44" s="12"/>
      <c r="S44" s="12"/>
      <c r="T44" s="12"/>
      <c r="U44" s="12" t="str">
        <f>IF(AND(L44="",N44="",P44="",R44=""),"",IF(R44&lt;&gt;"",R44,IF(P44&lt;&gt;"",P44,IF(N44&lt;&gt;"",N44,L44))))</f>
        <v/>
      </c>
      <c r="V44" s="12"/>
      <c r="W44" s="14"/>
      <c r="X44" s="14"/>
      <c r="Y44" s="13"/>
      <c r="Z44" s="12"/>
      <c r="AA44" s="12"/>
      <c r="AB44" s="12"/>
      <c r="AC44" s="12"/>
      <c r="AD44" s="15"/>
      <c r="AE44" s="12"/>
      <c r="AF44" s="13"/>
      <c r="AG44" s="12"/>
      <c r="AH44" s="12"/>
      <c r="AI44" s="15"/>
      <c r="AJ44" s="12"/>
      <c r="AK44" s="12"/>
      <c r="AL44" s="12"/>
      <c r="AM44" s="12"/>
      <c r="AN44" s="12"/>
      <c r="AO44" s="12"/>
      <c r="AP44" s="12"/>
      <c r="AQ44" s="15"/>
      <c r="AR44" s="12"/>
      <c r="AS44" s="12"/>
      <c r="AT44" s="12"/>
      <c r="AU44" s="12"/>
      <c r="AV44" s="12"/>
      <c r="AW44" s="12"/>
      <c r="AX44" s="13"/>
      <c r="AY44" s="12"/>
      <c r="AZ44" s="12" t="str">
        <f>IF(AND(A44="",B44="",E44="",G44="",I44="",AV44="",AX44=""),"",IF(OR(B44="skip",AV44="skip"),"SKIP",IF(OR(B44="to_candidate",AV44="proposed_name"),IF(OR(A44="",AW44="",AX44="",COUNTIF($A$6:$A$505,A44)&gt;1),"REVIEW","TO_PROPOSED"),IF(OR(B44="",A44="",E44="",G44="",I44="",U44="",AV44="",COUNTIF($A$6:$A$505,A44)&gt;1,(COUNTIFS('أرقام التواصل'!$A$6:$A$505,"client",'أرقام التواصل'!$B$6:$B$505,A44,'أرقام التواصل'!$I$6:$I$505,"TRUE")+COUNTIFS('أرقام التواصل'!$A$6:$A$505,"client",'أرقام التواصل'!$B$6:$B$505,A44,'أرقام التواصل'!$C$6:$C$505,1))=0),"REVIEW","READY"))))</f>
        <v/>
      </c>
      <c r="BA44" s="16" t="str">
        <f>IF(AZ44="","",IF(OR(AZ44="READY",AZ44="TO_PROPOSED"),"",IF(AZ44="SKIP","Skipped by decision",TRIM(IF(B44="","missing import_action; ","")&amp;IF(A44="","missing migration_customer_key; ","")&amp;IF(AND(A44&lt;&gt;"",COUNTIF($A$6:$A$505,A44)&gt;1),"duplicate migration_customer_key; ","")&amp;IF(AND(NOT(OR(B44="to_candidate",AV44="proposed_name")),E44=""),"missing branch_id; ","")&amp;IF(AND(NOT(OR(B44="to_candidate",AV44="proposed_name")),G44=""),"missing first_name; ","")&amp;IF(AND(NOT(OR(B44="to_candidate",AV44="proposed_name")),I44=""),"missing last_name; ","")&amp;IF(AND(NOT(OR(B44="to_candidate",AV44="proposed_name")),U44=""),"missing final_geo_unit_id; ","")&amp;IF(AV44="","missing final_destination; ","")&amp;IF(AND(NOT(OR(B44="to_candidate",AV44="proposed_name")),(COUNTIFS('أرقام التواصل'!$A$6:$A$505,"client",'أرقام التواصل'!$B$6:$B$505,A44,'أرقام التواصل'!$I$6:$I$505,"TRUE")+COUNTIFS('أرقام التواصل'!$A$6:$A$505,"client",'أرقام التواصل'!$B$6:$B$505,A44,'أرقام التواصل'!$C$6:$C$505,1))=0),"missing primary contact in أرقام التواصل; ","")&amp;IF(OR(B44="to_candidate",AV44="proposed_name"),IF(AW44="","missing proposed_move_reason; ","")&amp;IF(AX44="","missing proposed_name_key; ",""),"")))))</f>
        <v/>
      </c>
    </row>
    <row r="45" spans="1:53">
      <c r="A45" s="11"/>
      <c r="B45" s="12"/>
      <c r="C45" s="13"/>
      <c r="D45" s="12"/>
      <c r="E45" s="12"/>
      <c r="F45" s="12"/>
      <c r="G45" s="12"/>
      <c r="H45" s="12"/>
      <c r="I45" s="12"/>
      <c r="J45" s="12"/>
      <c r="K45" s="12" t="str">
        <f t="shared" si="0"/>
        <v/>
      </c>
      <c r="L45" s="12"/>
      <c r="M45" s="12"/>
      <c r="N45" s="12"/>
      <c r="O45" s="12"/>
      <c r="P45" s="12"/>
      <c r="Q45" s="12"/>
      <c r="R45" s="12"/>
      <c r="S45" s="12"/>
      <c r="T45" s="12"/>
      <c r="U45" s="12" t="str">
        <f>IF(AND(L45="",N45="",P45="",R45=""),"",IF(R45&lt;&gt;"",R45,IF(P45&lt;&gt;"",P45,IF(N45&lt;&gt;"",N45,L45))))</f>
        <v/>
      </c>
      <c r="V45" s="12"/>
      <c r="W45" s="14"/>
      <c r="X45" s="14"/>
      <c r="Y45" s="13"/>
      <c r="Z45" s="12"/>
      <c r="AA45" s="12"/>
      <c r="AB45" s="12"/>
      <c r="AC45" s="12"/>
      <c r="AD45" s="15"/>
      <c r="AE45" s="12"/>
      <c r="AF45" s="13"/>
      <c r="AG45" s="12"/>
      <c r="AH45" s="12"/>
      <c r="AI45" s="15"/>
      <c r="AJ45" s="12"/>
      <c r="AK45" s="12"/>
      <c r="AL45" s="12"/>
      <c r="AM45" s="12"/>
      <c r="AN45" s="12"/>
      <c r="AO45" s="12"/>
      <c r="AP45" s="12"/>
      <c r="AQ45" s="15"/>
      <c r="AR45" s="12"/>
      <c r="AS45" s="12"/>
      <c r="AT45" s="12"/>
      <c r="AU45" s="12"/>
      <c r="AV45" s="12"/>
      <c r="AW45" s="12"/>
      <c r="AX45" s="13"/>
      <c r="AY45" s="12"/>
      <c r="AZ45" s="12" t="str">
        <f>IF(AND(A45="",B45="",E45="",G45="",I45="",AV45="",AX45=""),"",IF(OR(B45="skip",AV45="skip"),"SKIP",IF(OR(B45="to_candidate",AV45="proposed_name"),IF(OR(A45="",AW45="",AX45="",COUNTIF($A$6:$A$505,A45)&gt;1),"REVIEW","TO_PROPOSED"),IF(OR(B45="",A45="",E45="",G45="",I45="",U45="",AV45="",COUNTIF($A$6:$A$505,A45)&gt;1,(COUNTIFS('أرقام التواصل'!$A$6:$A$505,"client",'أرقام التواصل'!$B$6:$B$505,A45,'أرقام التواصل'!$I$6:$I$505,"TRUE")+COUNTIFS('أرقام التواصل'!$A$6:$A$505,"client",'أرقام التواصل'!$B$6:$B$505,A45,'أرقام التواصل'!$C$6:$C$505,1))=0),"REVIEW","READY"))))</f>
        <v/>
      </c>
      <c r="BA45" s="16" t="str">
        <f>IF(AZ45="","",IF(OR(AZ45="READY",AZ45="TO_PROPOSED"),"",IF(AZ45="SKIP","Skipped by decision",TRIM(IF(B45="","missing import_action; ","")&amp;IF(A45="","missing migration_customer_key; ","")&amp;IF(AND(A45&lt;&gt;"",COUNTIF($A$6:$A$505,A45)&gt;1),"duplicate migration_customer_key; ","")&amp;IF(AND(NOT(OR(B45="to_candidate",AV45="proposed_name")),E45=""),"missing branch_id; ","")&amp;IF(AND(NOT(OR(B45="to_candidate",AV45="proposed_name")),G45=""),"missing first_name; ","")&amp;IF(AND(NOT(OR(B45="to_candidate",AV45="proposed_name")),I45=""),"missing last_name; ","")&amp;IF(AND(NOT(OR(B45="to_candidate",AV45="proposed_name")),U45=""),"missing final_geo_unit_id; ","")&amp;IF(AV45="","missing final_destination; ","")&amp;IF(AND(NOT(OR(B45="to_candidate",AV45="proposed_name")),(COUNTIFS('أرقام التواصل'!$A$6:$A$505,"client",'أرقام التواصل'!$B$6:$B$505,A45,'أرقام التواصل'!$I$6:$I$505,"TRUE")+COUNTIFS('أرقام التواصل'!$A$6:$A$505,"client",'أرقام التواصل'!$B$6:$B$505,A45,'أرقام التواصل'!$C$6:$C$505,1))=0),"missing primary contact in أرقام التواصل; ","")&amp;IF(OR(B45="to_candidate",AV45="proposed_name"),IF(AW45="","missing proposed_move_reason; ","")&amp;IF(AX45="","missing proposed_name_key; ",""),"")))))</f>
        <v/>
      </c>
    </row>
    <row r="46" spans="1:53">
      <c r="A46" s="11"/>
      <c r="B46" s="12"/>
      <c r="C46" s="13"/>
      <c r="D46" s="12"/>
      <c r="E46" s="12"/>
      <c r="F46" s="12"/>
      <c r="G46" s="12"/>
      <c r="H46" s="12"/>
      <c r="I46" s="12"/>
      <c r="J46" s="12"/>
      <c r="K46" s="12" t="str">
        <f t="shared" si="0"/>
        <v/>
      </c>
      <c r="L46" s="12"/>
      <c r="M46" s="12"/>
      <c r="N46" s="12"/>
      <c r="O46" s="12"/>
      <c r="P46" s="12"/>
      <c r="Q46" s="12"/>
      <c r="R46" s="12"/>
      <c r="S46" s="12"/>
      <c r="T46" s="12"/>
      <c r="U46" s="12" t="str">
        <f>IF(AND(L46="",N46="",P46="",R46=""),"",IF(R46&lt;&gt;"",R46,IF(P46&lt;&gt;"",P46,IF(N46&lt;&gt;"",N46,L46))))</f>
        <v/>
      </c>
      <c r="V46" s="12"/>
      <c r="W46" s="14"/>
      <c r="X46" s="14"/>
      <c r="Y46" s="13"/>
      <c r="Z46" s="12"/>
      <c r="AA46" s="12"/>
      <c r="AB46" s="12"/>
      <c r="AC46" s="12"/>
      <c r="AD46" s="15"/>
      <c r="AE46" s="12"/>
      <c r="AF46" s="13"/>
      <c r="AG46" s="12"/>
      <c r="AH46" s="12"/>
      <c r="AI46" s="15"/>
      <c r="AJ46" s="12"/>
      <c r="AK46" s="12"/>
      <c r="AL46" s="12"/>
      <c r="AM46" s="12"/>
      <c r="AN46" s="12"/>
      <c r="AO46" s="12"/>
      <c r="AP46" s="12"/>
      <c r="AQ46" s="15"/>
      <c r="AR46" s="12"/>
      <c r="AS46" s="12"/>
      <c r="AT46" s="12"/>
      <c r="AU46" s="12"/>
      <c r="AV46" s="12"/>
      <c r="AW46" s="12"/>
      <c r="AX46" s="13"/>
      <c r="AY46" s="12"/>
      <c r="AZ46" s="12" t="str">
        <f>IF(AND(A46="",B46="",E46="",G46="",I46="",AV46="",AX46=""),"",IF(OR(B46="skip",AV46="skip"),"SKIP",IF(OR(B46="to_candidate",AV46="proposed_name"),IF(OR(A46="",AW46="",AX46="",COUNTIF($A$6:$A$505,A46)&gt;1),"REVIEW","TO_PROPOSED"),IF(OR(B46="",A46="",E46="",G46="",I46="",U46="",AV46="",COUNTIF($A$6:$A$505,A46)&gt;1,(COUNTIFS('أرقام التواصل'!$A$6:$A$505,"client",'أرقام التواصل'!$B$6:$B$505,A46,'أرقام التواصل'!$I$6:$I$505,"TRUE")+COUNTIFS('أرقام التواصل'!$A$6:$A$505,"client",'أرقام التواصل'!$B$6:$B$505,A46,'أرقام التواصل'!$C$6:$C$505,1))=0),"REVIEW","READY"))))</f>
        <v/>
      </c>
      <c r="BA46" s="16" t="str">
        <f>IF(AZ46="","",IF(OR(AZ46="READY",AZ46="TO_PROPOSED"),"",IF(AZ46="SKIP","Skipped by decision",TRIM(IF(B46="","missing import_action; ","")&amp;IF(A46="","missing migration_customer_key; ","")&amp;IF(AND(A46&lt;&gt;"",COUNTIF($A$6:$A$505,A46)&gt;1),"duplicate migration_customer_key; ","")&amp;IF(AND(NOT(OR(B46="to_candidate",AV46="proposed_name")),E46=""),"missing branch_id; ","")&amp;IF(AND(NOT(OR(B46="to_candidate",AV46="proposed_name")),G46=""),"missing first_name; ","")&amp;IF(AND(NOT(OR(B46="to_candidate",AV46="proposed_name")),I46=""),"missing last_name; ","")&amp;IF(AND(NOT(OR(B46="to_candidate",AV46="proposed_name")),U46=""),"missing final_geo_unit_id; ","")&amp;IF(AV46="","missing final_destination; ","")&amp;IF(AND(NOT(OR(B46="to_candidate",AV46="proposed_name")),(COUNTIFS('أرقام التواصل'!$A$6:$A$505,"client",'أرقام التواصل'!$B$6:$B$505,A46,'أرقام التواصل'!$I$6:$I$505,"TRUE")+COUNTIFS('أرقام التواصل'!$A$6:$A$505,"client",'أرقام التواصل'!$B$6:$B$505,A46,'أرقام التواصل'!$C$6:$C$505,1))=0),"missing primary contact in أرقام التواصل; ","")&amp;IF(OR(B46="to_candidate",AV46="proposed_name"),IF(AW46="","missing proposed_move_reason; ","")&amp;IF(AX46="","missing proposed_name_key; ",""),"")))))</f>
        <v/>
      </c>
    </row>
    <row r="47" spans="1:53">
      <c r="A47" s="11"/>
      <c r="B47" s="12"/>
      <c r="C47" s="13"/>
      <c r="D47" s="12"/>
      <c r="E47" s="12"/>
      <c r="F47" s="12"/>
      <c r="G47" s="12"/>
      <c r="H47" s="12"/>
      <c r="I47" s="12"/>
      <c r="J47" s="12"/>
      <c r="K47" s="12" t="str">
        <f t="shared" si="0"/>
        <v/>
      </c>
      <c r="L47" s="12"/>
      <c r="M47" s="12"/>
      <c r="N47" s="12"/>
      <c r="O47" s="12"/>
      <c r="P47" s="12"/>
      <c r="Q47" s="12"/>
      <c r="R47" s="12"/>
      <c r="S47" s="12"/>
      <c r="T47" s="12"/>
      <c r="U47" s="12" t="str">
        <f>IF(AND(L47="",N47="",P47="",R47=""),"",IF(R47&lt;&gt;"",R47,IF(P47&lt;&gt;"",P47,IF(N47&lt;&gt;"",N47,L47))))</f>
        <v/>
      </c>
      <c r="V47" s="12"/>
      <c r="W47" s="14"/>
      <c r="X47" s="14"/>
      <c r="Y47" s="13"/>
      <c r="Z47" s="12"/>
      <c r="AA47" s="12"/>
      <c r="AB47" s="12"/>
      <c r="AC47" s="12"/>
      <c r="AD47" s="15"/>
      <c r="AE47" s="12"/>
      <c r="AF47" s="13"/>
      <c r="AG47" s="12"/>
      <c r="AH47" s="12"/>
      <c r="AI47" s="15"/>
      <c r="AJ47" s="12"/>
      <c r="AK47" s="12"/>
      <c r="AL47" s="12"/>
      <c r="AM47" s="12"/>
      <c r="AN47" s="12"/>
      <c r="AO47" s="12"/>
      <c r="AP47" s="12"/>
      <c r="AQ47" s="15"/>
      <c r="AR47" s="12"/>
      <c r="AS47" s="12"/>
      <c r="AT47" s="12"/>
      <c r="AU47" s="12"/>
      <c r="AV47" s="12"/>
      <c r="AW47" s="12"/>
      <c r="AX47" s="13"/>
      <c r="AY47" s="12"/>
      <c r="AZ47" s="12" t="str">
        <f>IF(AND(A47="",B47="",E47="",G47="",I47="",AV47="",AX47=""),"",IF(OR(B47="skip",AV47="skip"),"SKIP",IF(OR(B47="to_candidate",AV47="proposed_name"),IF(OR(A47="",AW47="",AX47="",COUNTIF($A$6:$A$505,A47)&gt;1),"REVIEW","TO_PROPOSED"),IF(OR(B47="",A47="",E47="",G47="",I47="",U47="",AV47="",COUNTIF($A$6:$A$505,A47)&gt;1,(COUNTIFS('أرقام التواصل'!$A$6:$A$505,"client",'أرقام التواصل'!$B$6:$B$505,A47,'أرقام التواصل'!$I$6:$I$505,"TRUE")+COUNTIFS('أرقام التواصل'!$A$6:$A$505,"client",'أرقام التواصل'!$B$6:$B$505,A47,'أرقام التواصل'!$C$6:$C$505,1))=0),"REVIEW","READY"))))</f>
        <v/>
      </c>
      <c r="BA47" s="16" t="str">
        <f>IF(AZ47="","",IF(OR(AZ47="READY",AZ47="TO_PROPOSED"),"",IF(AZ47="SKIP","Skipped by decision",TRIM(IF(B47="","missing import_action; ","")&amp;IF(A47="","missing migration_customer_key; ","")&amp;IF(AND(A47&lt;&gt;"",COUNTIF($A$6:$A$505,A47)&gt;1),"duplicate migration_customer_key; ","")&amp;IF(AND(NOT(OR(B47="to_candidate",AV47="proposed_name")),E47=""),"missing branch_id; ","")&amp;IF(AND(NOT(OR(B47="to_candidate",AV47="proposed_name")),G47=""),"missing first_name; ","")&amp;IF(AND(NOT(OR(B47="to_candidate",AV47="proposed_name")),I47=""),"missing last_name; ","")&amp;IF(AND(NOT(OR(B47="to_candidate",AV47="proposed_name")),U47=""),"missing final_geo_unit_id; ","")&amp;IF(AV47="","missing final_destination; ","")&amp;IF(AND(NOT(OR(B47="to_candidate",AV47="proposed_name")),(COUNTIFS('أرقام التواصل'!$A$6:$A$505,"client",'أرقام التواصل'!$B$6:$B$505,A47,'أرقام التواصل'!$I$6:$I$505,"TRUE")+COUNTIFS('أرقام التواصل'!$A$6:$A$505,"client",'أرقام التواصل'!$B$6:$B$505,A47,'أرقام التواصل'!$C$6:$C$505,1))=0),"missing primary contact in أرقام التواصل; ","")&amp;IF(OR(B47="to_candidate",AV47="proposed_name"),IF(AW47="","missing proposed_move_reason; ","")&amp;IF(AX47="","missing proposed_name_key; ",""),"")))))</f>
        <v/>
      </c>
    </row>
    <row r="48" spans="1:53">
      <c r="A48" s="11"/>
      <c r="B48" s="12"/>
      <c r="C48" s="13"/>
      <c r="D48" s="12"/>
      <c r="E48" s="12"/>
      <c r="F48" s="12"/>
      <c r="G48" s="12"/>
      <c r="H48" s="12"/>
      <c r="I48" s="12"/>
      <c r="J48" s="12"/>
      <c r="K48" s="12" t="str">
        <f t="shared" si="0"/>
        <v/>
      </c>
      <c r="L48" s="12"/>
      <c r="M48" s="12"/>
      <c r="N48" s="12"/>
      <c r="O48" s="12"/>
      <c r="P48" s="12"/>
      <c r="Q48" s="12"/>
      <c r="R48" s="12"/>
      <c r="S48" s="12"/>
      <c r="T48" s="12"/>
      <c r="U48" s="12" t="str">
        <f>IF(AND(L48="",N48="",P48="",R48=""),"",IF(R48&lt;&gt;"",R48,IF(P48&lt;&gt;"",P48,IF(N48&lt;&gt;"",N48,L48))))</f>
        <v/>
      </c>
      <c r="V48" s="12"/>
      <c r="W48" s="14"/>
      <c r="X48" s="14"/>
      <c r="Y48" s="13"/>
      <c r="Z48" s="12"/>
      <c r="AA48" s="12"/>
      <c r="AB48" s="12"/>
      <c r="AC48" s="12"/>
      <c r="AD48" s="15"/>
      <c r="AE48" s="12"/>
      <c r="AF48" s="13"/>
      <c r="AG48" s="12"/>
      <c r="AH48" s="12"/>
      <c r="AI48" s="15"/>
      <c r="AJ48" s="12"/>
      <c r="AK48" s="12"/>
      <c r="AL48" s="12"/>
      <c r="AM48" s="12"/>
      <c r="AN48" s="12"/>
      <c r="AO48" s="12"/>
      <c r="AP48" s="12"/>
      <c r="AQ48" s="15"/>
      <c r="AR48" s="12"/>
      <c r="AS48" s="12"/>
      <c r="AT48" s="12"/>
      <c r="AU48" s="12"/>
      <c r="AV48" s="12"/>
      <c r="AW48" s="12"/>
      <c r="AX48" s="13"/>
      <c r="AY48" s="12"/>
      <c r="AZ48" s="12" t="str">
        <f>IF(AND(A48="",B48="",E48="",G48="",I48="",AV48="",AX48=""),"",IF(OR(B48="skip",AV48="skip"),"SKIP",IF(OR(B48="to_candidate",AV48="proposed_name"),IF(OR(A48="",AW48="",AX48="",COUNTIF($A$6:$A$505,A48)&gt;1),"REVIEW","TO_PROPOSED"),IF(OR(B48="",A48="",E48="",G48="",I48="",U48="",AV48="",COUNTIF($A$6:$A$505,A48)&gt;1,(COUNTIFS('أرقام التواصل'!$A$6:$A$505,"client",'أرقام التواصل'!$B$6:$B$505,A48,'أرقام التواصل'!$I$6:$I$505,"TRUE")+COUNTIFS('أرقام التواصل'!$A$6:$A$505,"client",'أرقام التواصل'!$B$6:$B$505,A48,'أرقام التواصل'!$C$6:$C$505,1))=0),"REVIEW","READY"))))</f>
        <v/>
      </c>
      <c r="BA48" s="16" t="str">
        <f>IF(AZ48="","",IF(OR(AZ48="READY",AZ48="TO_PROPOSED"),"",IF(AZ48="SKIP","Skipped by decision",TRIM(IF(B48="","missing import_action; ","")&amp;IF(A48="","missing migration_customer_key; ","")&amp;IF(AND(A48&lt;&gt;"",COUNTIF($A$6:$A$505,A48)&gt;1),"duplicate migration_customer_key; ","")&amp;IF(AND(NOT(OR(B48="to_candidate",AV48="proposed_name")),E48=""),"missing branch_id; ","")&amp;IF(AND(NOT(OR(B48="to_candidate",AV48="proposed_name")),G48=""),"missing first_name; ","")&amp;IF(AND(NOT(OR(B48="to_candidate",AV48="proposed_name")),I48=""),"missing last_name; ","")&amp;IF(AND(NOT(OR(B48="to_candidate",AV48="proposed_name")),U48=""),"missing final_geo_unit_id; ","")&amp;IF(AV48="","missing final_destination; ","")&amp;IF(AND(NOT(OR(B48="to_candidate",AV48="proposed_name")),(COUNTIFS('أرقام التواصل'!$A$6:$A$505,"client",'أرقام التواصل'!$B$6:$B$505,A48,'أرقام التواصل'!$I$6:$I$505,"TRUE")+COUNTIFS('أرقام التواصل'!$A$6:$A$505,"client",'أرقام التواصل'!$B$6:$B$505,A48,'أرقام التواصل'!$C$6:$C$505,1))=0),"missing primary contact in أرقام التواصل; ","")&amp;IF(OR(B48="to_candidate",AV48="proposed_name"),IF(AW48="","missing proposed_move_reason; ","")&amp;IF(AX48="","missing proposed_name_key; ",""),"")))))</f>
        <v/>
      </c>
    </row>
    <row r="49" spans="1:53">
      <c r="A49" s="11"/>
      <c r="B49" s="12"/>
      <c r="C49" s="13"/>
      <c r="D49" s="12"/>
      <c r="E49" s="12"/>
      <c r="F49" s="12"/>
      <c r="G49" s="12"/>
      <c r="H49" s="12"/>
      <c r="I49" s="12"/>
      <c r="J49" s="12"/>
      <c r="K49" s="12" t="str">
        <f t="shared" si="0"/>
        <v/>
      </c>
      <c r="L49" s="12"/>
      <c r="M49" s="12"/>
      <c r="N49" s="12"/>
      <c r="O49" s="12"/>
      <c r="P49" s="12"/>
      <c r="Q49" s="12"/>
      <c r="R49" s="12"/>
      <c r="S49" s="12"/>
      <c r="T49" s="12"/>
      <c r="U49" s="12" t="str">
        <f>IF(AND(L49="",N49="",P49="",R49=""),"",IF(R49&lt;&gt;"",R49,IF(P49&lt;&gt;"",P49,IF(N49&lt;&gt;"",N49,L49))))</f>
        <v/>
      </c>
      <c r="V49" s="12"/>
      <c r="W49" s="14"/>
      <c r="X49" s="14"/>
      <c r="Y49" s="13"/>
      <c r="Z49" s="12"/>
      <c r="AA49" s="12"/>
      <c r="AB49" s="12"/>
      <c r="AC49" s="12"/>
      <c r="AD49" s="15"/>
      <c r="AE49" s="12"/>
      <c r="AF49" s="13"/>
      <c r="AG49" s="12"/>
      <c r="AH49" s="12"/>
      <c r="AI49" s="15"/>
      <c r="AJ49" s="12"/>
      <c r="AK49" s="12"/>
      <c r="AL49" s="12"/>
      <c r="AM49" s="12"/>
      <c r="AN49" s="12"/>
      <c r="AO49" s="12"/>
      <c r="AP49" s="12"/>
      <c r="AQ49" s="15"/>
      <c r="AR49" s="12"/>
      <c r="AS49" s="12"/>
      <c r="AT49" s="12"/>
      <c r="AU49" s="12"/>
      <c r="AV49" s="12"/>
      <c r="AW49" s="12"/>
      <c r="AX49" s="13"/>
      <c r="AY49" s="12"/>
      <c r="AZ49" s="12" t="str">
        <f>IF(AND(A49="",B49="",E49="",G49="",I49="",AV49="",AX49=""),"",IF(OR(B49="skip",AV49="skip"),"SKIP",IF(OR(B49="to_candidate",AV49="proposed_name"),IF(OR(A49="",AW49="",AX49="",COUNTIF($A$6:$A$505,A49)&gt;1),"REVIEW","TO_PROPOSED"),IF(OR(B49="",A49="",E49="",G49="",I49="",U49="",AV49="",COUNTIF($A$6:$A$505,A49)&gt;1,(COUNTIFS('أرقام التواصل'!$A$6:$A$505,"client",'أرقام التواصل'!$B$6:$B$505,A49,'أرقام التواصل'!$I$6:$I$505,"TRUE")+COUNTIFS('أرقام التواصل'!$A$6:$A$505,"client",'أرقام التواصل'!$B$6:$B$505,A49,'أرقام التواصل'!$C$6:$C$505,1))=0),"REVIEW","READY"))))</f>
        <v/>
      </c>
      <c r="BA49" s="16" t="str">
        <f>IF(AZ49="","",IF(OR(AZ49="READY",AZ49="TO_PROPOSED"),"",IF(AZ49="SKIP","Skipped by decision",TRIM(IF(B49="","missing import_action; ","")&amp;IF(A49="","missing migration_customer_key; ","")&amp;IF(AND(A49&lt;&gt;"",COUNTIF($A$6:$A$505,A49)&gt;1),"duplicate migration_customer_key; ","")&amp;IF(AND(NOT(OR(B49="to_candidate",AV49="proposed_name")),E49=""),"missing branch_id; ","")&amp;IF(AND(NOT(OR(B49="to_candidate",AV49="proposed_name")),G49=""),"missing first_name; ","")&amp;IF(AND(NOT(OR(B49="to_candidate",AV49="proposed_name")),I49=""),"missing last_name; ","")&amp;IF(AND(NOT(OR(B49="to_candidate",AV49="proposed_name")),U49=""),"missing final_geo_unit_id; ","")&amp;IF(AV49="","missing final_destination; ","")&amp;IF(AND(NOT(OR(B49="to_candidate",AV49="proposed_name")),(COUNTIFS('أرقام التواصل'!$A$6:$A$505,"client",'أرقام التواصل'!$B$6:$B$505,A49,'أرقام التواصل'!$I$6:$I$505,"TRUE")+COUNTIFS('أرقام التواصل'!$A$6:$A$505,"client",'أرقام التواصل'!$B$6:$B$505,A49,'أرقام التواصل'!$C$6:$C$505,1))=0),"missing primary contact in أرقام التواصل; ","")&amp;IF(OR(B49="to_candidate",AV49="proposed_name"),IF(AW49="","missing proposed_move_reason; ","")&amp;IF(AX49="","missing proposed_name_key; ",""),"")))))</f>
        <v/>
      </c>
    </row>
    <row r="50" spans="1:53">
      <c r="A50" s="11"/>
      <c r="B50" s="12"/>
      <c r="C50" s="13"/>
      <c r="D50" s="12"/>
      <c r="E50" s="12"/>
      <c r="F50" s="12"/>
      <c r="G50" s="12"/>
      <c r="H50" s="12"/>
      <c r="I50" s="12"/>
      <c r="J50" s="12"/>
      <c r="K50" s="12" t="str">
        <f t="shared" si="0"/>
        <v/>
      </c>
      <c r="L50" s="12"/>
      <c r="M50" s="12"/>
      <c r="N50" s="12"/>
      <c r="O50" s="12"/>
      <c r="P50" s="12"/>
      <c r="Q50" s="12"/>
      <c r="R50" s="12"/>
      <c r="S50" s="12"/>
      <c r="T50" s="12"/>
      <c r="U50" s="12" t="str">
        <f>IF(AND(L50="",N50="",P50="",R50=""),"",IF(R50&lt;&gt;"",R50,IF(P50&lt;&gt;"",P50,IF(N50&lt;&gt;"",N50,L50))))</f>
        <v/>
      </c>
      <c r="V50" s="12"/>
      <c r="W50" s="14"/>
      <c r="X50" s="14"/>
      <c r="Y50" s="13"/>
      <c r="Z50" s="12"/>
      <c r="AA50" s="12"/>
      <c r="AB50" s="12"/>
      <c r="AC50" s="12"/>
      <c r="AD50" s="15"/>
      <c r="AE50" s="12"/>
      <c r="AF50" s="13"/>
      <c r="AG50" s="12"/>
      <c r="AH50" s="12"/>
      <c r="AI50" s="15"/>
      <c r="AJ50" s="12"/>
      <c r="AK50" s="12"/>
      <c r="AL50" s="12"/>
      <c r="AM50" s="12"/>
      <c r="AN50" s="12"/>
      <c r="AO50" s="12"/>
      <c r="AP50" s="12"/>
      <c r="AQ50" s="15"/>
      <c r="AR50" s="12"/>
      <c r="AS50" s="12"/>
      <c r="AT50" s="12"/>
      <c r="AU50" s="12"/>
      <c r="AV50" s="12"/>
      <c r="AW50" s="12"/>
      <c r="AX50" s="13"/>
      <c r="AY50" s="12"/>
      <c r="AZ50" s="12" t="str">
        <f>IF(AND(A50="",B50="",E50="",G50="",I50="",AV50="",AX50=""),"",IF(OR(B50="skip",AV50="skip"),"SKIP",IF(OR(B50="to_candidate",AV50="proposed_name"),IF(OR(A50="",AW50="",AX50="",COUNTIF($A$6:$A$505,A50)&gt;1),"REVIEW","TO_PROPOSED"),IF(OR(B50="",A50="",E50="",G50="",I50="",U50="",AV50="",COUNTIF($A$6:$A$505,A50)&gt;1,(COUNTIFS('أرقام التواصل'!$A$6:$A$505,"client",'أرقام التواصل'!$B$6:$B$505,A50,'أرقام التواصل'!$I$6:$I$505,"TRUE")+COUNTIFS('أرقام التواصل'!$A$6:$A$505,"client",'أرقام التواصل'!$B$6:$B$505,A50,'أرقام التواصل'!$C$6:$C$505,1))=0),"REVIEW","READY"))))</f>
        <v/>
      </c>
      <c r="BA50" s="16" t="str">
        <f>IF(AZ50="","",IF(OR(AZ50="READY",AZ50="TO_PROPOSED"),"",IF(AZ50="SKIP","Skipped by decision",TRIM(IF(B50="","missing import_action; ","")&amp;IF(A50="","missing migration_customer_key; ","")&amp;IF(AND(A50&lt;&gt;"",COUNTIF($A$6:$A$505,A50)&gt;1),"duplicate migration_customer_key; ","")&amp;IF(AND(NOT(OR(B50="to_candidate",AV50="proposed_name")),E50=""),"missing branch_id; ","")&amp;IF(AND(NOT(OR(B50="to_candidate",AV50="proposed_name")),G50=""),"missing first_name; ","")&amp;IF(AND(NOT(OR(B50="to_candidate",AV50="proposed_name")),I50=""),"missing last_name; ","")&amp;IF(AND(NOT(OR(B50="to_candidate",AV50="proposed_name")),U50=""),"missing final_geo_unit_id; ","")&amp;IF(AV50="","missing final_destination; ","")&amp;IF(AND(NOT(OR(B50="to_candidate",AV50="proposed_name")),(COUNTIFS('أرقام التواصل'!$A$6:$A$505,"client",'أرقام التواصل'!$B$6:$B$505,A50,'أرقام التواصل'!$I$6:$I$505,"TRUE")+COUNTIFS('أرقام التواصل'!$A$6:$A$505,"client",'أرقام التواصل'!$B$6:$B$505,A50,'أرقام التواصل'!$C$6:$C$505,1))=0),"missing primary contact in أرقام التواصل; ","")&amp;IF(OR(B50="to_candidate",AV50="proposed_name"),IF(AW50="","missing proposed_move_reason; ","")&amp;IF(AX50="","missing proposed_name_key; ",""),"")))))</f>
        <v/>
      </c>
    </row>
    <row r="51" spans="1:53">
      <c r="A51" s="11"/>
      <c r="B51" s="12"/>
      <c r="C51" s="13"/>
      <c r="D51" s="12"/>
      <c r="E51" s="12"/>
      <c r="F51" s="12"/>
      <c r="G51" s="12"/>
      <c r="H51" s="12"/>
      <c r="I51" s="12"/>
      <c r="J51" s="12"/>
      <c r="K51" s="12" t="str">
        <f t="shared" si="0"/>
        <v/>
      </c>
      <c r="L51" s="12"/>
      <c r="M51" s="12"/>
      <c r="N51" s="12"/>
      <c r="O51" s="12"/>
      <c r="P51" s="12"/>
      <c r="Q51" s="12"/>
      <c r="R51" s="12"/>
      <c r="S51" s="12"/>
      <c r="T51" s="12"/>
      <c r="U51" s="12" t="str">
        <f>IF(AND(L51="",N51="",P51="",R51=""),"",IF(R51&lt;&gt;"",R51,IF(P51&lt;&gt;"",P51,IF(N51&lt;&gt;"",N51,L51))))</f>
        <v/>
      </c>
      <c r="V51" s="12"/>
      <c r="W51" s="14"/>
      <c r="X51" s="14"/>
      <c r="Y51" s="13"/>
      <c r="Z51" s="12"/>
      <c r="AA51" s="12"/>
      <c r="AB51" s="12"/>
      <c r="AC51" s="12"/>
      <c r="AD51" s="15"/>
      <c r="AE51" s="12"/>
      <c r="AF51" s="13"/>
      <c r="AG51" s="12"/>
      <c r="AH51" s="12"/>
      <c r="AI51" s="15"/>
      <c r="AJ51" s="12"/>
      <c r="AK51" s="12"/>
      <c r="AL51" s="12"/>
      <c r="AM51" s="12"/>
      <c r="AN51" s="12"/>
      <c r="AO51" s="12"/>
      <c r="AP51" s="12"/>
      <c r="AQ51" s="15"/>
      <c r="AR51" s="12"/>
      <c r="AS51" s="12"/>
      <c r="AT51" s="12"/>
      <c r="AU51" s="12"/>
      <c r="AV51" s="12"/>
      <c r="AW51" s="12"/>
      <c r="AX51" s="13"/>
      <c r="AY51" s="12"/>
      <c r="AZ51" s="12" t="str">
        <f>IF(AND(A51="",B51="",E51="",G51="",I51="",AV51="",AX51=""),"",IF(OR(B51="skip",AV51="skip"),"SKIP",IF(OR(B51="to_candidate",AV51="proposed_name"),IF(OR(A51="",AW51="",AX51="",COUNTIF($A$6:$A$505,A51)&gt;1),"REVIEW","TO_PROPOSED"),IF(OR(B51="",A51="",E51="",G51="",I51="",U51="",AV51="",COUNTIF($A$6:$A$505,A51)&gt;1,(COUNTIFS('أرقام التواصل'!$A$6:$A$505,"client",'أرقام التواصل'!$B$6:$B$505,A51,'أرقام التواصل'!$I$6:$I$505,"TRUE")+COUNTIFS('أرقام التواصل'!$A$6:$A$505,"client",'أرقام التواصل'!$B$6:$B$505,A51,'أرقام التواصل'!$C$6:$C$505,1))=0),"REVIEW","READY"))))</f>
        <v/>
      </c>
      <c r="BA51" s="16" t="str">
        <f>IF(AZ51="","",IF(OR(AZ51="READY",AZ51="TO_PROPOSED"),"",IF(AZ51="SKIP","Skipped by decision",TRIM(IF(B51="","missing import_action; ","")&amp;IF(A51="","missing migration_customer_key; ","")&amp;IF(AND(A51&lt;&gt;"",COUNTIF($A$6:$A$505,A51)&gt;1),"duplicate migration_customer_key; ","")&amp;IF(AND(NOT(OR(B51="to_candidate",AV51="proposed_name")),E51=""),"missing branch_id; ","")&amp;IF(AND(NOT(OR(B51="to_candidate",AV51="proposed_name")),G51=""),"missing first_name; ","")&amp;IF(AND(NOT(OR(B51="to_candidate",AV51="proposed_name")),I51=""),"missing last_name; ","")&amp;IF(AND(NOT(OR(B51="to_candidate",AV51="proposed_name")),U51=""),"missing final_geo_unit_id; ","")&amp;IF(AV51="","missing final_destination; ","")&amp;IF(AND(NOT(OR(B51="to_candidate",AV51="proposed_name")),(COUNTIFS('أرقام التواصل'!$A$6:$A$505,"client",'أرقام التواصل'!$B$6:$B$505,A51,'أرقام التواصل'!$I$6:$I$505,"TRUE")+COUNTIFS('أرقام التواصل'!$A$6:$A$505,"client",'أرقام التواصل'!$B$6:$B$505,A51,'أرقام التواصل'!$C$6:$C$505,1))=0),"missing primary contact in أرقام التواصل; ","")&amp;IF(OR(B51="to_candidate",AV51="proposed_name"),IF(AW51="","missing proposed_move_reason; ","")&amp;IF(AX51="","missing proposed_name_key; ",""),"")))))</f>
        <v/>
      </c>
    </row>
    <row r="52" spans="1:53">
      <c r="A52" s="11"/>
      <c r="B52" s="12"/>
      <c r="C52" s="13"/>
      <c r="D52" s="12"/>
      <c r="E52" s="12"/>
      <c r="F52" s="12"/>
      <c r="G52" s="12"/>
      <c r="H52" s="12"/>
      <c r="I52" s="12"/>
      <c r="J52" s="12"/>
      <c r="K52" s="12" t="str">
        <f t="shared" si="0"/>
        <v/>
      </c>
      <c r="L52" s="12"/>
      <c r="M52" s="12"/>
      <c r="N52" s="12"/>
      <c r="O52" s="12"/>
      <c r="P52" s="12"/>
      <c r="Q52" s="12"/>
      <c r="R52" s="12"/>
      <c r="S52" s="12"/>
      <c r="T52" s="12"/>
      <c r="U52" s="12" t="str">
        <f>IF(AND(L52="",N52="",P52="",R52=""),"",IF(R52&lt;&gt;"",R52,IF(P52&lt;&gt;"",P52,IF(N52&lt;&gt;"",N52,L52))))</f>
        <v/>
      </c>
      <c r="V52" s="12"/>
      <c r="W52" s="14"/>
      <c r="X52" s="14"/>
      <c r="Y52" s="13"/>
      <c r="Z52" s="12"/>
      <c r="AA52" s="12"/>
      <c r="AB52" s="12"/>
      <c r="AC52" s="12"/>
      <c r="AD52" s="15"/>
      <c r="AE52" s="12"/>
      <c r="AF52" s="13"/>
      <c r="AG52" s="12"/>
      <c r="AH52" s="12"/>
      <c r="AI52" s="15"/>
      <c r="AJ52" s="12"/>
      <c r="AK52" s="12"/>
      <c r="AL52" s="12"/>
      <c r="AM52" s="12"/>
      <c r="AN52" s="12"/>
      <c r="AO52" s="12"/>
      <c r="AP52" s="12"/>
      <c r="AQ52" s="15"/>
      <c r="AR52" s="12"/>
      <c r="AS52" s="12"/>
      <c r="AT52" s="12"/>
      <c r="AU52" s="12"/>
      <c r="AV52" s="12"/>
      <c r="AW52" s="12"/>
      <c r="AX52" s="13"/>
      <c r="AY52" s="12"/>
      <c r="AZ52" s="12" t="str">
        <f>IF(AND(A52="",B52="",E52="",G52="",I52="",AV52="",AX52=""),"",IF(OR(B52="skip",AV52="skip"),"SKIP",IF(OR(B52="to_candidate",AV52="proposed_name"),IF(OR(A52="",AW52="",AX52="",COUNTIF($A$6:$A$505,A52)&gt;1),"REVIEW","TO_PROPOSED"),IF(OR(B52="",A52="",E52="",G52="",I52="",U52="",AV52="",COUNTIF($A$6:$A$505,A52)&gt;1,(COUNTIFS('أرقام التواصل'!$A$6:$A$505,"client",'أرقام التواصل'!$B$6:$B$505,A52,'أرقام التواصل'!$I$6:$I$505,"TRUE")+COUNTIFS('أرقام التواصل'!$A$6:$A$505,"client",'أرقام التواصل'!$B$6:$B$505,A52,'أرقام التواصل'!$C$6:$C$505,1))=0),"REVIEW","READY"))))</f>
        <v/>
      </c>
      <c r="BA52" s="16" t="str">
        <f>IF(AZ52="","",IF(OR(AZ52="READY",AZ52="TO_PROPOSED"),"",IF(AZ52="SKIP","Skipped by decision",TRIM(IF(B52="","missing import_action; ","")&amp;IF(A52="","missing migration_customer_key; ","")&amp;IF(AND(A52&lt;&gt;"",COUNTIF($A$6:$A$505,A52)&gt;1),"duplicate migration_customer_key; ","")&amp;IF(AND(NOT(OR(B52="to_candidate",AV52="proposed_name")),E52=""),"missing branch_id; ","")&amp;IF(AND(NOT(OR(B52="to_candidate",AV52="proposed_name")),G52=""),"missing first_name; ","")&amp;IF(AND(NOT(OR(B52="to_candidate",AV52="proposed_name")),I52=""),"missing last_name; ","")&amp;IF(AND(NOT(OR(B52="to_candidate",AV52="proposed_name")),U52=""),"missing final_geo_unit_id; ","")&amp;IF(AV52="","missing final_destination; ","")&amp;IF(AND(NOT(OR(B52="to_candidate",AV52="proposed_name")),(COUNTIFS('أرقام التواصل'!$A$6:$A$505,"client",'أرقام التواصل'!$B$6:$B$505,A52,'أرقام التواصل'!$I$6:$I$505,"TRUE")+COUNTIFS('أرقام التواصل'!$A$6:$A$505,"client",'أرقام التواصل'!$B$6:$B$505,A52,'أرقام التواصل'!$C$6:$C$505,1))=0),"missing primary contact in أرقام التواصل; ","")&amp;IF(OR(B52="to_candidate",AV52="proposed_name"),IF(AW52="","missing proposed_move_reason; ","")&amp;IF(AX52="","missing proposed_name_key; ",""),"")))))</f>
        <v/>
      </c>
    </row>
    <row r="53" spans="1:53">
      <c r="A53" s="11"/>
      <c r="B53" s="12"/>
      <c r="C53" s="13"/>
      <c r="D53" s="12"/>
      <c r="E53" s="12"/>
      <c r="F53" s="12"/>
      <c r="G53" s="12"/>
      <c r="H53" s="12"/>
      <c r="I53" s="12"/>
      <c r="J53" s="12"/>
      <c r="K53" s="12" t="str">
        <f t="shared" si="0"/>
        <v/>
      </c>
      <c r="L53" s="12"/>
      <c r="M53" s="12"/>
      <c r="N53" s="12"/>
      <c r="O53" s="12"/>
      <c r="P53" s="12"/>
      <c r="Q53" s="12"/>
      <c r="R53" s="12"/>
      <c r="S53" s="12"/>
      <c r="T53" s="12"/>
      <c r="U53" s="12" t="str">
        <f>IF(AND(L53="",N53="",P53="",R53=""),"",IF(R53&lt;&gt;"",R53,IF(P53&lt;&gt;"",P53,IF(N53&lt;&gt;"",N53,L53))))</f>
        <v/>
      </c>
      <c r="V53" s="12"/>
      <c r="W53" s="14"/>
      <c r="X53" s="14"/>
      <c r="Y53" s="13"/>
      <c r="Z53" s="12"/>
      <c r="AA53" s="12"/>
      <c r="AB53" s="12"/>
      <c r="AC53" s="12"/>
      <c r="AD53" s="15"/>
      <c r="AE53" s="12"/>
      <c r="AF53" s="13"/>
      <c r="AG53" s="12"/>
      <c r="AH53" s="12"/>
      <c r="AI53" s="15"/>
      <c r="AJ53" s="12"/>
      <c r="AK53" s="12"/>
      <c r="AL53" s="12"/>
      <c r="AM53" s="12"/>
      <c r="AN53" s="12"/>
      <c r="AO53" s="12"/>
      <c r="AP53" s="12"/>
      <c r="AQ53" s="15"/>
      <c r="AR53" s="12"/>
      <c r="AS53" s="12"/>
      <c r="AT53" s="12"/>
      <c r="AU53" s="12"/>
      <c r="AV53" s="12"/>
      <c r="AW53" s="12"/>
      <c r="AX53" s="13"/>
      <c r="AY53" s="12"/>
      <c r="AZ53" s="12" t="str">
        <f>IF(AND(A53="",B53="",E53="",G53="",I53="",AV53="",AX53=""),"",IF(OR(B53="skip",AV53="skip"),"SKIP",IF(OR(B53="to_candidate",AV53="proposed_name"),IF(OR(A53="",AW53="",AX53="",COUNTIF($A$6:$A$505,A53)&gt;1),"REVIEW","TO_PROPOSED"),IF(OR(B53="",A53="",E53="",G53="",I53="",U53="",AV53="",COUNTIF($A$6:$A$505,A53)&gt;1,(COUNTIFS('أرقام التواصل'!$A$6:$A$505,"client",'أرقام التواصل'!$B$6:$B$505,A53,'أرقام التواصل'!$I$6:$I$505,"TRUE")+COUNTIFS('أرقام التواصل'!$A$6:$A$505,"client",'أرقام التواصل'!$B$6:$B$505,A53,'أرقام التواصل'!$C$6:$C$505,1))=0),"REVIEW","READY"))))</f>
        <v/>
      </c>
      <c r="BA53" s="16" t="str">
        <f>IF(AZ53="","",IF(OR(AZ53="READY",AZ53="TO_PROPOSED"),"",IF(AZ53="SKIP","Skipped by decision",TRIM(IF(B53="","missing import_action; ","")&amp;IF(A53="","missing migration_customer_key; ","")&amp;IF(AND(A53&lt;&gt;"",COUNTIF($A$6:$A$505,A53)&gt;1),"duplicate migration_customer_key; ","")&amp;IF(AND(NOT(OR(B53="to_candidate",AV53="proposed_name")),E53=""),"missing branch_id; ","")&amp;IF(AND(NOT(OR(B53="to_candidate",AV53="proposed_name")),G53=""),"missing first_name; ","")&amp;IF(AND(NOT(OR(B53="to_candidate",AV53="proposed_name")),I53=""),"missing last_name; ","")&amp;IF(AND(NOT(OR(B53="to_candidate",AV53="proposed_name")),U53=""),"missing final_geo_unit_id; ","")&amp;IF(AV53="","missing final_destination; ","")&amp;IF(AND(NOT(OR(B53="to_candidate",AV53="proposed_name")),(COUNTIFS('أرقام التواصل'!$A$6:$A$505,"client",'أرقام التواصل'!$B$6:$B$505,A53,'أرقام التواصل'!$I$6:$I$505,"TRUE")+COUNTIFS('أرقام التواصل'!$A$6:$A$505,"client",'أرقام التواصل'!$B$6:$B$505,A53,'أرقام التواصل'!$C$6:$C$505,1))=0),"missing primary contact in أرقام التواصل; ","")&amp;IF(OR(B53="to_candidate",AV53="proposed_name"),IF(AW53="","missing proposed_move_reason; ","")&amp;IF(AX53="","missing proposed_name_key; ",""),"")))))</f>
        <v/>
      </c>
    </row>
    <row r="54" spans="1:53">
      <c r="A54" s="11"/>
      <c r="B54" s="12"/>
      <c r="C54" s="13"/>
      <c r="D54" s="12"/>
      <c r="E54" s="12"/>
      <c r="F54" s="12"/>
      <c r="G54" s="12"/>
      <c r="H54" s="12"/>
      <c r="I54" s="12"/>
      <c r="J54" s="12"/>
      <c r="K54" s="12" t="str">
        <f t="shared" si="0"/>
        <v/>
      </c>
      <c r="L54" s="12"/>
      <c r="M54" s="12"/>
      <c r="N54" s="12"/>
      <c r="O54" s="12"/>
      <c r="P54" s="12"/>
      <c r="Q54" s="12"/>
      <c r="R54" s="12"/>
      <c r="S54" s="12"/>
      <c r="T54" s="12"/>
      <c r="U54" s="12" t="str">
        <f>IF(AND(L54="",N54="",P54="",R54=""),"",IF(R54&lt;&gt;"",R54,IF(P54&lt;&gt;"",P54,IF(N54&lt;&gt;"",N54,L54))))</f>
        <v/>
      </c>
      <c r="V54" s="12"/>
      <c r="W54" s="14"/>
      <c r="X54" s="14"/>
      <c r="Y54" s="13"/>
      <c r="Z54" s="12"/>
      <c r="AA54" s="12"/>
      <c r="AB54" s="12"/>
      <c r="AC54" s="12"/>
      <c r="AD54" s="15"/>
      <c r="AE54" s="12"/>
      <c r="AF54" s="13"/>
      <c r="AG54" s="12"/>
      <c r="AH54" s="12"/>
      <c r="AI54" s="15"/>
      <c r="AJ54" s="12"/>
      <c r="AK54" s="12"/>
      <c r="AL54" s="12"/>
      <c r="AM54" s="12"/>
      <c r="AN54" s="12"/>
      <c r="AO54" s="12"/>
      <c r="AP54" s="12"/>
      <c r="AQ54" s="15"/>
      <c r="AR54" s="12"/>
      <c r="AS54" s="12"/>
      <c r="AT54" s="12"/>
      <c r="AU54" s="12"/>
      <c r="AV54" s="12"/>
      <c r="AW54" s="12"/>
      <c r="AX54" s="13"/>
      <c r="AY54" s="12"/>
      <c r="AZ54" s="12" t="str">
        <f>IF(AND(A54="",B54="",E54="",G54="",I54="",AV54="",AX54=""),"",IF(OR(B54="skip",AV54="skip"),"SKIP",IF(OR(B54="to_candidate",AV54="proposed_name"),IF(OR(A54="",AW54="",AX54="",COUNTIF($A$6:$A$505,A54)&gt;1),"REVIEW","TO_PROPOSED"),IF(OR(B54="",A54="",E54="",G54="",I54="",U54="",AV54="",COUNTIF($A$6:$A$505,A54)&gt;1,(COUNTIFS('أرقام التواصل'!$A$6:$A$505,"client",'أرقام التواصل'!$B$6:$B$505,A54,'أرقام التواصل'!$I$6:$I$505,"TRUE")+COUNTIFS('أرقام التواصل'!$A$6:$A$505,"client",'أرقام التواصل'!$B$6:$B$505,A54,'أرقام التواصل'!$C$6:$C$505,1))=0),"REVIEW","READY"))))</f>
        <v/>
      </c>
      <c r="BA54" s="16" t="str">
        <f>IF(AZ54="","",IF(OR(AZ54="READY",AZ54="TO_PROPOSED"),"",IF(AZ54="SKIP","Skipped by decision",TRIM(IF(B54="","missing import_action; ","")&amp;IF(A54="","missing migration_customer_key; ","")&amp;IF(AND(A54&lt;&gt;"",COUNTIF($A$6:$A$505,A54)&gt;1),"duplicate migration_customer_key; ","")&amp;IF(AND(NOT(OR(B54="to_candidate",AV54="proposed_name")),E54=""),"missing branch_id; ","")&amp;IF(AND(NOT(OR(B54="to_candidate",AV54="proposed_name")),G54=""),"missing first_name; ","")&amp;IF(AND(NOT(OR(B54="to_candidate",AV54="proposed_name")),I54=""),"missing last_name; ","")&amp;IF(AND(NOT(OR(B54="to_candidate",AV54="proposed_name")),U54=""),"missing final_geo_unit_id; ","")&amp;IF(AV54="","missing final_destination; ","")&amp;IF(AND(NOT(OR(B54="to_candidate",AV54="proposed_name")),(COUNTIFS('أرقام التواصل'!$A$6:$A$505,"client",'أرقام التواصل'!$B$6:$B$505,A54,'أرقام التواصل'!$I$6:$I$505,"TRUE")+COUNTIFS('أرقام التواصل'!$A$6:$A$505,"client",'أرقام التواصل'!$B$6:$B$505,A54,'أرقام التواصل'!$C$6:$C$505,1))=0),"missing primary contact in أرقام التواصل; ","")&amp;IF(OR(B54="to_candidate",AV54="proposed_name"),IF(AW54="","missing proposed_move_reason; ","")&amp;IF(AX54="","missing proposed_name_key; ",""),"")))))</f>
        <v/>
      </c>
    </row>
    <row r="55" spans="1:53">
      <c r="A55" s="11"/>
      <c r="B55" s="12"/>
      <c r="C55" s="13"/>
      <c r="D55" s="12"/>
      <c r="E55" s="12"/>
      <c r="F55" s="12"/>
      <c r="G55" s="12"/>
      <c r="H55" s="12"/>
      <c r="I55" s="12"/>
      <c r="J55" s="12"/>
      <c r="K55" s="12" t="str">
        <f t="shared" si="0"/>
        <v/>
      </c>
      <c r="L55" s="12"/>
      <c r="M55" s="12"/>
      <c r="N55" s="12"/>
      <c r="O55" s="12"/>
      <c r="P55" s="12"/>
      <c r="Q55" s="12"/>
      <c r="R55" s="12"/>
      <c r="S55" s="12"/>
      <c r="T55" s="12"/>
      <c r="U55" s="12" t="str">
        <f>IF(AND(L55="",N55="",P55="",R55=""),"",IF(R55&lt;&gt;"",R55,IF(P55&lt;&gt;"",P55,IF(N55&lt;&gt;"",N55,L55))))</f>
        <v/>
      </c>
      <c r="V55" s="12"/>
      <c r="W55" s="14"/>
      <c r="X55" s="14"/>
      <c r="Y55" s="13"/>
      <c r="Z55" s="12"/>
      <c r="AA55" s="12"/>
      <c r="AB55" s="12"/>
      <c r="AC55" s="12"/>
      <c r="AD55" s="15"/>
      <c r="AE55" s="12"/>
      <c r="AF55" s="13"/>
      <c r="AG55" s="12"/>
      <c r="AH55" s="12"/>
      <c r="AI55" s="15"/>
      <c r="AJ55" s="12"/>
      <c r="AK55" s="12"/>
      <c r="AL55" s="12"/>
      <c r="AM55" s="12"/>
      <c r="AN55" s="12"/>
      <c r="AO55" s="12"/>
      <c r="AP55" s="12"/>
      <c r="AQ55" s="15"/>
      <c r="AR55" s="12"/>
      <c r="AS55" s="12"/>
      <c r="AT55" s="12"/>
      <c r="AU55" s="12"/>
      <c r="AV55" s="12"/>
      <c r="AW55" s="12"/>
      <c r="AX55" s="13"/>
      <c r="AY55" s="12"/>
      <c r="AZ55" s="12" t="str">
        <f>IF(AND(A55="",B55="",E55="",G55="",I55="",AV55="",AX55=""),"",IF(OR(B55="skip",AV55="skip"),"SKIP",IF(OR(B55="to_candidate",AV55="proposed_name"),IF(OR(A55="",AW55="",AX55="",COUNTIF($A$6:$A$505,A55)&gt;1),"REVIEW","TO_PROPOSED"),IF(OR(B55="",A55="",E55="",G55="",I55="",U55="",AV55="",COUNTIF($A$6:$A$505,A55)&gt;1,(COUNTIFS('أرقام التواصل'!$A$6:$A$505,"client",'أرقام التواصل'!$B$6:$B$505,A55,'أرقام التواصل'!$I$6:$I$505,"TRUE")+COUNTIFS('أرقام التواصل'!$A$6:$A$505,"client",'أرقام التواصل'!$B$6:$B$505,A55,'أرقام التواصل'!$C$6:$C$505,1))=0),"REVIEW","READY"))))</f>
        <v/>
      </c>
      <c r="BA55" s="16" t="str">
        <f>IF(AZ55="","",IF(OR(AZ55="READY",AZ55="TO_PROPOSED"),"",IF(AZ55="SKIP","Skipped by decision",TRIM(IF(B55="","missing import_action; ","")&amp;IF(A55="","missing migration_customer_key; ","")&amp;IF(AND(A55&lt;&gt;"",COUNTIF($A$6:$A$505,A55)&gt;1),"duplicate migration_customer_key; ","")&amp;IF(AND(NOT(OR(B55="to_candidate",AV55="proposed_name")),E55=""),"missing branch_id; ","")&amp;IF(AND(NOT(OR(B55="to_candidate",AV55="proposed_name")),G55=""),"missing first_name; ","")&amp;IF(AND(NOT(OR(B55="to_candidate",AV55="proposed_name")),I55=""),"missing last_name; ","")&amp;IF(AND(NOT(OR(B55="to_candidate",AV55="proposed_name")),U55=""),"missing final_geo_unit_id; ","")&amp;IF(AV55="","missing final_destination; ","")&amp;IF(AND(NOT(OR(B55="to_candidate",AV55="proposed_name")),(COUNTIFS('أرقام التواصل'!$A$6:$A$505,"client",'أرقام التواصل'!$B$6:$B$505,A55,'أرقام التواصل'!$I$6:$I$505,"TRUE")+COUNTIFS('أرقام التواصل'!$A$6:$A$505,"client",'أرقام التواصل'!$B$6:$B$505,A55,'أرقام التواصل'!$C$6:$C$505,1))=0),"missing primary contact in أرقام التواصل; ","")&amp;IF(OR(B55="to_candidate",AV55="proposed_name"),IF(AW55="","missing proposed_move_reason; ","")&amp;IF(AX55="","missing proposed_name_key; ",""),"")))))</f>
        <v/>
      </c>
    </row>
    <row r="56" spans="1:53">
      <c r="A56" s="11"/>
      <c r="B56" s="12"/>
      <c r="C56" s="13"/>
      <c r="D56" s="12"/>
      <c r="E56" s="12"/>
      <c r="F56" s="12"/>
      <c r="G56" s="12"/>
      <c r="H56" s="12"/>
      <c r="I56" s="12"/>
      <c r="J56" s="12"/>
      <c r="K56" s="12" t="str">
        <f t="shared" si="0"/>
        <v/>
      </c>
      <c r="L56" s="12"/>
      <c r="M56" s="12"/>
      <c r="N56" s="12"/>
      <c r="O56" s="12"/>
      <c r="P56" s="12"/>
      <c r="Q56" s="12"/>
      <c r="R56" s="12"/>
      <c r="S56" s="12"/>
      <c r="T56" s="12"/>
      <c r="U56" s="12" t="str">
        <f>IF(AND(L56="",N56="",P56="",R56=""),"",IF(R56&lt;&gt;"",R56,IF(P56&lt;&gt;"",P56,IF(N56&lt;&gt;"",N56,L56))))</f>
        <v/>
      </c>
      <c r="V56" s="12"/>
      <c r="W56" s="14"/>
      <c r="X56" s="14"/>
      <c r="Y56" s="13"/>
      <c r="Z56" s="12"/>
      <c r="AA56" s="12"/>
      <c r="AB56" s="12"/>
      <c r="AC56" s="12"/>
      <c r="AD56" s="15"/>
      <c r="AE56" s="12"/>
      <c r="AF56" s="13"/>
      <c r="AG56" s="12"/>
      <c r="AH56" s="12"/>
      <c r="AI56" s="15"/>
      <c r="AJ56" s="12"/>
      <c r="AK56" s="12"/>
      <c r="AL56" s="12"/>
      <c r="AM56" s="12"/>
      <c r="AN56" s="12"/>
      <c r="AO56" s="12"/>
      <c r="AP56" s="12"/>
      <c r="AQ56" s="15"/>
      <c r="AR56" s="12"/>
      <c r="AS56" s="12"/>
      <c r="AT56" s="12"/>
      <c r="AU56" s="12"/>
      <c r="AV56" s="12"/>
      <c r="AW56" s="12"/>
      <c r="AX56" s="13"/>
      <c r="AY56" s="12"/>
      <c r="AZ56" s="12" t="str">
        <f>IF(AND(A56="",B56="",E56="",G56="",I56="",AV56="",AX56=""),"",IF(OR(B56="skip",AV56="skip"),"SKIP",IF(OR(B56="to_candidate",AV56="proposed_name"),IF(OR(A56="",AW56="",AX56="",COUNTIF($A$6:$A$505,A56)&gt;1),"REVIEW","TO_PROPOSED"),IF(OR(B56="",A56="",E56="",G56="",I56="",U56="",AV56="",COUNTIF($A$6:$A$505,A56)&gt;1,(COUNTIFS('أرقام التواصل'!$A$6:$A$505,"client",'أرقام التواصل'!$B$6:$B$505,A56,'أرقام التواصل'!$I$6:$I$505,"TRUE")+COUNTIFS('أرقام التواصل'!$A$6:$A$505,"client",'أرقام التواصل'!$B$6:$B$505,A56,'أرقام التواصل'!$C$6:$C$505,1))=0),"REVIEW","READY"))))</f>
        <v/>
      </c>
      <c r="BA56" s="16" t="str">
        <f>IF(AZ56="","",IF(OR(AZ56="READY",AZ56="TO_PROPOSED"),"",IF(AZ56="SKIP","Skipped by decision",TRIM(IF(B56="","missing import_action; ","")&amp;IF(A56="","missing migration_customer_key; ","")&amp;IF(AND(A56&lt;&gt;"",COUNTIF($A$6:$A$505,A56)&gt;1),"duplicate migration_customer_key; ","")&amp;IF(AND(NOT(OR(B56="to_candidate",AV56="proposed_name")),E56=""),"missing branch_id; ","")&amp;IF(AND(NOT(OR(B56="to_candidate",AV56="proposed_name")),G56=""),"missing first_name; ","")&amp;IF(AND(NOT(OR(B56="to_candidate",AV56="proposed_name")),I56=""),"missing last_name; ","")&amp;IF(AND(NOT(OR(B56="to_candidate",AV56="proposed_name")),U56=""),"missing final_geo_unit_id; ","")&amp;IF(AV56="","missing final_destination; ","")&amp;IF(AND(NOT(OR(B56="to_candidate",AV56="proposed_name")),(COUNTIFS('أرقام التواصل'!$A$6:$A$505,"client",'أرقام التواصل'!$B$6:$B$505,A56,'أرقام التواصل'!$I$6:$I$505,"TRUE")+COUNTIFS('أرقام التواصل'!$A$6:$A$505,"client",'أرقام التواصل'!$B$6:$B$505,A56,'أرقام التواصل'!$C$6:$C$505,1))=0),"missing primary contact in أرقام التواصل; ","")&amp;IF(OR(B56="to_candidate",AV56="proposed_name"),IF(AW56="","missing proposed_move_reason; ","")&amp;IF(AX56="","missing proposed_name_key; ",""),"")))))</f>
        <v/>
      </c>
    </row>
    <row r="57" spans="1:53">
      <c r="A57" s="11"/>
      <c r="B57" s="12"/>
      <c r="C57" s="13"/>
      <c r="D57" s="12"/>
      <c r="E57" s="12"/>
      <c r="F57" s="12"/>
      <c r="G57" s="12"/>
      <c r="H57" s="12"/>
      <c r="I57" s="12"/>
      <c r="J57" s="12"/>
      <c r="K57" s="12" t="str">
        <f t="shared" si="0"/>
        <v/>
      </c>
      <c r="L57" s="12"/>
      <c r="M57" s="12"/>
      <c r="N57" s="12"/>
      <c r="O57" s="12"/>
      <c r="P57" s="12"/>
      <c r="Q57" s="12"/>
      <c r="R57" s="12"/>
      <c r="S57" s="12"/>
      <c r="T57" s="12"/>
      <c r="U57" s="12" t="str">
        <f>IF(AND(L57="",N57="",P57="",R57=""),"",IF(R57&lt;&gt;"",R57,IF(P57&lt;&gt;"",P57,IF(N57&lt;&gt;"",N57,L57))))</f>
        <v/>
      </c>
      <c r="V57" s="12"/>
      <c r="W57" s="14"/>
      <c r="X57" s="14"/>
      <c r="Y57" s="13"/>
      <c r="Z57" s="12"/>
      <c r="AA57" s="12"/>
      <c r="AB57" s="12"/>
      <c r="AC57" s="12"/>
      <c r="AD57" s="15"/>
      <c r="AE57" s="12"/>
      <c r="AF57" s="13"/>
      <c r="AG57" s="12"/>
      <c r="AH57" s="12"/>
      <c r="AI57" s="15"/>
      <c r="AJ57" s="12"/>
      <c r="AK57" s="12"/>
      <c r="AL57" s="12"/>
      <c r="AM57" s="12"/>
      <c r="AN57" s="12"/>
      <c r="AO57" s="12"/>
      <c r="AP57" s="12"/>
      <c r="AQ57" s="15"/>
      <c r="AR57" s="12"/>
      <c r="AS57" s="12"/>
      <c r="AT57" s="12"/>
      <c r="AU57" s="12"/>
      <c r="AV57" s="12"/>
      <c r="AW57" s="12"/>
      <c r="AX57" s="13"/>
      <c r="AY57" s="12"/>
      <c r="AZ57" s="12" t="str">
        <f>IF(AND(A57="",B57="",E57="",G57="",I57="",AV57="",AX57=""),"",IF(OR(B57="skip",AV57="skip"),"SKIP",IF(OR(B57="to_candidate",AV57="proposed_name"),IF(OR(A57="",AW57="",AX57="",COUNTIF($A$6:$A$505,A57)&gt;1),"REVIEW","TO_PROPOSED"),IF(OR(B57="",A57="",E57="",G57="",I57="",U57="",AV57="",COUNTIF($A$6:$A$505,A57)&gt;1,(COUNTIFS('أرقام التواصل'!$A$6:$A$505,"client",'أرقام التواصل'!$B$6:$B$505,A57,'أرقام التواصل'!$I$6:$I$505,"TRUE")+COUNTIFS('أرقام التواصل'!$A$6:$A$505,"client",'أرقام التواصل'!$B$6:$B$505,A57,'أرقام التواصل'!$C$6:$C$505,1))=0),"REVIEW","READY"))))</f>
        <v/>
      </c>
      <c r="BA57" s="16" t="str">
        <f>IF(AZ57="","",IF(OR(AZ57="READY",AZ57="TO_PROPOSED"),"",IF(AZ57="SKIP","Skipped by decision",TRIM(IF(B57="","missing import_action; ","")&amp;IF(A57="","missing migration_customer_key; ","")&amp;IF(AND(A57&lt;&gt;"",COUNTIF($A$6:$A$505,A57)&gt;1),"duplicate migration_customer_key; ","")&amp;IF(AND(NOT(OR(B57="to_candidate",AV57="proposed_name")),E57=""),"missing branch_id; ","")&amp;IF(AND(NOT(OR(B57="to_candidate",AV57="proposed_name")),G57=""),"missing first_name; ","")&amp;IF(AND(NOT(OR(B57="to_candidate",AV57="proposed_name")),I57=""),"missing last_name; ","")&amp;IF(AND(NOT(OR(B57="to_candidate",AV57="proposed_name")),U57=""),"missing final_geo_unit_id; ","")&amp;IF(AV57="","missing final_destination; ","")&amp;IF(AND(NOT(OR(B57="to_candidate",AV57="proposed_name")),(COUNTIFS('أرقام التواصل'!$A$6:$A$505,"client",'أرقام التواصل'!$B$6:$B$505,A57,'أرقام التواصل'!$I$6:$I$505,"TRUE")+COUNTIFS('أرقام التواصل'!$A$6:$A$505,"client",'أرقام التواصل'!$B$6:$B$505,A57,'أرقام التواصل'!$C$6:$C$505,1))=0),"missing primary contact in أرقام التواصل; ","")&amp;IF(OR(B57="to_candidate",AV57="proposed_name"),IF(AW57="","missing proposed_move_reason; ","")&amp;IF(AX57="","missing proposed_name_key; ",""),"")))))</f>
        <v/>
      </c>
    </row>
    <row r="58" spans="1:53">
      <c r="A58" s="11"/>
      <c r="B58" s="12"/>
      <c r="C58" s="13"/>
      <c r="D58" s="12"/>
      <c r="E58" s="12"/>
      <c r="F58" s="12"/>
      <c r="G58" s="12"/>
      <c r="H58" s="12"/>
      <c r="I58" s="12"/>
      <c r="J58" s="12"/>
      <c r="K58" s="12" t="str">
        <f t="shared" si="0"/>
        <v/>
      </c>
      <c r="L58" s="12"/>
      <c r="M58" s="12"/>
      <c r="N58" s="12"/>
      <c r="O58" s="12"/>
      <c r="P58" s="12"/>
      <c r="Q58" s="12"/>
      <c r="R58" s="12"/>
      <c r="S58" s="12"/>
      <c r="T58" s="12"/>
      <c r="U58" s="12" t="str">
        <f>IF(AND(L58="",N58="",P58="",R58=""),"",IF(R58&lt;&gt;"",R58,IF(P58&lt;&gt;"",P58,IF(N58&lt;&gt;"",N58,L58))))</f>
        <v/>
      </c>
      <c r="V58" s="12"/>
      <c r="W58" s="14"/>
      <c r="X58" s="14"/>
      <c r="Y58" s="13"/>
      <c r="Z58" s="12"/>
      <c r="AA58" s="12"/>
      <c r="AB58" s="12"/>
      <c r="AC58" s="12"/>
      <c r="AD58" s="15"/>
      <c r="AE58" s="12"/>
      <c r="AF58" s="13"/>
      <c r="AG58" s="12"/>
      <c r="AH58" s="12"/>
      <c r="AI58" s="15"/>
      <c r="AJ58" s="12"/>
      <c r="AK58" s="12"/>
      <c r="AL58" s="12"/>
      <c r="AM58" s="12"/>
      <c r="AN58" s="12"/>
      <c r="AO58" s="12"/>
      <c r="AP58" s="12"/>
      <c r="AQ58" s="15"/>
      <c r="AR58" s="12"/>
      <c r="AS58" s="12"/>
      <c r="AT58" s="12"/>
      <c r="AU58" s="12"/>
      <c r="AV58" s="12"/>
      <c r="AW58" s="12"/>
      <c r="AX58" s="13"/>
      <c r="AY58" s="12"/>
      <c r="AZ58" s="12" t="str">
        <f>IF(AND(A58="",B58="",E58="",G58="",I58="",AV58="",AX58=""),"",IF(OR(B58="skip",AV58="skip"),"SKIP",IF(OR(B58="to_candidate",AV58="proposed_name"),IF(OR(A58="",AW58="",AX58="",COUNTIF($A$6:$A$505,A58)&gt;1),"REVIEW","TO_PROPOSED"),IF(OR(B58="",A58="",E58="",G58="",I58="",U58="",AV58="",COUNTIF($A$6:$A$505,A58)&gt;1,(COUNTIFS('أرقام التواصل'!$A$6:$A$505,"client",'أرقام التواصل'!$B$6:$B$505,A58,'أرقام التواصل'!$I$6:$I$505,"TRUE")+COUNTIFS('أرقام التواصل'!$A$6:$A$505,"client",'أرقام التواصل'!$B$6:$B$505,A58,'أرقام التواصل'!$C$6:$C$505,1))=0),"REVIEW","READY"))))</f>
        <v/>
      </c>
      <c r="BA58" s="16" t="str">
        <f>IF(AZ58="","",IF(OR(AZ58="READY",AZ58="TO_PROPOSED"),"",IF(AZ58="SKIP","Skipped by decision",TRIM(IF(B58="","missing import_action; ","")&amp;IF(A58="","missing migration_customer_key; ","")&amp;IF(AND(A58&lt;&gt;"",COUNTIF($A$6:$A$505,A58)&gt;1),"duplicate migration_customer_key; ","")&amp;IF(AND(NOT(OR(B58="to_candidate",AV58="proposed_name")),E58=""),"missing branch_id; ","")&amp;IF(AND(NOT(OR(B58="to_candidate",AV58="proposed_name")),G58=""),"missing first_name; ","")&amp;IF(AND(NOT(OR(B58="to_candidate",AV58="proposed_name")),I58=""),"missing last_name; ","")&amp;IF(AND(NOT(OR(B58="to_candidate",AV58="proposed_name")),U58=""),"missing final_geo_unit_id; ","")&amp;IF(AV58="","missing final_destination; ","")&amp;IF(AND(NOT(OR(B58="to_candidate",AV58="proposed_name")),(COUNTIFS('أرقام التواصل'!$A$6:$A$505,"client",'أرقام التواصل'!$B$6:$B$505,A58,'أرقام التواصل'!$I$6:$I$505,"TRUE")+COUNTIFS('أرقام التواصل'!$A$6:$A$505,"client",'أرقام التواصل'!$B$6:$B$505,A58,'أرقام التواصل'!$C$6:$C$505,1))=0),"missing primary contact in أرقام التواصل; ","")&amp;IF(OR(B58="to_candidate",AV58="proposed_name"),IF(AW58="","missing proposed_move_reason; ","")&amp;IF(AX58="","missing proposed_name_key; ",""),"")))))</f>
        <v/>
      </c>
    </row>
    <row r="59" spans="1:53">
      <c r="A59" s="11"/>
      <c r="B59" s="12"/>
      <c r="C59" s="13"/>
      <c r="D59" s="12"/>
      <c r="E59" s="12"/>
      <c r="F59" s="12"/>
      <c r="G59" s="12"/>
      <c r="H59" s="12"/>
      <c r="I59" s="12"/>
      <c r="J59" s="12"/>
      <c r="K59" s="12" t="str">
        <f t="shared" si="0"/>
        <v/>
      </c>
      <c r="L59" s="12"/>
      <c r="M59" s="12"/>
      <c r="N59" s="12"/>
      <c r="O59" s="12"/>
      <c r="P59" s="12"/>
      <c r="Q59" s="12"/>
      <c r="R59" s="12"/>
      <c r="S59" s="12"/>
      <c r="T59" s="12"/>
      <c r="U59" s="12" t="str">
        <f>IF(AND(L59="",N59="",P59="",R59=""),"",IF(R59&lt;&gt;"",R59,IF(P59&lt;&gt;"",P59,IF(N59&lt;&gt;"",N59,L59))))</f>
        <v/>
      </c>
      <c r="V59" s="12"/>
      <c r="W59" s="14"/>
      <c r="X59" s="14"/>
      <c r="Y59" s="13"/>
      <c r="Z59" s="12"/>
      <c r="AA59" s="12"/>
      <c r="AB59" s="12"/>
      <c r="AC59" s="12"/>
      <c r="AD59" s="15"/>
      <c r="AE59" s="12"/>
      <c r="AF59" s="13"/>
      <c r="AG59" s="12"/>
      <c r="AH59" s="12"/>
      <c r="AI59" s="15"/>
      <c r="AJ59" s="12"/>
      <c r="AK59" s="12"/>
      <c r="AL59" s="12"/>
      <c r="AM59" s="12"/>
      <c r="AN59" s="12"/>
      <c r="AO59" s="12"/>
      <c r="AP59" s="12"/>
      <c r="AQ59" s="15"/>
      <c r="AR59" s="12"/>
      <c r="AS59" s="12"/>
      <c r="AT59" s="12"/>
      <c r="AU59" s="12"/>
      <c r="AV59" s="12"/>
      <c r="AW59" s="12"/>
      <c r="AX59" s="13"/>
      <c r="AY59" s="12"/>
      <c r="AZ59" s="12" t="str">
        <f>IF(AND(A59="",B59="",E59="",G59="",I59="",AV59="",AX59=""),"",IF(OR(B59="skip",AV59="skip"),"SKIP",IF(OR(B59="to_candidate",AV59="proposed_name"),IF(OR(A59="",AW59="",AX59="",COUNTIF($A$6:$A$505,A59)&gt;1),"REVIEW","TO_PROPOSED"),IF(OR(B59="",A59="",E59="",G59="",I59="",U59="",AV59="",COUNTIF($A$6:$A$505,A59)&gt;1,(COUNTIFS('أرقام التواصل'!$A$6:$A$505,"client",'أرقام التواصل'!$B$6:$B$505,A59,'أرقام التواصل'!$I$6:$I$505,"TRUE")+COUNTIFS('أرقام التواصل'!$A$6:$A$505,"client",'أرقام التواصل'!$B$6:$B$505,A59,'أرقام التواصل'!$C$6:$C$505,1))=0),"REVIEW","READY"))))</f>
        <v/>
      </c>
      <c r="BA59" s="16" t="str">
        <f>IF(AZ59="","",IF(OR(AZ59="READY",AZ59="TO_PROPOSED"),"",IF(AZ59="SKIP","Skipped by decision",TRIM(IF(B59="","missing import_action; ","")&amp;IF(A59="","missing migration_customer_key; ","")&amp;IF(AND(A59&lt;&gt;"",COUNTIF($A$6:$A$505,A59)&gt;1),"duplicate migration_customer_key; ","")&amp;IF(AND(NOT(OR(B59="to_candidate",AV59="proposed_name")),E59=""),"missing branch_id; ","")&amp;IF(AND(NOT(OR(B59="to_candidate",AV59="proposed_name")),G59=""),"missing first_name; ","")&amp;IF(AND(NOT(OR(B59="to_candidate",AV59="proposed_name")),I59=""),"missing last_name; ","")&amp;IF(AND(NOT(OR(B59="to_candidate",AV59="proposed_name")),U59=""),"missing final_geo_unit_id; ","")&amp;IF(AV59="","missing final_destination; ","")&amp;IF(AND(NOT(OR(B59="to_candidate",AV59="proposed_name")),(COUNTIFS('أرقام التواصل'!$A$6:$A$505,"client",'أرقام التواصل'!$B$6:$B$505,A59,'أرقام التواصل'!$I$6:$I$505,"TRUE")+COUNTIFS('أرقام التواصل'!$A$6:$A$505,"client",'أرقام التواصل'!$B$6:$B$505,A59,'أرقام التواصل'!$C$6:$C$505,1))=0),"missing primary contact in أرقام التواصل; ","")&amp;IF(OR(B59="to_candidate",AV59="proposed_name"),IF(AW59="","missing proposed_move_reason; ","")&amp;IF(AX59="","missing proposed_name_key; ",""),"")))))</f>
        <v/>
      </c>
    </row>
    <row r="60" spans="1:53">
      <c r="A60" s="11"/>
      <c r="B60" s="12"/>
      <c r="C60" s="13"/>
      <c r="D60" s="12"/>
      <c r="E60" s="12"/>
      <c r="F60" s="12"/>
      <c r="G60" s="12"/>
      <c r="H60" s="12"/>
      <c r="I60" s="12"/>
      <c r="J60" s="12"/>
      <c r="K60" s="12" t="str">
        <f t="shared" si="0"/>
        <v/>
      </c>
      <c r="L60" s="12"/>
      <c r="M60" s="12"/>
      <c r="N60" s="12"/>
      <c r="O60" s="12"/>
      <c r="P60" s="12"/>
      <c r="Q60" s="12"/>
      <c r="R60" s="12"/>
      <c r="S60" s="12"/>
      <c r="T60" s="12"/>
      <c r="U60" s="12" t="str">
        <f>IF(AND(L60="",N60="",P60="",R60=""),"",IF(R60&lt;&gt;"",R60,IF(P60&lt;&gt;"",P60,IF(N60&lt;&gt;"",N60,L60))))</f>
        <v/>
      </c>
      <c r="V60" s="12"/>
      <c r="W60" s="14"/>
      <c r="X60" s="14"/>
      <c r="Y60" s="13"/>
      <c r="Z60" s="12"/>
      <c r="AA60" s="12"/>
      <c r="AB60" s="12"/>
      <c r="AC60" s="12"/>
      <c r="AD60" s="15"/>
      <c r="AE60" s="12"/>
      <c r="AF60" s="13"/>
      <c r="AG60" s="12"/>
      <c r="AH60" s="12"/>
      <c r="AI60" s="15"/>
      <c r="AJ60" s="12"/>
      <c r="AK60" s="12"/>
      <c r="AL60" s="12"/>
      <c r="AM60" s="12"/>
      <c r="AN60" s="12"/>
      <c r="AO60" s="12"/>
      <c r="AP60" s="12"/>
      <c r="AQ60" s="15"/>
      <c r="AR60" s="12"/>
      <c r="AS60" s="12"/>
      <c r="AT60" s="12"/>
      <c r="AU60" s="12"/>
      <c r="AV60" s="12"/>
      <c r="AW60" s="12"/>
      <c r="AX60" s="13"/>
      <c r="AY60" s="12"/>
      <c r="AZ60" s="12" t="str">
        <f>IF(AND(A60="",B60="",E60="",G60="",I60="",AV60="",AX60=""),"",IF(OR(B60="skip",AV60="skip"),"SKIP",IF(OR(B60="to_candidate",AV60="proposed_name"),IF(OR(A60="",AW60="",AX60="",COUNTIF($A$6:$A$505,A60)&gt;1),"REVIEW","TO_PROPOSED"),IF(OR(B60="",A60="",E60="",G60="",I60="",U60="",AV60="",COUNTIF($A$6:$A$505,A60)&gt;1,(COUNTIFS('أرقام التواصل'!$A$6:$A$505,"client",'أرقام التواصل'!$B$6:$B$505,A60,'أرقام التواصل'!$I$6:$I$505,"TRUE")+COUNTIFS('أرقام التواصل'!$A$6:$A$505,"client",'أرقام التواصل'!$B$6:$B$505,A60,'أرقام التواصل'!$C$6:$C$505,1))=0),"REVIEW","READY"))))</f>
        <v/>
      </c>
      <c r="BA60" s="16" t="str">
        <f>IF(AZ60="","",IF(OR(AZ60="READY",AZ60="TO_PROPOSED"),"",IF(AZ60="SKIP","Skipped by decision",TRIM(IF(B60="","missing import_action; ","")&amp;IF(A60="","missing migration_customer_key; ","")&amp;IF(AND(A60&lt;&gt;"",COUNTIF($A$6:$A$505,A60)&gt;1),"duplicate migration_customer_key; ","")&amp;IF(AND(NOT(OR(B60="to_candidate",AV60="proposed_name")),E60=""),"missing branch_id; ","")&amp;IF(AND(NOT(OR(B60="to_candidate",AV60="proposed_name")),G60=""),"missing first_name; ","")&amp;IF(AND(NOT(OR(B60="to_candidate",AV60="proposed_name")),I60=""),"missing last_name; ","")&amp;IF(AND(NOT(OR(B60="to_candidate",AV60="proposed_name")),U60=""),"missing final_geo_unit_id; ","")&amp;IF(AV60="","missing final_destination; ","")&amp;IF(AND(NOT(OR(B60="to_candidate",AV60="proposed_name")),(COUNTIFS('أرقام التواصل'!$A$6:$A$505,"client",'أرقام التواصل'!$B$6:$B$505,A60,'أرقام التواصل'!$I$6:$I$505,"TRUE")+COUNTIFS('أرقام التواصل'!$A$6:$A$505,"client",'أرقام التواصل'!$B$6:$B$505,A60,'أرقام التواصل'!$C$6:$C$505,1))=0),"missing primary contact in أرقام التواصل; ","")&amp;IF(OR(B60="to_candidate",AV60="proposed_name"),IF(AW60="","missing proposed_move_reason; ","")&amp;IF(AX60="","missing proposed_name_key; ",""),"")))))</f>
        <v/>
      </c>
    </row>
    <row r="61" spans="1:53">
      <c r="A61" s="11"/>
      <c r="B61" s="12"/>
      <c r="C61" s="13"/>
      <c r="D61" s="12"/>
      <c r="E61" s="12"/>
      <c r="F61" s="12"/>
      <c r="G61" s="12"/>
      <c r="H61" s="12"/>
      <c r="I61" s="12"/>
      <c r="J61" s="12"/>
      <c r="K61" s="12" t="str">
        <f t="shared" si="0"/>
        <v/>
      </c>
      <c r="L61" s="12"/>
      <c r="M61" s="12"/>
      <c r="N61" s="12"/>
      <c r="O61" s="12"/>
      <c r="P61" s="12"/>
      <c r="Q61" s="12"/>
      <c r="R61" s="12"/>
      <c r="S61" s="12"/>
      <c r="T61" s="12"/>
      <c r="U61" s="12" t="str">
        <f>IF(AND(L61="",N61="",P61="",R61=""),"",IF(R61&lt;&gt;"",R61,IF(P61&lt;&gt;"",P61,IF(N61&lt;&gt;"",N61,L61))))</f>
        <v/>
      </c>
      <c r="V61" s="12"/>
      <c r="W61" s="14"/>
      <c r="X61" s="14"/>
      <c r="Y61" s="13"/>
      <c r="Z61" s="12"/>
      <c r="AA61" s="12"/>
      <c r="AB61" s="12"/>
      <c r="AC61" s="12"/>
      <c r="AD61" s="15"/>
      <c r="AE61" s="12"/>
      <c r="AF61" s="13"/>
      <c r="AG61" s="12"/>
      <c r="AH61" s="12"/>
      <c r="AI61" s="15"/>
      <c r="AJ61" s="12"/>
      <c r="AK61" s="12"/>
      <c r="AL61" s="12"/>
      <c r="AM61" s="12"/>
      <c r="AN61" s="12"/>
      <c r="AO61" s="12"/>
      <c r="AP61" s="12"/>
      <c r="AQ61" s="15"/>
      <c r="AR61" s="12"/>
      <c r="AS61" s="12"/>
      <c r="AT61" s="12"/>
      <c r="AU61" s="12"/>
      <c r="AV61" s="12"/>
      <c r="AW61" s="12"/>
      <c r="AX61" s="13"/>
      <c r="AY61" s="12"/>
      <c r="AZ61" s="12" t="str">
        <f>IF(AND(A61="",B61="",E61="",G61="",I61="",AV61="",AX61=""),"",IF(OR(B61="skip",AV61="skip"),"SKIP",IF(OR(B61="to_candidate",AV61="proposed_name"),IF(OR(A61="",AW61="",AX61="",COUNTIF($A$6:$A$505,A61)&gt;1),"REVIEW","TO_PROPOSED"),IF(OR(B61="",A61="",E61="",G61="",I61="",U61="",AV61="",COUNTIF($A$6:$A$505,A61)&gt;1,(COUNTIFS('أرقام التواصل'!$A$6:$A$505,"client",'أرقام التواصل'!$B$6:$B$505,A61,'أرقام التواصل'!$I$6:$I$505,"TRUE")+COUNTIFS('أرقام التواصل'!$A$6:$A$505,"client",'أرقام التواصل'!$B$6:$B$505,A61,'أرقام التواصل'!$C$6:$C$505,1))=0),"REVIEW","READY"))))</f>
        <v/>
      </c>
      <c r="BA61" s="16" t="str">
        <f>IF(AZ61="","",IF(OR(AZ61="READY",AZ61="TO_PROPOSED"),"",IF(AZ61="SKIP","Skipped by decision",TRIM(IF(B61="","missing import_action; ","")&amp;IF(A61="","missing migration_customer_key; ","")&amp;IF(AND(A61&lt;&gt;"",COUNTIF($A$6:$A$505,A61)&gt;1),"duplicate migration_customer_key; ","")&amp;IF(AND(NOT(OR(B61="to_candidate",AV61="proposed_name")),E61=""),"missing branch_id; ","")&amp;IF(AND(NOT(OR(B61="to_candidate",AV61="proposed_name")),G61=""),"missing first_name; ","")&amp;IF(AND(NOT(OR(B61="to_candidate",AV61="proposed_name")),I61=""),"missing last_name; ","")&amp;IF(AND(NOT(OR(B61="to_candidate",AV61="proposed_name")),U61=""),"missing final_geo_unit_id; ","")&amp;IF(AV61="","missing final_destination; ","")&amp;IF(AND(NOT(OR(B61="to_candidate",AV61="proposed_name")),(COUNTIFS('أرقام التواصل'!$A$6:$A$505,"client",'أرقام التواصل'!$B$6:$B$505,A61,'أرقام التواصل'!$I$6:$I$505,"TRUE")+COUNTIFS('أرقام التواصل'!$A$6:$A$505,"client",'أرقام التواصل'!$B$6:$B$505,A61,'أرقام التواصل'!$C$6:$C$505,1))=0),"missing primary contact in أرقام التواصل; ","")&amp;IF(OR(B61="to_candidate",AV61="proposed_name"),IF(AW61="","missing proposed_move_reason; ","")&amp;IF(AX61="","missing proposed_name_key; ",""),"")))))</f>
        <v/>
      </c>
    </row>
    <row r="62" spans="1:53">
      <c r="A62" s="11"/>
      <c r="B62" s="12"/>
      <c r="C62" s="13"/>
      <c r="D62" s="12"/>
      <c r="E62" s="12"/>
      <c r="F62" s="12"/>
      <c r="G62" s="12"/>
      <c r="H62" s="12"/>
      <c r="I62" s="12"/>
      <c r="J62" s="12"/>
      <c r="K62" s="12" t="str">
        <f t="shared" si="0"/>
        <v/>
      </c>
      <c r="L62" s="12"/>
      <c r="M62" s="12"/>
      <c r="N62" s="12"/>
      <c r="O62" s="12"/>
      <c r="P62" s="12"/>
      <c r="Q62" s="12"/>
      <c r="R62" s="12"/>
      <c r="S62" s="12"/>
      <c r="T62" s="12"/>
      <c r="U62" s="12" t="str">
        <f>IF(AND(L62="",N62="",P62="",R62=""),"",IF(R62&lt;&gt;"",R62,IF(P62&lt;&gt;"",P62,IF(N62&lt;&gt;"",N62,L62))))</f>
        <v/>
      </c>
      <c r="V62" s="12"/>
      <c r="W62" s="14"/>
      <c r="X62" s="14"/>
      <c r="Y62" s="13"/>
      <c r="Z62" s="12"/>
      <c r="AA62" s="12"/>
      <c r="AB62" s="12"/>
      <c r="AC62" s="12"/>
      <c r="AD62" s="15"/>
      <c r="AE62" s="12"/>
      <c r="AF62" s="13"/>
      <c r="AG62" s="12"/>
      <c r="AH62" s="12"/>
      <c r="AI62" s="15"/>
      <c r="AJ62" s="12"/>
      <c r="AK62" s="12"/>
      <c r="AL62" s="12"/>
      <c r="AM62" s="12"/>
      <c r="AN62" s="12"/>
      <c r="AO62" s="12"/>
      <c r="AP62" s="12"/>
      <c r="AQ62" s="15"/>
      <c r="AR62" s="12"/>
      <c r="AS62" s="12"/>
      <c r="AT62" s="12"/>
      <c r="AU62" s="12"/>
      <c r="AV62" s="12"/>
      <c r="AW62" s="12"/>
      <c r="AX62" s="13"/>
      <c r="AY62" s="12"/>
      <c r="AZ62" s="12" t="str">
        <f>IF(AND(A62="",B62="",E62="",G62="",I62="",AV62="",AX62=""),"",IF(OR(B62="skip",AV62="skip"),"SKIP",IF(OR(B62="to_candidate",AV62="proposed_name"),IF(OR(A62="",AW62="",AX62="",COUNTIF($A$6:$A$505,A62)&gt;1),"REVIEW","TO_PROPOSED"),IF(OR(B62="",A62="",E62="",G62="",I62="",U62="",AV62="",COUNTIF($A$6:$A$505,A62)&gt;1,(COUNTIFS('أرقام التواصل'!$A$6:$A$505,"client",'أرقام التواصل'!$B$6:$B$505,A62,'أرقام التواصل'!$I$6:$I$505,"TRUE")+COUNTIFS('أرقام التواصل'!$A$6:$A$505,"client",'أرقام التواصل'!$B$6:$B$505,A62,'أرقام التواصل'!$C$6:$C$505,1))=0),"REVIEW","READY"))))</f>
        <v/>
      </c>
      <c r="BA62" s="16" t="str">
        <f>IF(AZ62="","",IF(OR(AZ62="READY",AZ62="TO_PROPOSED"),"",IF(AZ62="SKIP","Skipped by decision",TRIM(IF(B62="","missing import_action; ","")&amp;IF(A62="","missing migration_customer_key; ","")&amp;IF(AND(A62&lt;&gt;"",COUNTIF($A$6:$A$505,A62)&gt;1),"duplicate migration_customer_key; ","")&amp;IF(AND(NOT(OR(B62="to_candidate",AV62="proposed_name")),E62=""),"missing branch_id; ","")&amp;IF(AND(NOT(OR(B62="to_candidate",AV62="proposed_name")),G62=""),"missing first_name; ","")&amp;IF(AND(NOT(OR(B62="to_candidate",AV62="proposed_name")),I62=""),"missing last_name; ","")&amp;IF(AND(NOT(OR(B62="to_candidate",AV62="proposed_name")),U62=""),"missing final_geo_unit_id; ","")&amp;IF(AV62="","missing final_destination; ","")&amp;IF(AND(NOT(OR(B62="to_candidate",AV62="proposed_name")),(COUNTIFS('أرقام التواصل'!$A$6:$A$505,"client",'أرقام التواصل'!$B$6:$B$505,A62,'أرقام التواصل'!$I$6:$I$505,"TRUE")+COUNTIFS('أرقام التواصل'!$A$6:$A$505,"client",'أرقام التواصل'!$B$6:$B$505,A62,'أرقام التواصل'!$C$6:$C$505,1))=0),"missing primary contact in أرقام التواصل; ","")&amp;IF(OR(B62="to_candidate",AV62="proposed_name"),IF(AW62="","missing proposed_move_reason; ","")&amp;IF(AX62="","missing proposed_name_key; ",""),"")))))</f>
        <v/>
      </c>
    </row>
    <row r="63" spans="1:53">
      <c r="A63" s="11"/>
      <c r="B63" s="12"/>
      <c r="C63" s="13"/>
      <c r="D63" s="12"/>
      <c r="E63" s="12"/>
      <c r="F63" s="12"/>
      <c r="G63" s="12"/>
      <c r="H63" s="12"/>
      <c r="I63" s="12"/>
      <c r="J63" s="12"/>
      <c r="K63" s="12" t="str">
        <f t="shared" si="0"/>
        <v/>
      </c>
      <c r="L63" s="12"/>
      <c r="M63" s="12"/>
      <c r="N63" s="12"/>
      <c r="O63" s="12"/>
      <c r="P63" s="12"/>
      <c r="Q63" s="12"/>
      <c r="R63" s="12"/>
      <c r="S63" s="12"/>
      <c r="T63" s="12"/>
      <c r="U63" s="12" t="str">
        <f>IF(AND(L63="",N63="",P63="",R63=""),"",IF(R63&lt;&gt;"",R63,IF(P63&lt;&gt;"",P63,IF(N63&lt;&gt;"",N63,L63))))</f>
        <v/>
      </c>
      <c r="V63" s="12"/>
      <c r="W63" s="14"/>
      <c r="X63" s="14"/>
      <c r="Y63" s="13"/>
      <c r="Z63" s="12"/>
      <c r="AA63" s="12"/>
      <c r="AB63" s="12"/>
      <c r="AC63" s="12"/>
      <c r="AD63" s="15"/>
      <c r="AE63" s="12"/>
      <c r="AF63" s="13"/>
      <c r="AG63" s="12"/>
      <c r="AH63" s="12"/>
      <c r="AI63" s="15"/>
      <c r="AJ63" s="12"/>
      <c r="AK63" s="12"/>
      <c r="AL63" s="12"/>
      <c r="AM63" s="12"/>
      <c r="AN63" s="12"/>
      <c r="AO63" s="12"/>
      <c r="AP63" s="12"/>
      <c r="AQ63" s="15"/>
      <c r="AR63" s="12"/>
      <c r="AS63" s="12"/>
      <c r="AT63" s="12"/>
      <c r="AU63" s="12"/>
      <c r="AV63" s="12"/>
      <c r="AW63" s="12"/>
      <c r="AX63" s="13"/>
      <c r="AY63" s="12"/>
      <c r="AZ63" s="12" t="str">
        <f>IF(AND(A63="",B63="",E63="",G63="",I63="",AV63="",AX63=""),"",IF(OR(B63="skip",AV63="skip"),"SKIP",IF(OR(B63="to_candidate",AV63="proposed_name"),IF(OR(A63="",AW63="",AX63="",COUNTIF($A$6:$A$505,A63)&gt;1),"REVIEW","TO_PROPOSED"),IF(OR(B63="",A63="",E63="",G63="",I63="",U63="",AV63="",COUNTIF($A$6:$A$505,A63)&gt;1,(COUNTIFS('أرقام التواصل'!$A$6:$A$505,"client",'أرقام التواصل'!$B$6:$B$505,A63,'أرقام التواصل'!$I$6:$I$505,"TRUE")+COUNTIFS('أرقام التواصل'!$A$6:$A$505,"client",'أرقام التواصل'!$B$6:$B$505,A63,'أرقام التواصل'!$C$6:$C$505,1))=0),"REVIEW","READY"))))</f>
        <v/>
      </c>
      <c r="BA63" s="16" t="str">
        <f>IF(AZ63="","",IF(OR(AZ63="READY",AZ63="TO_PROPOSED"),"",IF(AZ63="SKIP","Skipped by decision",TRIM(IF(B63="","missing import_action; ","")&amp;IF(A63="","missing migration_customer_key; ","")&amp;IF(AND(A63&lt;&gt;"",COUNTIF($A$6:$A$505,A63)&gt;1),"duplicate migration_customer_key; ","")&amp;IF(AND(NOT(OR(B63="to_candidate",AV63="proposed_name")),E63=""),"missing branch_id; ","")&amp;IF(AND(NOT(OR(B63="to_candidate",AV63="proposed_name")),G63=""),"missing first_name; ","")&amp;IF(AND(NOT(OR(B63="to_candidate",AV63="proposed_name")),I63=""),"missing last_name; ","")&amp;IF(AND(NOT(OR(B63="to_candidate",AV63="proposed_name")),U63=""),"missing final_geo_unit_id; ","")&amp;IF(AV63="","missing final_destination; ","")&amp;IF(AND(NOT(OR(B63="to_candidate",AV63="proposed_name")),(COUNTIFS('أرقام التواصل'!$A$6:$A$505,"client",'أرقام التواصل'!$B$6:$B$505,A63,'أرقام التواصل'!$I$6:$I$505,"TRUE")+COUNTIFS('أرقام التواصل'!$A$6:$A$505,"client",'أرقام التواصل'!$B$6:$B$505,A63,'أرقام التواصل'!$C$6:$C$505,1))=0),"missing primary contact in أرقام التواصل; ","")&amp;IF(OR(B63="to_candidate",AV63="proposed_name"),IF(AW63="","missing proposed_move_reason; ","")&amp;IF(AX63="","missing proposed_name_key; ",""),"")))))</f>
        <v/>
      </c>
    </row>
    <row r="64" spans="1:53">
      <c r="A64" s="11"/>
      <c r="B64" s="12"/>
      <c r="C64" s="13"/>
      <c r="D64" s="12"/>
      <c r="E64" s="12"/>
      <c r="F64" s="12"/>
      <c r="G64" s="12"/>
      <c r="H64" s="12"/>
      <c r="I64" s="12"/>
      <c r="J64" s="12"/>
      <c r="K64" s="12" t="str">
        <f t="shared" si="0"/>
        <v/>
      </c>
      <c r="L64" s="12"/>
      <c r="M64" s="12"/>
      <c r="N64" s="12"/>
      <c r="O64" s="12"/>
      <c r="P64" s="12"/>
      <c r="Q64" s="12"/>
      <c r="R64" s="12"/>
      <c r="S64" s="12"/>
      <c r="T64" s="12"/>
      <c r="U64" s="12" t="str">
        <f>IF(AND(L64="",N64="",P64="",R64=""),"",IF(R64&lt;&gt;"",R64,IF(P64&lt;&gt;"",P64,IF(N64&lt;&gt;"",N64,L64))))</f>
        <v/>
      </c>
      <c r="V64" s="12"/>
      <c r="W64" s="14"/>
      <c r="X64" s="14"/>
      <c r="Y64" s="13"/>
      <c r="Z64" s="12"/>
      <c r="AA64" s="12"/>
      <c r="AB64" s="12"/>
      <c r="AC64" s="12"/>
      <c r="AD64" s="15"/>
      <c r="AE64" s="12"/>
      <c r="AF64" s="13"/>
      <c r="AG64" s="12"/>
      <c r="AH64" s="12"/>
      <c r="AI64" s="15"/>
      <c r="AJ64" s="12"/>
      <c r="AK64" s="12"/>
      <c r="AL64" s="12"/>
      <c r="AM64" s="12"/>
      <c r="AN64" s="12"/>
      <c r="AO64" s="12"/>
      <c r="AP64" s="12"/>
      <c r="AQ64" s="15"/>
      <c r="AR64" s="12"/>
      <c r="AS64" s="12"/>
      <c r="AT64" s="12"/>
      <c r="AU64" s="12"/>
      <c r="AV64" s="12"/>
      <c r="AW64" s="12"/>
      <c r="AX64" s="13"/>
      <c r="AY64" s="12"/>
      <c r="AZ64" s="12" t="str">
        <f>IF(AND(A64="",B64="",E64="",G64="",I64="",AV64="",AX64=""),"",IF(OR(B64="skip",AV64="skip"),"SKIP",IF(OR(B64="to_candidate",AV64="proposed_name"),IF(OR(A64="",AW64="",AX64="",COUNTIF($A$6:$A$505,A64)&gt;1),"REVIEW","TO_PROPOSED"),IF(OR(B64="",A64="",E64="",G64="",I64="",U64="",AV64="",COUNTIF($A$6:$A$505,A64)&gt;1,(COUNTIFS('أرقام التواصل'!$A$6:$A$505,"client",'أرقام التواصل'!$B$6:$B$505,A64,'أرقام التواصل'!$I$6:$I$505,"TRUE")+COUNTIFS('أرقام التواصل'!$A$6:$A$505,"client",'أرقام التواصل'!$B$6:$B$505,A64,'أرقام التواصل'!$C$6:$C$505,1))=0),"REVIEW","READY"))))</f>
        <v/>
      </c>
      <c r="BA64" s="16" t="str">
        <f>IF(AZ64="","",IF(OR(AZ64="READY",AZ64="TO_PROPOSED"),"",IF(AZ64="SKIP","Skipped by decision",TRIM(IF(B64="","missing import_action; ","")&amp;IF(A64="","missing migration_customer_key; ","")&amp;IF(AND(A64&lt;&gt;"",COUNTIF($A$6:$A$505,A64)&gt;1),"duplicate migration_customer_key; ","")&amp;IF(AND(NOT(OR(B64="to_candidate",AV64="proposed_name")),E64=""),"missing branch_id; ","")&amp;IF(AND(NOT(OR(B64="to_candidate",AV64="proposed_name")),G64=""),"missing first_name; ","")&amp;IF(AND(NOT(OR(B64="to_candidate",AV64="proposed_name")),I64=""),"missing last_name; ","")&amp;IF(AND(NOT(OR(B64="to_candidate",AV64="proposed_name")),U64=""),"missing final_geo_unit_id; ","")&amp;IF(AV64="","missing final_destination; ","")&amp;IF(AND(NOT(OR(B64="to_candidate",AV64="proposed_name")),(COUNTIFS('أرقام التواصل'!$A$6:$A$505,"client",'أرقام التواصل'!$B$6:$B$505,A64,'أرقام التواصل'!$I$6:$I$505,"TRUE")+COUNTIFS('أرقام التواصل'!$A$6:$A$505,"client",'أرقام التواصل'!$B$6:$B$505,A64,'أرقام التواصل'!$C$6:$C$505,1))=0),"missing primary contact in أرقام التواصل; ","")&amp;IF(OR(B64="to_candidate",AV64="proposed_name"),IF(AW64="","missing proposed_move_reason; ","")&amp;IF(AX64="","missing proposed_name_key; ",""),"")))))</f>
        <v/>
      </c>
    </row>
    <row r="65" spans="1:53">
      <c r="A65" s="11"/>
      <c r="B65" s="12"/>
      <c r="C65" s="13"/>
      <c r="D65" s="12"/>
      <c r="E65" s="12"/>
      <c r="F65" s="12"/>
      <c r="G65" s="12"/>
      <c r="H65" s="12"/>
      <c r="I65" s="12"/>
      <c r="J65" s="12"/>
      <c r="K65" s="12" t="str">
        <f t="shared" si="0"/>
        <v/>
      </c>
      <c r="L65" s="12"/>
      <c r="M65" s="12"/>
      <c r="N65" s="12"/>
      <c r="O65" s="12"/>
      <c r="P65" s="12"/>
      <c r="Q65" s="12"/>
      <c r="R65" s="12"/>
      <c r="S65" s="12"/>
      <c r="T65" s="12"/>
      <c r="U65" s="12" t="str">
        <f>IF(AND(L65="",N65="",P65="",R65=""),"",IF(R65&lt;&gt;"",R65,IF(P65&lt;&gt;"",P65,IF(N65&lt;&gt;"",N65,L65))))</f>
        <v/>
      </c>
      <c r="V65" s="12"/>
      <c r="W65" s="14"/>
      <c r="X65" s="14"/>
      <c r="Y65" s="13"/>
      <c r="Z65" s="12"/>
      <c r="AA65" s="12"/>
      <c r="AB65" s="12"/>
      <c r="AC65" s="12"/>
      <c r="AD65" s="15"/>
      <c r="AE65" s="12"/>
      <c r="AF65" s="13"/>
      <c r="AG65" s="12"/>
      <c r="AH65" s="12"/>
      <c r="AI65" s="15"/>
      <c r="AJ65" s="12"/>
      <c r="AK65" s="12"/>
      <c r="AL65" s="12"/>
      <c r="AM65" s="12"/>
      <c r="AN65" s="12"/>
      <c r="AO65" s="12"/>
      <c r="AP65" s="12"/>
      <c r="AQ65" s="15"/>
      <c r="AR65" s="12"/>
      <c r="AS65" s="12"/>
      <c r="AT65" s="12"/>
      <c r="AU65" s="12"/>
      <c r="AV65" s="12"/>
      <c r="AW65" s="12"/>
      <c r="AX65" s="13"/>
      <c r="AY65" s="12"/>
      <c r="AZ65" s="12" t="str">
        <f>IF(AND(A65="",B65="",E65="",G65="",I65="",AV65="",AX65=""),"",IF(OR(B65="skip",AV65="skip"),"SKIP",IF(OR(B65="to_candidate",AV65="proposed_name"),IF(OR(A65="",AW65="",AX65="",COUNTIF($A$6:$A$505,A65)&gt;1),"REVIEW","TO_PROPOSED"),IF(OR(B65="",A65="",E65="",G65="",I65="",U65="",AV65="",COUNTIF($A$6:$A$505,A65)&gt;1,(COUNTIFS('أرقام التواصل'!$A$6:$A$505,"client",'أرقام التواصل'!$B$6:$B$505,A65,'أرقام التواصل'!$I$6:$I$505,"TRUE")+COUNTIFS('أرقام التواصل'!$A$6:$A$505,"client",'أرقام التواصل'!$B$6:$B$505,A65,'أرقام التواصل'!$C$6:$C$505,1))=0),"REVIEW","READY"))))</f>
        <v/>
      </c>
      <c r="BA65" s="16" t="str">
        <f>IF(AZ65="","",IF(OR(AZ65="READY",AZ65="TO_PROPOSED"),"",IF(AZ65="SKIP","Skipped by decision",TRIM(IF(B65="","missing import_action; ","")&amp;IF(A65="","missing migration_customer_key; ","")&amp;IF(AND(A65&lt;&gt;"",COUNTIF($A$6:$A$505,A65)&gt;1),"duplicate migration_customer_key; ","")&amp;IF(AND(NOT(OR(B65="to_candidate",AV65="proposed_name")),E65=""),"missing branch_id; ","")&amp;IF(AND(NOT(OR(B65="to_candidate",AV65="proposed_name")),G65=""),"missing first_name; ","")&amp;IF(AND(NOT(OR(B65="to_candidate",AV65="proposed_name")),I65=""),"missing last_name; ","")&amp;IF(AND(NOT(OR(B65="to_candidate",AV65="proposed_name")),U65=""),"missing final_geo_unit_id; ","")&amp;IF(AV65="","missing final_destination; ","")&amp;IF(AND(NOT(OR(B65="to_candidate",AV65="proposed_name")),(COUNTIFS('أرقام التواصل'!$A$6:$A$505,"client",'أرقام التواصل'!$B$6:$B$505,A65,'أرقام التواصل'!$I$6:$I$505,"TRUE")+COUNTIFS('أرقام التواصل'!$A$6:$A$505,"client",'أرقام التواصل'!$B$6:$B$505,A65,'أرقام التواصل'!$C$6:$C$505,1))=0),"missing primary contact in أرقام التواصل; ","")&amp;IF(OR(B65="to_candidate",AV65="proposed_name"),IF(AW65="","missing proposed_move_reason; ","")&amp;IF(AX65="","missing proposed_name_key; ",""),"")))))</f>
        <v/>
      </c>
    </row>
    <row r="66" spans="1:53">
      <c r="A66" s="11"/>
      <c r="B66" s="12"/>
      <c r="C66" s="13"/>
      <c r="D66" s="12"/>
      <c r="E66" s="12"/>
      <c r="F66" s="12"/>
      <c r="G66" s="12"/>
      <c r="H66" s="12"/>
      <c r="I66" s="12"/>
      <c r="J66" s="12"/>
      <c r="K66" s="12" t="str">
        <f t="shared" si="0"/>
        <v/>
      </c>
      <c r="L66" s="12"/>
      <c r="M66" s="12"/>
      <c r="N66" s="12"/>
      <c r="O66" s="12"/>
      <c r="P66" s="12"/>
      <c r="Q66" s="12"/>
      <c r="R66" s="12"/>
      <c r="S66" s="12"/>
      <c r="T66" s="12"/>
      <c r="U66" s="12" t="str">
        <f>IF(AND(L66="",N66="",P66="",R66=""),"",IF(R66&lt;&gt;"",R66,IF(P66&lt;&gt;"",P66,IF(N66&lt;&gt;"",N66,L66))))</f>
        <v/>
      </c>
      <c r="V66" s="12"/>
      <c r="W66" s="14"/>
      <c r="X66" s="14"/>
      <c r="Y66" s="13"/>
      <c r="Z66" s="12"/>
      <c r="AA66" s="12"/>
      <c r="AB66" s="12"/>
      <c r="AC66" s="12"/>
      <c r="AD66" s="15"/>
      <c r="AE66" s="12"/>
      <c r="AF66" s="13"/>
      <c r="AG66" s="12"/>
      <c r="AH66" s="12"/>
      <c r="AI66" s="15"/>
      <c r="AJ66" s="12"/>
      <c r="AK66" s="12"/>
      <c r="AL66" s="12"/>
      <c r="AM66" s="12"/>
      <c r="AN66" s="12"/>
      <c r="AO66" s="12"/>
      <c r="AP66" s="12"/>
      <c r="AQ66" s="15"/>
      <c r="AR66" s="12"/>
      <c r="AS66" s="12"/>
      <c r="AT66" s="12"/>
      <c r="AU66" s="12"/>
      <c r="AV66" s="12"/>
      <c r="AW66" s="12"/>
      <c r="AX66" s="13"/>
      <c r="AY66" s="12"/>
      <c r="AZ66" s="12" t="str">
        <f>IF(AND(A66="",B66="",E66="",G66="",I66="",AV66="",AX66=""),"",IF(OR(B66="skip",AV66="skip"),"SKIP",IF(OR(B66="to_candidate",AV66="proposed_name"),IF(OR(A66="",AW66="",AX66="",COUNTIF($A$6:$A$505,A66)&gt;1),"REVIEW","TO_PROPOSED"),IF(OR(B66="",A66="",E66="",G66="",I66="",U66="",AV66="",COUNTIF($A$6:$A$505,A66)&gt;1,(COUNTIFS('أرقام التواصل'!$A$6:$A$505,"client",'أرقام التواصل'!$B$6:$B$505,A66,'أرقام التواصل'!$I$6:$I$505,"TRUE")+COUNTIFS('أرقام التواصل'!$A$6:$A$505,"client",'أرقام التواصل'!$B$6:$B$505,A66,'أرقام التواصل'!$C$6:$C$505,1))=0),"REVIEW","READY"))))</f>
        <v/>
      </c>
      <c r="BA66" s="16" t="str">
        <f>IF(AZ66="","",IF(OR(AZ66="READY",AZ66="TO_PROPOSED"),"",IF(AZ66="SKIP","Skipped by decision",TRIM(IF(B66="","missing import_action; ","")&amp;IF(A66="","missing migration_customer_key; ","")&amp;IF(AND(A66&lt;&gt;"",COUNTIF($A$6:$A$505,A66)&gt;1),"duplicate migration_customer_key; ","")&amp;IF(AND(NOT(OR(B66="to_candidate",AV66="proposed_name")),E66=""),"missing branch_id; ","")&amp;IF(AND(NOT(OR(B66="to_candidate",AV66="proposed_name")),G66=""),"missing first_name; ","")&amp;IF(AND(NOT(OR(B66="to_candidate",AV66="proposed_name")),I66=""),"missing last_name; ","")&amp;IF(AND(NOT(OR(B66="to_candidate",AV66="proposed_name")),U66=""),"missing final_geo_unit_id; ","")&amp;IF(AV66="","missing final_destination; ","")&amp;IF(AND(NOT(OR(B66="to_candidate",AV66="proposed_name")),(COUNTIFS('أرقام التواصل'!$A$6:$A$505,"client",'أرقام التواصل'!$B$6:$B$505,A66,'أرقام التواصل'!$I$6:$I$505,"TRUE")+COUNTIFS('أرقام التواصل'!$A$6:$A$505,"client",'أرقام التواصل'!$B$6:$B$505,A66,'أرقام التواصل'!$C$6:$C$505,1))=0),"missing primary contact in أرقام التواصل; ","")&amp;IF(OR(B66="to_candidate",AV66="proposed_name"),IF(AW66="","missing proposed_move_reason; ","")&amp;IF(AX66="","missing proposed_name_key; ",""),"")))))</f>
        <v/>
      </c>
    </row>
    <row r="67" spans="1:53">
      <c r="A67" s="11"/>
      <c r="B67" s="12"/>
      <c r="C67" s="13"/>
      <c r="D67" s="12"/>
      <c r="E67" s="12"/>
      <c r="F67" s="12"/>
      <c r="G67" s="12"/>
      <c r="H67" s="12"/>
      <c r="I67" s="12"/>
      <c r="J67" s="12"/>
      <c r="K67" s="12" t="str">
        <f t="shared" si="0"/>
        <v/>
      </c>
      <c r="L67" s="12"/>
      <c r="M67" s="12"/>
      <c r="N67" s="12"/>
      <c r="O67" s="12"/>
      <c r="P67" s="12"/>
      <c r="Q67" s="12"/>
      <c r="R67" s="12"/>
      <c r="S67" s="12"/>
      <c r="T67" s="12"/>
      <c r="U67" s="12" t="str">
        <f>IF(AND(L67="",N67="",P67="",R67=""),"",IF(R67&lt;&gt;"",R67,IF(P67&lt;&gt;"",P67,IF(N67&lt;&gt;"",N67,L67))))</f>
        <v/>
      </c>
      <c r="V67" s="12"/>
      <c r="W67" s="14"/>
      <c r="X67" s="14"/>
      <c r="Y67" s="13"/>
      <c r="Z67" s="12"/>
      <c r="AA67" s="12"/>
      <c r="AB67" s="12"/>
      <c r="AC67" s="12"/>
      <c r="AD67" s="15"/>
      <c r="AE67" s="12"/>
      <c r="AF67" s="13"/>
      <c r="AG67" s="12"/>
      <c r="AH67" s="12"/>
      <c r="AI67" s="15"/>
      <c r="AJ67" s="12"/>
      <c r="AK67" s="12"/>
      <c r="AL67" s="12"/>
      <c r="AM67" s="12"/>
      <c r="AN67" s="12"/>
      <c r="AO67" s="12"/>
      <c r="AP67" s="12"/>
      <c r="AQ67" s="15"/>
      <c r="AR67" s="12"/>
      <c r="AS67" s="12"/>
      <c r="AT67" s="12"/>
      <c r="AU67" s="12"/>
      <c r="AV67" s="12"/>
      <c r="AW67" s="12"/>
      <c r="AX67" s="13"/>
      <c r="AY67" s="12"/>
      <c r="AZ67" s="12" t="str">
        <f>IF(AND(A67="",B67="",E67="",G67="",I67="",AV67="",AX67=""),"",IF(OR(B67="skip",AV67="skip"),"SKIP",IF(OR(B67="to_candidate",AV67="proposed_name"),IF(OR(A67="",AW67="",AX67="",COUNTIF($A$6:$A$505,A67)&gt;1),"REVIEW","TO_PROPOSED"),IF(OR(B67="",A67="",E67="",G67="",I67="",U67="",AV67="",COUNTIF($A$6:$A$505,A67)&gt;1,(COUNTIFS('أرقام التواصل'!$A$6:$A$505,"client",'أرقام التواصل'!$B$6:$B$505,A67,'أرقام التواصل'!$I$6:$I$505,"TRUE")+COUNTIFS('أرقام التواصل'!$A$6:$A$505,"client",'أرقام التواصل'!$B$6:$B$505,A67,'أرقام التواصل'!$C$6:$C$505,1))=0),"REVIEW","READY"))))</f>
        <v/>
      </c>
      <c r="BA67" s="16" t="str">
        <f>IF(AZ67="","",IF(OR(AZ67="READY",AZ67="TO_PROPOSED"),"",IF(AZ67="SKIP","Skipped by decision",TRIM(IF(B67="","missing import_action; ","")&amp;IF(A67="","missing migration_customer_key; ","")&amp;IF(AND(A67&lt;&gt;"",COUNTIF($A$6:$A$505,A67)&gt;1),"duplicate migration_customer_key; ","")&amp;IF(AND(NOT(OR(B67="to_candidate",AV67="proposed_name")),E67=""),"missing branch_id; ","")&amp;IF(AND(NOT(OR(B67="to_candidate",AV67="proposed_name")),G67=""),"missing first_name; ","")&amp;IF(AND(NOT(OR(B67="to_candidate",AV67="proposed_name")),I67=""),"missing last_name; ","")&amp;IF(AND(NOT(OR(B67="to_candidate",AV67="proposed_name")),U67=""),"missing final_geo_unit_id; ","")&amp;IF(AV67="","missing final_destination; ","")&amp;IF(AND(NOT(OR(B67="to_candidate",AV67="proposed_name")),(COUNTIFS('أرقام التواصل'!$A$6:$A$505,"client",'أرقام التواصل'!$B$6:$B$505,A67,'أرقام التواصل'!$I$6:$I$505,"TRUE")+COUNTIFS('أرقام التواصل'!$A$6:$A$505,"client",'أرقام التواصل'!$B$6:$B$505,A67,'أرقام التواصل'!$C$6:$C$505,1))=0),"missing primary contact in أرقام التواصل; ","")&amp;IF(OR(B67="to_candidate",AV67="proposed_name"),IF(AW67="","missing proposed_move_reason; ","")&amp;IF(AX67="","missing proposed_name_key; ",""),"")))))</f>
        <v/>
      </c>
    </row>
    <row r="68" spans="1:53">
      <c r="A68" s="11"/>
      <c r="B68" s="12"/>
      <c r="C68" s="13"/>
      <c r="D68" s="12"/>
      <c r="E68" s="12"/>
      <c r="F68" s="12"/>
      <c r="G68" s="12"/>
      <c r="H68" s="12"/>
      <c r="I68" s="12"/>
      <c r="J68" s="12"/>
      <c r="K68" s="12" t="str">
        <f t="shared" si="0"/>
        <v/>
      </c>
      <c r="L68" s="12"/>
      <c r="M68" s="12"/>
      <c r="N68" s="12"/>
      <c r="O68" s="12"/>
      <c r="P68" s="12"/>
      <c r="Q68" s="12"/>
      <c r="R68" s="12"/>
      <c r="S68" s="12"/>
      <c r="T68" s="12"/>
      <c r="U68" s="12" t="str">
        <f>IF(AND(L68="",N68="",P68="",R68=""),"",IF(R68&lt;&gt;"",R68,IF(P68&lt;&gt;"",P68,IF(N68&lt;&gt;"",N68,L68))))</f>
        <v/>
      </c>
      <c r="V68" s="12"/>
      <c r="W68" s="14"/>
      <c r="X68" s="14"/>
      <c r="Y68" s="13"/>
      <c r="Z68" s="12"/>
      <c r="AA68" s="12"/>
      <c r="AB68" s="12"/>
      <c r="AC68" s="12"/>
      <c r="AD68" s="15"/>
      <c r="AE68" s="12"/>
      <c r="AF68" s="13"/>
      <c r="AG68" s="12"/>
      <c r="AH68" s="12"/>
      <c r="AI68" s="15"/>
      <c r="AJ68" s="12"/>
      <c r="AK68" s="12"/>
      <c r="AL68" s="12"/>
      <c r="AM68" s="12"/>
      <c r="AN68" s="12"/>
      <c r="AO68" s="12"/>
      <c r="AP68" s="12"/>
      <c r="AQ68" s="15"/>
      <c r="AR68" s="12"/>
      <c r="AS68" s="12"/>
      <c r="AT68" s="12"/>
      <c r="AU68" s="12"/>
      <c r="AV68" s="12"/>
      <c r="AW68" s="12"/>
      <c r="AX68" s="13"/>
      <c r="AY68" s="12"/>
      <c r="AZ68" s="12" t="str">
        <f>IF(AND(A68="",B68="",E68="",G68="",I68="",AV68="",AX68=""),"",IF(OR(B68="skip",AV68="skip"),"SKIP",IF(OR(B68="to_candidate",AV68="proposed_name"),IF(OR(A68="",AW68="",AX68="",COUNTIF($A$6:$A$505,A68)&gt;1),"REVIEW","TO_PROPOSED"),IF(OR(B68="",A68="",E68="",G68="",I68="",U68="",AV68="",COUNTIF($A$6:$A$505,A68)&gt;1,(COUNTIFS('أرقام التواصل'!$A$6:$A$505,"client",'أرقام التواصل'!$B$6:$B$505,A68,'أرقام التواصل'!$I$6:$I$505,"TRUE")+COUNTIFS('أرقام التواصل'!$A$6:$A$505,"client",'أرقام التواصل'!$B$6:$B$505,A68,'أرقام التواصل'!$C$6:$C$505,1))=0),"REVIEW","READY"))))</f>
        <v/>
      </c>
      <c r="BA68" s="16" t="str">
        <f>IF(AZ68="","",IF(OR(AZ68="READY",AZ68="TO_PROPOSED"),"",IF(AZ68="SKIP","Skipped by decision",TRIM(IF(B68="","missing import_action; ","")&amp;IF(A68="","missing migration_customer_key; ","")&amp;IF(AND(A68&lt;&gt;"",COUNTIF($A$6:$A$505,A68)&gt;1),"duplicate migration_customer_key; ","")&amp;IF(AND(NOT(OR(B68="to_candidate",AV68="proposed_name")),E68=""),"missing branch_id; ","")&amp;IF(AND(NOT(OR(B68="to_candidate",AV68="proposed_name")),G68=""),"missing first_name; ","")&amp;IF(AND(NOT(OR(B68="to_candidate",AV68="proposed_name")),I68=""),"missing last_name; ","")&amp;IF(AND(NOT(OR(B68="to_candidate",AV68="proposed_name")),U68=""),"missing final_geo_unit_id; ","")&amp;IF(AV68="","missing final_destination; ","")&amp;IF(AND(NOT(OR(B68="to_candidate",AV68="proposed_name")),(COUNTIFS('أرقام التواصل'!$A$6:$A$505,"client",'أرقام التواصل'!$B$6:$B$505,A68,'أرقام التواصل'!$I$6:$I$505,"TRUE")+COUNTIFS('أرقام التواصل'!$A$6:$A$505,"client",'أرقام التواصل'!$B$6:$B$505,A68,'أرقام التواصل'!$C$6:$C$505,1))=0),"missing primary contact in أرقام التواصل; ","")&amp;IF(OR(B68="to_candidate",AV68="proposed_name"),IF(AW68="","missing proposed_move_reason; ","")&amp;IF(AX68="","missing proposed_name_key; ",""),"")))))</f>
        <v/>
      </c>
    </row>
    <row r="69" spans="1:53">
      <c r="A69" s="11"/>
      <c r="B69" s="12"/>
      <c r="C69" s="13"/>
      <c r="D69" s="12"/>
      <c r="E69" s="12"/>
      <c r="F69" s="12"/>
      <c r="G69" s="12"/>
      <c r="H69" s="12"/>
      <c r="I69" s="12"/>
      <c r="J69" s="12"/>
      <c r="K69" s="12" t="str">
        <f t="shared" si="0"/>
        <v/>
      </c>
      <c r="L69" s="12"/>
      <c r="M69" s="12"/>
      <c r="N69" s="12"/>
      <c r="O69" s="12"/>
      <c r="P69" s="12"/>
      <c r="Q69" s="12"/>
      <c r="R69" s="12"/>
      <c r="S69" s="12"/>
      <c r="T69" s="12"/>
      <c r="U69" s="12" t="str">
        <f>IF(AND(L69="",N69="",P69="",R69=""),"",IF(R69&lt;&gt;"",R69,IF(P69&lt;&gt;"",P69,IF(N69&lt;&gt;"",N69,L69))))</f>
        <v/>
      </c>
      <c r="V69" s="12"/>
      <c r="W69" s="14"/>
      <c r="X69" s="14"/>
      <c r="Y69" s="13"/>
      <c r="Z69" s="12"/>
      <c r="AA69" s="12"/>
      <c r="AB69" s="12"/>
      <c r="AC69" s="12"/>
      <c r="AD69" s="15"/>
      <c r="AE69" s="12"/>
      <c r="AF69" s="13"/>
      <c r="AG69" s="12"/>
      <c r="AH69" s="12"/>
      <c r="AI69" s="15"/>
      <c r="AJ69" s="12"/>
      <c r="AK69" s="12"/>
      <c r="AL69" s="12"/>
      <c r="AM69" s="12"/>
      <c r="AN69" s="12"/>
      <c r="AO69" s="12"/>
      <c r="AP69" s="12"/>
      <c r="AQ69" s="15"/>
      <c r="AR69" s="12"/>
      <c r="AS69" s="12"/>
      <c r="AT69" s="12"/>
      <c r="AU69" s="12"/>
      <c r="AV69" s="12"/>
      <c r="AW69" s="12"/>
      <c r="AX69" s="13"/>
      <c r="AY69" s="12"/>
      <c r="AZ69" s="12" t="str">
        <f>IF(AND(A69="",B69="",E69="",G69="",I69="",AV69="",AX69=""),"",IF(OR(B69="skip",AV69="skip"),"SKIP",IF(OR(B69="to_candidate",AV69="proposed_name"),IF(OR(A69="",AW69="",AX69="",COUNTIF($A$6:$A$505,A69)&gt;1),"REVIEW","TO_PROPOSED"),IF(OR(B69="",A69="",E69="",G69="",I69="",U69="",AV69="",COUNTIF($A$6:$A$505,A69)&gt;1,(COUNTIFS('أرقام التواصل'!$A$6:$A$505,"client",'أرقام التواصل'!$B$6:$B$505,A69,'أرقام التواصل'!$I$6:$I$505,"TRUE")+COUNTIFS('أرقام التواصل'!$A$6:$A$505,"client",'أرقام التواصل'!$B$6:$B$505,A69,'أرقام التواصل'!$C$6:$C$505,1))=0),"REVIEW","READY"))))</f>
        <v/>
      </c>
      <c r="BA69" s="16" t="str">
        <f>IF(AZ69="","",IF(OR(AZ69="READY",AZ69="TO_PROPOSED"),"",IF(AZ69="SKIP","Skipped by decision",TRIM(IF(B69="","missing import_action; ","")&amp;IF(A69="","missing migration_customer_key; ","")&amp;IF(AND(A69&lt;&gt;"",COUNTIF($A$6:$A$505,A69)&gt;1),"duplicate migration_customer_key; ","")&amp;IF(AND(NOT(OR(B69="to_candidate",AV69="proposed_name")),E69=""),"missing branch_id; ","")&amp;IF(AND(NOT(OR(B69="to_candidate",AV69="proposed_name")),G69=""),"missing first_name; ","")&amp;IF(AND(NOT(OR(B69="to_candidate",AV69="proposed_name")),I69=""),"missing last_name; ","")&amp;IF(AND(NOT(OR(B69="to_candidate",AV69="proposed_name")),U69=""),"missing final_geo_unit_id; ","")&amp;IF(AV69="","missing final_destination; ","")&amp;IF(AND(NOT(OR(B69="to_candidate",AV69="proposed_name")),(COUNTIFS('أرقام التواصل'!$A$6:$A$505,"client",'أرقام التواصل'!$B$6:$B$505,A69,'أرقام التواصل'!$I$6:$I$505,"TRUE")+COUNTIFS('أرقام التواصل'!$A$6:$A$505,"client",'أرقام التواصل'!$B$6:$B$505,A69,'أرقام التواصل'!$C$6:$C$505,1))=0),"missing primary contact in أرقام التواصل; ","")&amp;IF(OR(B69="to_candidate",AV69="proposed_name"),IF(AW69="","missing proposed_move_reason; ","")&amp;IF(AX69="","missing proposed_name_key; ",""),"")))))</f>
        <v/>
      </c>
    </row>
    <row r="70" spans="1:53">
      <c r="A70" s="11"/>
      <c r="B70" s="12"/>
      <c r="C70" s="13"/>
      <c r="D70" s="12"/>
      <c r="E70" s="12"/>
      <c r="F70" s="12"/>
      <c r="G70" s="12"/>
      <c r="H70" s="12"/>
      <c r="I70" s="12"/>
      <c r="J70" s="12"/>
      <c r="K70" s="12" t="str">
        <f t="shared" ref="K70:K133" si="1">IF(TRIM(G70&amp;" "&amp;H70&amp;" "&amp;I70&amp;IF(J70&lt;&gt;""," ("&amp;J70&amp;")",""))="","",TRIM(G70&amp;" "&amp;H70&amp;" "&amp;I70&amp;IF(J70&lt;&gt;""," ("&amp;J70&amp;")","")))</f>
        <v/>
      </c>
      <c r="L70" s="12"/>
      <c r="M70" s="12"/>
      <c r="N70" s="12"/>
      <c r="O70" s="12"/>
      <c r="P70" s="12"/>
      <c r="Q70" s="12"/>
      <c r="R70" s="12"/>
      <c r="S70" s="12"/>
      <c r="T70" s="12"/>
      <c r="U70" s="12" t="str">
        <f t="shared" ref="U70:U133" si="2">IF(AND(L70="",N70="",P70="",R70=""),"",IF(R70&lt;&gt;"",R70,IF(P70&lt;&gt;"",P70,IF(N70&lt;&gt;"",N70,L70))))</f>
        <v/>
      </c>
      <c r="V70" s="12"/>
      <c r="W70" s="14"/>
      <c r="X70" s="14"/>
      <c r="Y70" s="13"/>
      <c r="Z70" s="12"/>
      <c r="AA70" s="12"/>
      <c r="AB70" s="12"/>
      <c r="AC70" s="12"/>
      <c r="AD70" s="15"/>
      <c r="AE70" s="12"/>
      <c r="AF70" s="13"/>
      <c r="AG70" s="12"/>
      <c r="AH70" s="12"/>
      <c r="AI70" s="15"/>
      <c r="AJ70" s="12"/>
      <c r="AK70" s="12"/>
      <c r="AL70" s="12"/>
      <c r="AM70" s="12"/>
      <c r="AN70" s="12"/>
      <c r="AO70" s="12"/>
      <c r="AP70" s="12"/>
      <c r="AQ70" s="15"/>
      <c r="AR70" s="12"/>
      <c r="AS70" s="12"/>
      <c r="AT70" s="12"/>
      <c r="AU70" s="12"/>
      <c r="AV70" s="12"/>
      <c r="AW70" s="12"/>
      <c r="AX70" s="13"/>
      <c r="AY70" s="12"/>
      <c r="AZ70" s="12" t="str">
        <f>IF(AND(A70="",B70="",E70="",G70="",I70="",AV70="",AX70=""),"",IF(OR(B70="skip",AV70="skip"),"SKIP",IF(OR(B70="to_candidate",AV70="proposed_name"),IF(OR(A70="",AW70="",AX70="",COUNTIF($A$6:$A$505,A70)&gt;1),"REVIEW","TO_PROPOSED"),IF(OR(B70="",A70="",E70="",G70="",I70="",U70="",AV70="",COUNTIF($A$6:$A$505,A70)&gt;1,(COUNTIFS('أرقام التواصل'!$A$6:$A$505,"client",'أرقام التواصل'!$B$6:$B$505,A70,'أرقام التواصل'!$I$6:$I$505,"TRUE")+COUNTIFS('أرقام التواصل'!$A$6:$A$505,"client",'أرقام التواصل'!$B$6:$B$505,A70,'أرقام التواصل'!$C$6:$C$505,1))=0),"REVIEW","READY"))))</f>
        <v/>
      </c>
      <c r="BA70" s="16" t="str">
        <f>IF(AZ70="","",IF(OR(AZ70="READY",AZ70="TO_PROPOSED"),"",IF(AZ70="SKIP","Skipped by decision",TRIM(IF(B70="","missing import_action; ","")&amp;IF(A70="","missing migration_customer_key; ","")&amp;IF(AND(A70&lt;&gt;"",COUNTIF($A$6:$A$505,A70)&gt;1),"duplicate migration_customer_key; ","")&amp;IF(AND(NOT(OR(B70="to_candidate",AV70="proposed_name")),E70=""),"missing branch_id; ","")&amp;IF(AND(NOT(OR(B70="to_candidate",AV70="proposed_name")),G70=""),"missing first_name; ","")&amp;IF(AND(NOT(OR(B70="to_candidate",AV70="proposed_name")),I70=""),"missing last_name; ","")&amp;IF(AND(NOT(OR(B70="to_candidate",AV70="proposed_name")),U70=""),"missing final_geo_unit_id; ","")&amp;IF(AV70="","missing final_destination; ","")&amp;IF(AND(NOT(OR(B70="to_candidate",AV70="proposed_name")),(COUNTIFS('أرقام التواصل'!$A$6:$A$505,"client",'أرقام التواصل'!$B$6:$B$505,A70,'أرقام التواصل'!$I$6:$I$505,"TRUE")+COUNTIFS('أرقام التواصل'!$A$6:$A$505,"client",'أرقام التواصل'!$B$6:$B$505,A70,'أرقام التواصل'!$C$6:$C$505,1))=0),"missing primary contact in أرقام التواصل; ","")&amp;IF(OR(B70="to_candidate",AV70="proposed_name"),IF(AW70="","missing proposed_move_reason; ","")&amp;IF(AX70="","missing proposed_name_key; ",""),"")))))</f>
        <v/>
      </c>
    </row>
    <row r="71" spans="1:53">
      <c r="A71" s="11"/>
      <c r="B71" s="12"/>
      <c r="C71" s="13"/>
      <c r="D71" s="12"/>
      <c r="E71" s="12"/>
      <c r="F71" s="12"/>
      <c r="G71" s="12"/>
      <c r="H71" s="12"/>
      <c r="I71" s="12"/>
      <c r="J71" s="12"/>
      <c r="K71" s="12" t="str">
        <f t="shared" si="1"/>
        <v/>
      </c>
      <c r="L71" s="12"/>
      <c r="M71" s="12"/>
      <c r="N71" s="12"/>
      <c r="O71" s="12"/>
      <c r="P71" s="12"/>
      <c r="Q71" s="12"/>
      <c r="R71" s="12"/>
      <c r="S71" s="12"/>
      <c r="T71" s="12"/>
      <c r="U71" s="12" t="str">
        <f t="shared" si="2"/>
        <v/>
      </c>
      <c r="V71" s="12"/>
      <c r="W71" s="14"/>
      <c r="X71" s="14"/>
      <c r="Y71" s="13"/>
      <c r="Z71" s="12"/>
      <c r="AA71" s="12"/>
      <c r="AB71" s="12"/>
      <c r="AC71" s="12"/>
      <c r="AD71" s="15"/>
      <c r="AE71" s="12"/>
      <c r="AF71" s="13"/>
      <c r="AG71" s="12"/>
      <c r="AH71" s="12"/>
      <c r="AI71" s="15"/>
      <c r="AJ71" s="12"/>
      <c r="AK71" s="12"/>
      <c r="AL71" s="12"/>
      <c r="AM71" s="12"/>
      <c r="AN71" s="12"/>
      <c r="AO71" s="12"/>
      <c r="AP71" s="12"/>
      <c r="AQ71" s="15"/>
      <c r="AR71" s="12"/>
      <c r="AS71" s="12"/>
      <c r="AT71" s="12"/>
      <c r="AU71" s="12"/>
      <c r="AV71" s="12"/>
      <c r="AW71" s="12"/>
      <c r="AX71" s="13"/>
      <c r="AY71" s="12"/>
      <c r="AZ71" s="12" t="str">
        <f>IF(AND(A71="",B71="",E71="",G71="",I71="",AV71="",AX71=""),"",IF(OR(B71="skip",AV71="skip"),"SKIP",IF(OR(B71="to_candidate",AV71="proposed_name"),IF(OR(A71="",AW71="",AX71="",COUNTIF($A$6:$A$505,A71)&gt;1),"REVIEW","TO_PROPOSED"),IF(OR(B71="",A71="",E71="",G71="",I71="",U71="",AV71="",COUNTIF($A$6:$A$505,A71)&gt;1,(COUNTIFS('أرقام التواصل'!$A$6:$A$505,"client",'أرقام التواصل'!$B$6:$B$505,A71,'أرقام التواصل'!$I$6:$I$505,"TRUE")+COUNTIFS('أرقام التواصل'!$A$6:$A$505,"client",'أرقام التواصل'!$B$6:$B$505,A71,'أرقام التواصل'!$C$6:$C$505,1))=0),"REVIEW","READY"))))</f>
        <v/>
      </c>
      <c r="BA71" s="16" t="str">
        <f>IF(AZ71="","",IF(OR(AZ71="READY",AZ71="TO_PROPOSED"),"",IF(AZ71="SKIP","Skipped by decision",TRIM(IF(B71="","missing import_action; ","")&amp;IF(A71="","missing migration_customer_key; ","")&amp;IF(AND(A71&lt;&gt;"",COUNTIF($A$6:$A$505,A71)&gt;1),"duplicate migration_customer_key; ","")&amp;IF(AND(NOT(OR(B71="to_candidate",AV71="proposed_name")),E71=""),"missing branch_id; ","")&amp;IF(AND(NOT(OR(B71="to_candidate",AV71="proposed_name")),G71=""),"missing first_name; ","")&amp;IF(AND(NOT(OR(B71="to_candidate",AV71="proposed_name")),I71=""),"missing last_name; ","")&amp;IF(AND(NOT(OR(B71="to_candidate",AV71="proposed_name")),U71=""),"missing final_geo_unit_id; ","")&amp;IF(AV71="","missing final_destination; ","")&amp;IF(AND(NOT(OR(B71="to_candidate",AV71="proposed_name")),(COUNTIFS('أرقام التواصل'!$A$6:$A$505,"client",'أرقام التواصل'!$B$6:$B$505,A71,'أرقام التواصل'!$I$6:$I$505,"TRUE")+COUNTIFS('أرقام التواصل'!$A$6:$A$505,"client",'أرقام التواصل'!$B$6:$B$505,A71,'أرقام التواصل'!$C$6:$C$505,1))=0),"missing primary contact in أرقام التواصل; ","")&amp;IF(OR(B71="to_candidate",AV71="proposed_name"),IF(AW71="","missing proposed_move_reason; ","")&amp;IF(AX71="","missing proposed_name_key; ",""),"")))))</f>
        <v/>
      </c>
    </row>
    <row r="72" spans="1:53">
      <c r="A72" s="11"/>
      <c r="B72" s="12"/>
      <c r="C72" s="13"/>
      <c r="D72" s="12"/>
      <c r="E72" s="12"/>
      <c r="F72" s="12"/>
      <c r="G72" s="12"/>
      <c r="H72" s="12"/>
      <c r="I72" s="12"/>
      <c r="J72" s="12"/>
      <c r="K72" s="12" t="str">
        <f t="shared" si="1"/>
        <v/>
      </c>
      <c r="L72" s="12"/>
      <c r="M72" s="12"/>
      <c r="N72" s="12"/>
      <c r="O72" s="12"/>
      <c r="P72" s="12"/>
      <c r="Q72" s="12"/>
      <c r="R72" s="12"/>
      <c r="S72" s="12"/>
      <c r="T72" s="12"/>
      <c r="U72" s="12" t="str">
        <f t="shared" si="2"/>
        <v/>
      </c>
      <c r="V72" s="12"/>
      <c r="W72" s="14"/>
      <c r="X72" s="14"/>
      <c r="Y72" s="13"/>
      <c r="Z72" s="12"/>
      <c r="AA72" s="12"/>
      <c r="AB72" s="12"/>
      <c r="AC72" s="12"/>
      <c r="AD72" s="15"/>
      <c r="AE72" s="12"/>
      <c r="AF72" s="13"/>
      <c r="AG72" s="12"/>
      <c r="AH72" s="12"/>
      <c r="AI72" s="15"/>
      <c r="AJ72" s="12"/>
      <c r="AK72" s="12"/>
      <c r="AL72" s="12"/>
      <c r="AM72" s="12"/>
      <c r="AN72" s="12"/>
      <c r="AO72" s="12"/>
      <c r="AP72" s="12"/>
      <c r="AQ72" s="15"/>
      <c r="AR72" s="12"/>
      <c r="AS72" s="12"/>
      <c r="AT72" s="12"/>
      <c r="AU72" s="12"/>
      <c r="AV72" s="12"/>
      <c r="AW72" s="12"/>
      <c r="AX72" s="13"/>
      <c r="AY72" s="12"/>
      <c r="AZ72" s="12" t="str">
        <f>IF(AND(A72="",B72="",E72="",G72="",I72="",AV72="",AX72=""),"",IF(OR(B72="skip",AV72="skip"),"SKIP",IF(OR(B72="to_candidate",AV72="proposed_name"),IF(OR(A72="",AW72="",AX72="",COUNTIF($A$6:$A$505,A72)&gt;1),"REVIEW","TO_PROPOSED"),IF(OR(B72="",A72="",E72="",G72="",I72="",U72="",AV72="",COUNTIF($A$6:$A$505,A72)&gt;1,(COUNTIFS('أرقام التواصل'!$A$6:$A$505,"client",'أرقام التواصل'!$B$6:$B$505,A72,'أرقام التواصل'!$I$6:$I$505,"TRUE")+COUNTIFS('أرقام التواصل'!$A$6:$A$505,"client",'أرقام التواصل'!$B$6:$B$505,A72,'أرقام التواصل'!$C$6:$C$505,1))=0),"REVIEW","READY"))))</f>
        <v/>
      </c>
      <c r="BA72" s="16" t="str">
        <f>IF(AZ72="","",IF(OR(AZ72="READY",AZ72="TO_PROPOSED"),"",IF(AZ72="SKIP","Skipped by decision",TRIM(IF(B72="","missing import_action; ","")&amp;IF(A72="","missing migration_customer_key; ","")&amp;IF(AND(A72&lt;&gt;"",COUNTIF($A$6:$A$505,A72)&gt;1),"duplicate migration_customer_key; ","")&amp;IF(AND(NOT(OR(B72="to_candidate",AV72="proposed_name")),E72=""),"missing branch_id; ","")&amp;IF(AND(NOT(OR(B72="to_candidate",AV72="proposed_name")),G72=""),"missing first_name; ","")&amp;IF(AND(NOT(OR(B72="to_candidate",AV72="proposed_name")),I72=""),"missing last_name; ","")&amp;IF(AND(NOT(OR(B72="to_candidate",AV72="proposed_name")),U72=""),"missing final_geo_unit_id; ","")&amp;IF(AV72="","missing final_destination; ","")&amp;IF(AND(NOT(OR(B72="to_candidate",AV72="proposed_name")),(COUNTIFS('أرقام التواصل'!$A$6:$A$505,"client",'أرقام التواصل'!$B$6:$B$505,A72,'أرقام التواصل'!$I$6:$I$505,"TRUE")+COUNTIFS('أرقام التواصل'!$A$6:$A$505,"client",'أرقام التواصل'!$B$6:$B$505,A72,'أرقام التواصل'!$C$6:$C$505,1))=0),"missing primary contact in أرقام التواصل; ","")&amp;IF(OR(B72="to_candidate",AV72="proposed_name"),IF(AW72="","missing proposed_move_reason; ","")&amp;IF(AX72="","missing proposed_name_key; ",""),"")))))</f>
        <v/>
      </c>
    </row>
    <row r="73" spans="1:53">
      <c r="A73" s="11"/>
      <c r="B73" s="12"/>
      <c r="C73" s="13"/>
      <c r="D73" s="12"/>
      <c r="E73" s="12"/>
      <c r="F73" s="12"/>
      <c r="G73" s="12"/>
      <c r="H73" s="12"/>
      <c r="I73" s="12"/>
      <c r="J73" s="12"/>
      <c r="K73" s="12" t="str">
        <f t="shared" si="1"/>
        <v/>
      </c>
      <c r="L73" s="12"/>
      <c r="M73" s="12"/>
      <c r="N73" s="12"/>
      <c r="O73" s="12"/>
      <c r="P73" s="12"/>
      <c r="Q73" s="12"/>
      <c r="R73" s="12"/>
      <c r="S73" s="12"/>
      <c r="T73" s="12"/>
      <c r="U73" s="12" t="str">
        <f t="shared" si="2"/>
        <v/>
      </c>
      <c r="V73" s="12"/>
      <c r="W73" s="14"/>
      <c r="X73" s="14"/>
      <c r="Y73" s="13"/>
      <c r="Z73" s="12"/>
      <c r="AA73" s="12"/>
      <c r="AB73" s="12"/>
      <c r="AC73" s="12"/>
      <c r="AD73" s="15"/>
      <c r="AE73" s="12"/>
      <c r="AF73" s="13"/>
      <c r="AG73" s="12"/>
      <c r="AH73" s="12"/>
      <c r="AI73" s="15"/>
      <c r="AJ73" s="12"/>
      <c r="AK73" s="12"/>
      <c r="AL73" s="12"/>
      <c r="AM73" s="12"/>
      <c r="AN73" s="12"/>
      <c r="AO73" s="12"/>
      <c r="AP73" s="12"/>
      <c r="AQ73" s="15"/>
      <c r="AR73" s="12"/>
      <c r="AS73" s="12"/>
      <c r="AT73" s="12"/>
      <c r="AU73" s="12"/>
      <c r="AV73" s="12"/>
      <c r="AW73" s="12"/>
      <c r="AX73" s="13"/>
      <c r="AY73" s="12"/>
      <c r="AZ73" s="12" t="str">
        <f>IF(AND(A73="",B73="",E73="",G73="",I73="",AV73="",AX73=""),"",IF(OR(B73="skip",AV73="skip"),"SKIP",IF(OR(B73="to_candidate",AV73="proposed_name"),IF(OR(A73="",AW73="",AX73="",COUNTIF($A$6:$A$505,A73)&gt;1),"REVIEW","TO_PROPOSED"),IF(OR(B73="",A73="",E73="",G73="",I73="",U73="",AV73="",COUNTIF($A$6:$A$505,A73)&gt;1,(COUNTIFS('أرقام التواصل'!$A$6:$A$505,"client",'أرقام التواصل'!$B$6:$B$505,A73,'أرقام التواصل'!$I$6:$I$505,"TRUE")+COUNTIFS('أرقام التواصل'!$A$6:$A$505,"client",'أرقام التواصل'!$B$6:$B$505,A73,'أرقام التواصل'!$C$6:$C$505,1))=0),"REVIEW","READY"))))</f>
        <v/>
      </c>
      <c r="BA73" s="16" t="str">
        <f>IF(AZ73="","",IF(OR(AZ73="READY",AZ73="TO_PROPOSED"),"",IF(AZ73="SKIP","Skipped by decision",TRIM(IF(B73="","missing import_action; ","")&amp;IF(A73="","missing migration_customer_key; ","")&amp;IF(AND(A73&lt;&gt;"",COUNTIF($A$6:$A$505,A73)&gt;1),"duplicate migration_customer_key; ","")&amp;IF(AND(NOT(OR(B73="to_candidate",AV73="proposed_name")),E73=""),"missing branch_id; ","")&amp;IF(AND(NOT(OR(B73="to_candidate",AV73="proposed_name")),G73=""),"missing first_name; ","")&amp;IF(AND(NOT(OR(B73="to_candidate",AV73="proposed_name")),I73=""),"missing last_name; ","")&amp;IF(AND(NOT(OR(B73="to_candidate",AV73="proposed_name")),U73=""),"missing final_geo_unit_id; ","")&amp;IF(AV73="","missing final_destination; ","")&amp;IF(AND(NOT(OR(B73="to_candidate",AV73="proposed_name")),(COUNTIFS('أرقام التواصل'!$A$6:$A$505,"client",'أرقام التواصل'!$B$6:$B$505,A73,'أرقام التواصل'!$I$6:$I$505,"TRUE")+COUNTIFS('أرقام التواصل'!$A$6:$A$505,"client",'أرقام التواصل'!$B$6:$B$505,A73,'أرقام التواصل'!$C$6:$C$505,1))=0),"missing primary contact in أرقام التواصل; ","")&amp;IF(OR(B73="to_candidate",AV73="proposed_name"),IF(AW73="","missing proposed_move_reason; ","")&amp;IF(AX73="","missing proposed_name_key; ",""),"")))))</f>
        <v/>
      </c>
    </row>
    <row r="74" spans="1:53">
      <c r="A74" s="11"/>
      <c r="B74" s="12"/>
      <c r="C74" s="13"/>
      <c r="D74" s="12"/>
      <c r="E74" s="12"/>
      <c r="F74" s="12"/>
      <c r="G74" s="12"/>
      <c r="H74" s="12"/>
      <c r="I74" s="12"/>
      <c r="J74" s="12"/>
      <c r="K74" s="12" t="str">
        <f t="shared" si="1"/>
        <v/>
      </c>
      <c r="L74" s="12"/>
      <c r="M74" s="12"/>
      <c r="N74" s="12"/>
      <c r="O74" s="12"/>
      <c r="P74" s="12"/>
      <c r="Q74" s="12"/>
      <c r="R74" s="12"/>
      <c r="S74" s="12"/>
      <c r="T74" s="12"/>
      <c r="U74" s="12" t="str">
        <f t="shared" si="2"/>
        <v/>
      </c>
      <c r="V74" s="12"/>
      <c r="W74" s="14"/>
      <c r="X74" s="14"/>
      <c r="Y74" s="13"/>
      <c r="Z74" s="12"/>
      <c r="AA74" s="12"/>
      <c r="AB74" s="12"/>
      <c r="AC74" s="12"/>
      <c r="AD74" s="15"/>
      <c r="AE74" s="12"/>
      <c r="AF74" s="13"/>
      <c r="AG74" s="12"/>
      <c r="AH74" s="12"/>
      <c r="AI74" s="15"/>
      <c r="AJ74" s="12"/>
      <c r="AK74" s="12"/>
      <c r="AL74" s="12"/>
      <c r="AM74" s="12"/>
      <c r="AN74" s="12"/>
      <c r="AO74" s="12"/>
      <c r="AP74" s="12"/>
      <c r="AQ74" s="15"/>
      <c r="AR74" s="12"/>
      <c r="AS74" s="12"/>
      <c r="AT74" s="12"/>
      <c r="AU74" s="12"/>
      <c r="AV74" s="12"/>
      <c r="AW74" s="12"/>
      <c r="AX74" s="13"/>
      <c r="AY74" s="12"/>
      <c r="AZ74" s="12" t="str">
        <f>IF(AND(A74="",B74="",E74="",G74="",I74="",AV74="",AX74=""),"",IF(OR(B74="skip",AV74="skip"),"SKIP",IF(OR(B74="to_candidate",AV74="proposed_name"),IF(OR(A74="",AW74="",AX74="",COUNTIF($A$6:$A$505,A74)&gt;1),"REVIEW","TO_PROPOSED"),IF(OR(B74="",A74="",E74="",G74="",I74="",U74="",AV74="",COUNTIF($A$6:$A$505,A74)&gt;1,(COUNTIFS('أرقام التواصل'!$A$6:$A$505,"client",'أرقام التواصل'!$B$6:$B$505,A74,'أرقام التواصل'!$I$6:$I$505,"TRUE")+COUNTIFS('أرقام التواصل'!$A$6:$A$505,"client",'أرقام التواصل'!$B$6:$B$505,A74,'أرقام التواصل'!$C$6:$C$505,1))=0),"REVIEW","READY"))))</f>
        <v/>
      </c>
      <c r="BA74" s="16" t="str">
        <f>IF(AZ74="","",IF(OR(AZ74="READY",AZ74="TO_PROPOSED"),"",IF(AZ74="SKIP","Skipped by decision",TRIM(IF(B74="","missing import_action; ","")&amp;IF(A74="","missing migration_customer_key; ","")&amp;IF(AND(A74&lt;&gt;"",COUNTIF($A$6:$A$505,A74)&gt;1),"duplicate migration_customer_key; ","")&amp;IF(AND(NOT(OR(B74="to_candidate",AV74="proposed_name")),E74=""),"missing branch_id; ","")&amp;IF(AND(NOT(OR(B74="to_candidate",AV74="proposed_name")),G74=""),"missing first_name; ","")&amp;IF(AND(NOT(OR(B74="to_candidate",AV74="proposed_name")),I74=""),"missing last_name; ","")&amp;IF(AND(NOT(OR(B74="to_candidate",AV74="proposed_name")),U74=""),"missing final_geo_unit_id; ","")&amp;IF(AV74="","missing final_destination; ","")&amp;IF(AND(NOT(OR(B74="to_candidate",AV74="proposed_name")),(COUNTIFS('أرقام التواصل'!$A$6:$A$505,"client",'أرقام التواصل'!$B$6:$B$505,A74,'أرقام التواصل'!$I$6:$I$505,"TRUE")+COUNTIFS('أرقام التواصل'!$A$6:$A$505,"client",'أرقام التواصل'!$B$6:$B$505,A74,'أرقام التواصل'!$C$6:$C$505,1))=0),"missing primary contact in أرقام التواصل; ","")&amp;IF(OR(B74="to_candidate",AV74="proposed_name"),IF(AW74="","missing proposed_move_reason; ","")&amp;IF(AX74="","missing proposed_name_key; ",""),"")))))</f>
        <v/>
      </c>
    </row>
    <row r="75" spans="1:53">
      <c r="A75" s="11"/>
      <c r="B75" s="12"/>
      <c r="C75" s="13"/>
      <c r="D75" s="12"/>
      <c r="E75" s="12"/>
      <c r="F75" s="12"/>
      <c r="G75" s="12"/>
      <c r="H75" s="12"/>
      <c r="I75" s="12"/>
      <c r="J75" s="12"/>
      <c r="K75" s="12" t="str">
        <f t="shared" si="1"/>
        <v/>
      </c>
      <c r="L75" s="12"/>
      <c r="M75" s="12"/>
      <c r="N75" s="12"/>
      <c r="O75" s="12"/>
      <c r="P75" s="12"/>
      <c r="Q75" s="12"/>
      <c r="R75" s="12"/>
      <c r="S75" s="12"/>
      <c r="T75" s="12"/>
      <c r="U75" s="12" t="str">
        <f t="shared" si="2"/>
        <v/>
      </c>
      <c r="V75" s="12"/>
      <c r="W75" s="14"/>
      <c r="X75" s="14"/>
      <c r="Y75" s="13"/>
      <c r="Z75" s="12"/>
      <c r="AA75" s="12"/>
      <c r="AB75" s="12"/>
      <c r="AC75" s="12"/>
      <c r="AD75" s="15"/>
      <c r="AE75" s="12"/>
      <c r="AF75" s="13"/>
      <c r="AG75" s="12"/>
      <c r="AH75" s="12"/>
      <c r="AI75" s="15"/>
      <c r="AJ75" s="12"/>
      <c r="AK75" s="12"/>
      <c r="AL75" s="12"/>
      <c r="AM75" s="12"/>
      <c r="AN75" s="12"/>
      <c r="AO75" s="12"/>
      <c r="AP75" s="12"/>
      <c r="AQ75" s="15"/>
      <c r="AR75" s="12"/>
      <c r="AS75" s="12"/>
      <c r="AT75" s="12"/>
      <c r="AU75" s="12"/>
      <c r="AV75" s="12"/>
      <c r="AW75" s="12"/>
      <c r="AX75" s="13"/>
      <c r="AY75" s="12"/>
      <c r="AZ75" s="12" t="str">
        <f>IF(AND(A75="",B75="",E75="",G75="",I75="",AV75="",AX75=""),"",IF(OR(B75="skip",AV75="skip"),"SKIP",IF(OR(B75="to_candidate",AV75="proposed_name"),IF(OR(A75="",AW75="",AX75="",COUNTIF($A$6:$A$505,A75)&gt;1),"REVIEW","TO_PROPOSED"),IF(OR(B75="",A75="",E75="",G75="",I75="",U75="",AV75="",COUNTIF($A$6:$A$505,A75)&gt;1,(COUNTIFS('أرقام التواصل'!$A$6:$A$505,"client",'أرقام التواصل'!$B$6:$B$505,A75,'أرقام التواصل'!$I$6:$I$505,"TRUE")+COUNTIFS('أرقام التواصل'!$A$6:$A$505,"client",'أرقام التواصل'!$B$6:$B$505,A75,'أرقام التواصل'!$C$6:$C$505,1))=0),"REVIEW","READY"))))</f>
        <v/>
      </c>
      <c r="BA75" s="16" t="str">
        <f>IF(AZ75="","",IF(OR(AZ75="READY",AZ75="TO_PROPOSED"),"",IF(AZ75="SKIP","Skipped by decision",TRIM(IF(B75="","missing import_action; ","")&amp;IF(A75="","missing migration_customer_key; ","")&amp;IF(AND(A75&lt;&gt;"",COUNTIF($A$6:$A$505,A75)&gt;1),"duplicate migration_customer_key; ","")&amp;IF(AND(NOT(OR(B75="to_candidate",AV75="proposed_name")),E75=""),"missing branch_id; ","")&amp;IF(AND(NOT(OR(B75="to_candidate",AV75="proposed_name")),G75=""),"missing first_name; ","")&amp;IF(AND(NOT(OR(B75="to_candidate",AV75="proposed_name")),I75=""),"missing last_name; ","")&amp;IF(AND(NOT(OR(B75="to_candidate",AV75="proposed_name")),U75=""),"missing final_geo_unit_id; ","")&amp;IF(AV75="","missing final_destination; ","")&amp;IF(AND(NOT(OR(B75="to_candidate",AV75="proposed_name")),(COUNTIFS('أرقام التواصل'!$A$6:$A$505,"client",'أرقام التواصل'!$B$6:$B$505,A75,'أرقام التواصل'!$I$6:$I$505,"TRUE")+COUNTIFS('أرقام التواصل'!$A$6:$A$505,"client",'أرقام التواصل'!$B$6:$B$505,A75,'أرقام التواصل'!$C$6:$C$505,1))=0),"missing primary contact in أرقام التواصل; ","")&amp;IF(OR(B75="to_candidate",AV75="proposed_name"),IF(AW75="","missing proposed_move_reason; ","")&amp;IF(AX75="","missing proposed_name_key; ",""),"")))))</f>
        <v/>
      </c>
    </row>
    <row r="76" spans="1:53">
      <c r="A76" s="11"/>
      <c r="B76" s="12"/>
      <c r="C76" s="13"/>
      <c r="D76" s="12"/>
      <c r="E76" s="12"/>
      <c r="F76" s="12"/>
      <c r="G76" s="12"/>
      <c r="H76" s="12"/>
      <c r="I76" s="12"/>
      <c r="J76" s="12"/>
      <c r="K76" s="12" t="str">
        <f t="shared" si="1"/>
        <v/>
      </c>
      <c r="L76" s="12"/>
      <c r="M76" s="12"/>
      <c r="N76" s="12"/>
      <c r="O76" s="12"/>
      <c r="P76" s="12"/>
      <c r="Q76" s="12"/>
      <c r="R76" s="12"/>
      <c r="S76" s="12"/>
      <c r="T76" s="12"/>
      <c r="U76" s="12" t="str">
        <f t="shared" si="2"/>
        <v/>
      </c>
      <c r="V76" s="12"/>
      <c r="W76" s="14"/>
      <c r="X76" s="14"/>
      <c r="Y76" s="13"/>
      <c r="Z76" s="12"/>
      <c r="AA76" s="12"/>
      <c r="AB76" s="12"/>
      <c r="AC76" s="12"/>
      <c r="AD76" s="15"/>
      <c r="AE76" s="12"/>
      <c r="AF76" s="13"/>
      <c r="AG76" s="12"/>
      <c r="AH76" s="12"/>
      <c r="AI76" s="15"/>
      <c r="AJ76" s="12"/>
      <c r="AK76" s="12"/>
      <c r="AL76" s="12"/>
      <c r="AM76" s="12"/>
      <c r="AN76" s="12"/>
      <c r="AO76" s="12"/>
      <c r="AP76" s="12"/>
      <c r="AQ76" s="15"/>
      <c r="AR76" s="12"/>
      <c r="AS76" s="12"/>
      <c r="AT76" s="12"/>
      <c r="AU76" s="12"/>
      <c r="AV76" s="12"/>
      <c r="AW76" s="12"/>
      <c r="AX76" s="13"/>
      <c r="AY76" s="12"/>
      <c r="AZ76" s="12" t="str">
        <f>IF(AND(A76="",B76="",E76="",G76="",I76="",AV76="",AX76=""),"",IF(OR(B76="skip",AV76="skip"),"SKIP",IF(OR(B76="to_candidate",AV76="proposed_name"),IF(OR(A76="",AW76="",AX76="",COUNTIF($A$6:$A$505,A76)&gt;1),"REVIEW","TO_PROPOSED"),IF(OR(B76="",A76="",E76="",G76="",I76="",U76="",AV76="",COUNTIF($A$6:$A$505,A76)&gt;1,(COUNTIFS('أرقام التواصل'!$A$6:$A$505,"client",'أرقام التواصل'!$B$6:$B$505,A76,'أرقام التواصل'!$I$6:$I$505,"TRUE")+COUNTIFS('أرقام التواصل'!$A$6:$A$505,"client",'أرقام التواصل'!$B$6:$B$505,A76,'أرقام التواصل'!$C$6:$C$505,1))=0),"REVIEW","READY"))))</f>
        <v/>
      </c>
      <c r="BA76" s="16" t="str">
        <f>IF(AZ76="","",IF(OR(AZ76="READY",AZ76="TO_PROPOSED"),"",IF(AZ76="SKIP","Skipped by decision",TRIM(IF(B76="","missing import_action; ","")&amp;IF(A76="","missing migration_customer_key; ","")&amp;IF(AND(A76&lt;&gt;"",COUNTIF($A$6:$A$505,A76)&gt;1),"duplicate migration_customer_key; ","")&amp;IF(AND(NOT(OR(B76="to_candidate",AV76="proposed_name")),E76=""),"missing branch_id; ","")&amp;IF(AND(NOT(OR(B76="to_candidate",AV76="proposed_name")),G76=""),"missing first_name; ","")&amp;IF(AND(NOT(OR(B76="to_candidate",AV76="proposed_name")),I76=""),"missing last_name; ","")&amp;IF(AND(NOT(OR(B76="to_candidate",AV76="proposed_name")),U76=""),"missing final_geo_unit_id; ","")&amp;IF(AV76="","missing final_destination; ","")&amp;IF(AND(NOT(OR(B76="to_candidate",AV76="proposed_name")),(COUNTIFS('أرقام التواصل'!$A$6:$A$505,"client",'أرقام التواصل'!$B$6:$B$505,A76,'أرقام التواصل'!$I$6:$I$505,"TRUE")+COUNTIFS('أرقام التواصل'!$A$6:$A$505,"client",'أرقام التواصل'!$B$6:$B$505,A76,'أرقام التواصل'!$C$6:$C$505,1))=0),"missing primary contact in أرقام التواصل; ","")&amp;IF(OR(B76="to_candidate",AV76="proposed_name"),IF(AW76="","missing proposed_move_reason; ","")&amp;IF(AX76="","missing proposed_name_key; ",""),"")))))</f>
        <v/>
      </c>
    </row>
    <row r="77" spans="1:53">
      <c r="A77" s="11"/>
      <c r="B77" s="12"/>
      <c r="C77" s="13"/>
      <c r="D77" s="12"/>
      <c r="E77" s="12"/>
      <c r="F77" s="12"/>
      <c r="G77" s="12"/>
      <c r="H77" s="12"/>
      <c r="I77" s="12"/>
      <c r="J77" s="12"/>
      <c r="K77" s="12" t="str">
        <f t="shared" si="1"/>
        <v/>
      </c>
      <c r="L77" s="12"/>
      <c r="M77" s="12"/>
      <c r="N77" s="12"/>
      <c r="O77" s="12"/>
      <c r="P77" s="12"/>
      <c r="Q77" s="12"/>
      <c r="R77" s="12"/>
      <c r="S77" s="12"/>
      <c r="T77" s="12"/>
      <c r="U77" s="12" t="str">
        <f t="shared" si="2"/>
        <v/>
      </c>
      <c r="V77" s="12"/>
      <c r="W77" s="14"/>
      <c r="X77" s="14"/>
      <c r="Y77" s="13"/>
      <c r="Z77" s="12"/>
      <c r="AA77" s="12"/>
      <c r="AB77" s="12"/>
      <c r="AC77" s="12"/>
      <c r="AD77" s="15"/>
      <c r="AE77" s="12"/>
      <c r="AF77" s="13"/>
      <c r="AG77" s="12"/>
      <c r="AH77" s="12"/>
      <c r="AI77" s="15"/>
      <c r="AJ77" s="12"/>
      <c r="AK77" s="12"/>
      <c r="AL77" s="12"/>
      <c r="AM77" s="12"/>
      <c r="AN77" s="12"/>
      <c r="AO77" s="12"/>
      <c r="AP77" s="12"/>
      <c r="AQ77" s="15"/>
      <c r="AR77" s="12"/>
      <c r="AS77" s="12"/>
      <c r="AT77" s="12"/>
      <c r="AU77" s="12"/>
      <c r="AV77" s="12"/>
      <c r="AW77" s="12"/>
      <c r="AX77" s="13"/>
      <c r="AY77" s="12"/>
      <c r="AZ77" s="12" t="str">
        <f>IF(AND(A77="",B77="",E77="",G77="",I77="",AV77="",AX77=""),"",IF(OR(B77="skip",AV77="skip"),"SKIP",IF(OR(B77="to_candidate",AV77="proposed_name"),IF(OR(A77="",AW77="",AX77="",COUNTIF($A$6:$A$505,A77)&gt;1),"REVIEW","TO_PROPOSED"),IF(OR(B77="",A77="",E77="",G77="",I77="",U77="",AV77="",COUNTIF($A$6:$A$505,A77)&gt;1,(COUNTIFS('أرقام التواصل'!$A$6:$A$505,"client",'أرقام التواصل'!$B$6:$B$505,A77,'أرقام التواصل'!$I$6:$I$505,"TRUE")+COUNTIFS('أرقام التواصل'!$A$6:$A$505,"client",'أرقام التواصل'!$B$6:$B$505,A77,'أرقام التواصل'!$C$6:$C$505,1))=0),"REVIEW","READY"))))</f>
        <v/>
      </c>
      <c r="BA77" s="16" t="str">
        <f>IF(AZ77="","",IF(OR(AZ77="READY",AZ77="TO_PROPOSED"),"",IF(AZ77="SKIP","Skipped by decision",TRIM(IF(B77="","missing import_action; ","")&amp;IF(A77="","missing migration_customer_key; ","")&amp;IF(AND(A77&lt;&gt;"",COUNTIF($A$6:$A$505,A77)&gt;1),"duplicate migration_customer_key; ","")&amp;IF(AND(NOT(OR(B77="to_candidate",AV77="proposed_name")),E77=""),"missing branch_id; ","")&amp;IF(AND(NOT(OR(B77="to_candidate",AV77="proposed_name")),G77=""),"missing first_name; ","")&amp;IF(AND(NOT(OR(B77="to_candidate",AV77="proposed_name")),I77=""),"missing last_name; ","")&amp;IF(AND(NOT(OR(B77="to_candidate",AV77="proposed_name")),U77=""),"missing final_geo_unit_id; ","")&amp;IF(AV77="","missing final_destination; ","")&amp;IF(AND(NOT(OR(B77="to_candidate",AV77="proposed_name")),(COUNTIFS('أرقام التواصل'!$A$6:$A$505,"client",'أرقام التواصل'!$B$6:$B$505,A77,'أرقام التواصل'!$I$6:$I$505,"TRUE")+COUNTIFS('أرقام التواصل'!$A$6:$A$505,"client",'أرقام التواصل'!$B$6:$B$505,A77,'أرقام التواصل'!$C$6:$C$505,1))=0),"missing primary contact in أرقام التواصل; ","")&amp;IF(OR(B77="to_candidate",AV77="proposed_name"),IF(AW77="","missing proposed_move_reason; ","")&amp;IF(AX77="","missing proposed_name_key; ",""),"")))))</f>
        <v/>
      </c>
    </row>
    <row r="78" spans="1:53">
      <c r="A78" s="11"/>
      <c r="B78" s="12"/>
      <c r="C78" s="13"/>
      <c r="D78" s="12"/>
      <c r="E78" s="12"/>
      <c r="F78" s="12"/>
      <c r="G78" s="12"/>
      <c r="H78" s="12"/>
      <c r="I78" s="12"/>
      <c r="J78" s="12"/>
      <c r="K78" s="12" t="str">
        <f t="shared" si="1"/>
        <v/>
      </c>
      <c r="L78" s="12"/>
      <c r="M78" s="12"/>
      <c r="N78" s="12"/>
      <c r="O78" s="12"/>
      <c r="P78" s="12"/>
      <c r="Q78" s="12"/>
      <c r="R78" s="12"/>
      <c r="S78" s="12"/>
      <c r="T78" s="12"/>
      <c r="U78" s="12" t="str">
        <f t="shared" si="2"/>
        <v/>
      </c>
      <c r="V78" s="12"/>
      <c r="W78" s="14"/>
      <c r="X78" s="14"/>
      <c r="Y78" s="13"/>
      <c r="Z78" s="12"/>
      <c r="AA78" s="12"/>
      <c r="AB78" s="12"/>
      <c r="AC78" s="12"/>
      <c r="AD78" s="15"/>
      <c r="AE78" s="12"/>
      <c r="AF78" s="13"/>
      <c r="AG78" s="12"/>
      <c r="AH78" s="12"/>
      <c r="AI78" s="15"/>
      <c r="AJ78" s="12"/>
      <c r="AK78" s="12"/>
      <c r="AL78" s="12"/>
      <c r="AM78" s="12"/>
      <c r="AN78" s="12"/>
      <c r="AO78" s="12"/>
      <c r="AP78" s="12"/>
      <c r="AQ78" s="15"/>
      <c r="AR78" s="12"/>
      <c r="AS78" s="12"/>
      <c r="AT78" s="12"/>
      <c r="AU78" s="12"/>
      <c r="AV78" s="12"/>
      <c r="AW78" s="12"/>
      <c r="AX78" s="13"/>
      <c r="AY78" s="12"/>
      <c r="AZ78" s="12" t="str">
        <f>IF(AND(A78="",B78="",E78="",G78="",I78="",AV78="",AX78=""),"",IF(OR(B78="skip",AV78="skip"),"SKIP",IF(OR(B78="to_candidate",AV78="proposed_name"),IF(OR(A78="",AW78="",AX78="",COUNTIF($A$6:$A$505,A78)&gt;1),"REVIEW","TO_PROPOSED"),IF(OR(B78="",A78="",E78="",G78="",I78="",U78="",AV78="",COUNTIF($A$6:$A$505,A78)&gt;1,(COUNTIFS('أرقام التواصل'!$A$6:$A$505,"client",'أرقام التواصل'!$B$6:$B$505,A78,'أرقام التواصل'!$I$6:$I$505,"TRUE")+COUNTIFS('أرقام التواصل'!$A$6:$A$505,"client",'أرقام التواصل'!$B$6:$B$505,A78,'أرقام التواصل'!$C$6:$C$505,1))=0),"REVIEW","READY"))))</f>
        <v/>
      </c>
      <c r="BA78" s="16" t="str">
        <f>IF(AZ78="","",IF(OR(AZ78="READY",AZ78="TO_PROPOSED"),"",IF(AZ78="SKIP","Skipped by decision",TRIM(IF(B78="","missing import_action; ","")&amp;IF(A78="","missing migration_customer_key; ","")&amp;IF(AND(A78&lt;&gt;"",COUNTIF($A$6:$A$505,A78)&gt;1),"duplicate migration_customer_key; ","")&amp;IF(AND(NOT(OR(B78="to_candidate",AV78="proposed_name")),E78=""),"missing branch_id; ","")&amp;IF(AND(NOT(OR(B78="to_candidate",AV78="proposed_name")),G78=""),"missing first_name; ","")&amp;IF(AND(NOT(OR(B78="to_candidate",AV78="proposed_name")),I78=""),"missing last_name; ","")&amp;IF(AND(NOT(OR(B78="to_candidate",AV78="proposed_name")),U78=""),"missing final_geo_unit_id; ","")&amp;IF(AV78="","missing final_destination; ","")&amp;IF(AND(NOT(OR(B78="to_candidate",AV78="proposed_name")),(COUNTIFS('أرقام التواصل'!$A$6:$A$505,"client",'أرقام التواصل'!$B$6:$B$505,A78,'أرقام التواصل'!$I$6:$I$505,"TRUE")+COUNTIFS('أرقام التواصل'!$A$6:$A$505,"client",'أرقام التواصل'!$B$6:$B$505,A78,'أرقام التواصل'!$C$6:$C$505,1))=0),"missing primary contact in أرقام التواصل; ","")&amp;IF(OR(B78="to_candidate",AV78="proposed_name"),IF(AW78="","missing proposed_move_reason; ","")&amp;IF(AX78="","missing proposed_name_key; ",""),"")))))</f>
        <v/>
      </c>
    </row>
    <row r="79" spans="1:53">
      <c r="A79" s="11"/>
      <c r="B79" s="12"/>
      <c r="C79" s="13"/>
      <c r="D79" s="12"/>
      <c r="E79" s="12"/>
      <c r="F79" s="12"/>
      <c r="G79" s="12"/>
      <c r="H79" s="12"/>
      <c r="I79" s="12"/>
      <c r="J79" s="12"/>
      <c r="K79" s="12" t="str">
        <f t="shared" si="1"/>
        <v/>
      </c>
      <c r="L79" s="12"/>
      <c r="M79" s="12"/>
      <c r="N79" s="12"/>
      <c r="O79" s="12"/>
      <c r="P79" s="12"/>
      <c r="Q79" s="12"/>
      <c r="R79" s="12"/>
      <c r="S79" s="12"/>
      <c r="T79" s="12"/>
      <c r="U79" s="12" t="str">
        <f t="shared" si="2"/>
        <v/>
      </c>
      <c r="V79" s="12"/>
      <c r="W79" s="14"/>
      <c r="X79" s="14"/>
      <c r="Y79" s="13"/>
      <c r="Z79" s="12"/>
      <c r="AA79" s="12"/>
      <c r="AB79" s="12"/>
      <c r="AC79" s="12"/>
      <c r="AD79" s="15"/>
      <c r="AE79" s="12"/>
      <c r="AF79" s="13"/>
      <c r="AG79" s="12"/>
      <c r="AH79" s="12"/>
      <c r="AI79" s="15"/>
      <c r="AJ79" s="12"/>
      <c r="AK79" s="12"/>
      <c r="AL79" s="12"/>
      <c r="AM79" s="12"/>
      <c r="AN79" s="12"/>
      <c r="AO79" s="12"/>
      <c r="AP79" s="12"/>
      <c r="AQ79" s="15"/>
      <c r="AR79" s="12"/>
      <c r="AS79" s="12"/>
      <c r="AT79" s="12"/>
      <c r="AU79" s="12"/>
      <c r="AV79" s="12"/>
      <c r="AW79" s="12"/>
      <c r="AX79" s="13"/>
      <c r="AY79" s="12"/>
      <c r="AZ79" s="12" t="str">
        <f>IF(AND(A79="",B79="",E79="",G79="",I79="",AV79="",AX79=""),"",IF(OR(B79="skip",AV79="skip"),"SKIP",IF(OR(B79="to_candidate",AV79="proposed_name"),IF(OR(A79="",AW79="",AX79="",COUNTIF($A$6:$A$505,A79)&gt;1),"REVIEW","TO_PROPOSED"),IF(OR(B79="",A79="",E79="",G79="",I79="",U79="",AV79="",COUNTIF($A$6:$A$505,A79)&gt;1,(COUNTIFS('أرقام التواصل'!$A$6:$A$505,"client",'أرقام التواصل'!$B$6:$B$505,A79,'أرقام التواصل'!$I$6:$I$505,"TRUE")+COUNTIFS('أرقام التواصل'!$A$6:$A$505,"client",'أرقام التواصل'!$B$6:$B$505,A79,'أرقام التواصل'!$C$6:$C$505,1))=0),"REVIEW","READY"))))</f>
        <v/>
      </c>
      <c r="BA79" s="16" t="str">
        <f>IF(AZ79="","",IF(OR(AZ79="READY",AZ79="TO_PROPOSED"),"",IF(AZ79="SKIP","Skipped by decision",TRIM(IF(B79="","missing import_action; ","")&amp;IF(A79="","missing migration_customer_key; ","")&amp;IF(AND(A79&lt;&gt;"",COUNTIF($A$6:$A$505,A79)&gt;1),"duplicate migration_customer_key; ","")&amp;IF(AND(NOT(OR(B79="to_candidate",AV79="proposed_name")),E79=""),"missing branch_id; ","")&amp;IF(AND(NOT(OR(B79="to_candidate",AV79="proposed_name")),G79=""),"missing first_name; ","")&amp;IF(AND(NOT(OR(B79="to_candidate",AV79="proposed_name")),I79=""),"missing last_name; ","")&amp;IF(AND(NOT(OR(B79="to_candidate",AV79="proposed_name")),U79=""),"missing final_geo_unit_id; ","")&amp;IF(AV79="","missing final_destination; ","")&amp;IF(AND(NOT(OR(B79="to_candidate",AV79="proposed_name")),(COUNTIFS('أرقام التواصل'!$A$6:$A$505,"client",'أرقام التواصل'!$B$6:$B$505,A79,'أرقام التواصل'!$I$6:$I$505,"TRUE")+COUNTIFS('أرقام التواصل'!$A$6:$A$505,"client",'أرقام التواصل'!$B$6:$B$505,A79,'أرقام التواصل'!$C$6:$C$505,1))=0),"missing primary contact in أرقام التواصل; ","")&amp;IF(OR(B79="to_candidate",AV79="proposed_name"),IF(AW79="","missing proposed_move_reason; ","")&amp;IF(AX79="","missing proposed_name_key; ",""),"")))))</f>
        <v/>
      </c>
    </row>
    <row r="80" spans="1:53">
      <c r="A80" s="11"/>
      <c r="B80" s="12"/>
      <c r="C80" s="13"/>
      <c r="D80" s="12"/>
      <c r="E80" s="12"/>
      <c r="F80" s="12"/>
      <c r="G80" s="12"/>
      <c r="H80" s="12"/>
      <c r="I80" s="12"/>
      <c r="J80" s="12"/>
      <c r="K80" s="12" t="str">
        <f t="shared" si="1"/>
        <v/>
      </c>
      <c r="L80" s="12"/>
      <c r="M80" s="12"/>
      <c r="N80" s="12"/>
      <c r="O80" s="12"/>
      <c r="P80" s="12"/>
      <c r="Q80" s="12"/>
      <c r="R80" s="12"/>
      <c r="S80" s="12"/>
      <c r="T80" s="12"/>
      <c r="U80" s="12" t="str">
        <f t="shared" si="2"/>
        <v/>
      </c>
      <c r="V80" s="12"/>
      <c r="W80" s="14"/>
      <c r="X80" s="14"/>
      <c r="Y80" s="13"/>
      <c r="Z80" s="12"/>
      <c r="AA80" s="12"/>
      <c r="AB80" s="12"/>
      <c r="AC80" s="12"/>
      <c r="AD80" s="15"/>
      <c r="AE80" s="12"/>
      <c r="AF80" s="13"/>
      <c r="AG80" s="12"/>
      <c r="AH80" s="12"/>
      <c r="AI80" s="15"/>
      <c r="AJ80" s="12"/>
      <c r="AK80" s="12"/>
      <c r="AL80" s="12"/>
      <c r="AM80" s="12"/>
      <c r="AN80" s="12"/>
      <c r="AO80" s="12"/>
      <c r="AP80" s="12"/>
      <c r="AQ80" s="15"/>
      <c r="AR80" s="12"/>
      <c r="AS80" s="12"/>
      <c r="AT80" s="12"/>
      <c r="AU80" s="12"/>
      <c r="AV80" s="12"/>
      <c r="AW80" s="12"/>
      <c r="AX80" s="13"/>
      <c r="AY80" s="12"/>
      <c r="AZ80" s="12" t="str">
        <f>IF(AND(A80="",B80="",E80="",G80="",I80="",AV80="",AX80=""),"",IF(OR(B80="skip",AV80="skip"),"SKIP",IF(OR(B80="to_candidate",AV80="proposed_name"),IF(OR(A80="",AW80="",AX80="",COUNTIF($A$6:$A$505,A80)&gt;1),"REVIEW","TO_PROPOSED"),IF(OR(B80="",A80="",E80="",G80="",I80="",U80="",AV80="",COUNTIF($A$6:$A$505,A80)&gt;1,(COUNTIFS('أرقام التواصل'!$A$6:$A$505,"client",'أرقام التواصل'!$B$6:$B$505,A80,'أرقام التواصل'!$I$6:$I$505,"TRUE")+COUNTIFS('أرقام التواصل'!$A$6:$A$505,"client",'أرقام التواصل'!$B$6:$B$505,A80,'أرقام التواصل'!$C$6:$C$505,1))=0),"REVIEW","READY"))))</f>
        <v/>
      </c>
      <c r="BA80" s="16" t="str">
        <f>IF(AZ80="","",IF(OR(AZ80="READY",AZ80="TO_PROPOSED"),"",IF(AZ80="SKIP","Skipped by decision",TRIM(IF(B80="","missing import_action; ","")&amp;IF(A80="","missing migration_customer_key; ","")&amp;IF(AND(A80&lt;&gt;"",COUNTIF($A$6:$A$505,A80)&gt;1),"duplicate migration_customer_key; ","")&amp;IF(AND(NOT(OR(B80="to_candidate",AV80="proposed_name")),E80=""),"missing branch_id; ","")&amp;IF(AND(NOT(OR(B80="to_candidate",AV80="proposed_name")),G80=""),"missing first_name; ","")&amp;IF(AND(NOT(OR(B80="to_candidate",AV80="proposed_name")),I80=""),"missing last_name; ","")&amp;IF(AND(NOT(OR(B80="to_candidate",AV80="proposed_name")),U80=""),"missing final_geo_unit_id; ","")&amp;IF(AV80="","missing final_destination; ","")&amp;IF(AND(NOT(OR(B80="to_candidate",AV80="proposed_name")),(COUNTIFS('أرقام التواصل'!$A$6:$A$505,"client",'أرقام التواصل'!$B$6:$B$505,A80,'أرقام التواصل'!$I$6:$I$505,"TRUE")+COUNTIFS('أرقام التواصل'!$A$6:$A$505,"client",'أرقام التواصل'!$B$6:$B$505,A80,'أرقام التواصل'!$C$6:$C$505,1))=0),"missing primary contact in أرقام التواصل; ","")&amp;IF(OR(B80="to_candidate",AV80="proposed_name"),IF(AW80="","missing proposed_move_reason; ","")&amp;IF(AX80="","missing proposed_name_key; ",""),"")))))</f>
        <v/>
      </c>
    </row>
    <row r="81" spans="1:53">
      <c r="A81" s="11"/>
      <c r="B81" s="12"/>
      <c r="C81" s="13"/>
      <c r="D81" s="12"/>
      <c r="E81" s="12"/>
      <c r="F81" s="12"/>
      <c r="G81" s="12"/>
      <c r="H81" s="12"/>
      <c r="I81" s="12"/>
      <c r="J81" s="12"/>
      <c r="K81" s="12" t="str">
        <f t="shared" si="1"/>
        <v/>
      </c>
      <c r="L81" s="12"/>
      <c r="M81" s="12"/>
      <c r="N81" s="12"/>
      <c r="O81" s="12"/>
      <c r="P81" s="12"/>
      <c r="Q81" s="12"/>
      <c r="R81" s="12"/>
      <c r="S81" s="12"/>
      <c r="T81" s="12"/>
      <c r="U81" s="12" t="str">
        <f t="shared" si="2"/>
        <v/>
      </c>
      <c r="V81" s="12"/>
      <c r="W81" s="14"/>
      <c r="X81" s="14"/>
      <c r="Y81" s="13"/>
      <c r="Z81" s="12"/>
      <c r="AA81" s="12"/>
      <c r="AB81" s="12"/>
      <c r="AC81" s="12"/>
      <c r="AD81" s="15"/>
      <c r="AE81" s="12"/>
      <c r="AF81" s="13"/>
      <c r="AG81" s="12"/>
      <c r="AH81" s="12"/>
      <c r="AI81" s="15"/>
      <c r="AJ81" s="12"/>
      <c r="AK81" s="12"/>
      <c r="AL81" s="12"/>
      <c r="AM81" s="12"/>
      <c r="AN81" s="12"/>
      <c r="AO81" s="12"/>
      <c r="AP81" s="12"/>
      <c r="AQ81" s="15"/>
      <c r="AR81" s="12"/>
      <c r="AS81" s="12"/>
      <c r="AT81" s="12"/>
      <c r="AU81" s="12"/>
      <c r="AV81" s="12"/>
      <c r="AW81" s="12"/>
      <c r="AX81" s="13"/>
      <c r="AY81" s="12"/>
      <c r="AZ81" s="12" t="str">
        <f>IF(AND(A81="",B81="",E81="",G81="",I81="",AV81="",AX81=""),"",IF(OR(B81="skip",AV81="skip"),"SKIP",IF(OR(B81="to_candidate",AV81="proposed_name"),IF(OR(A81="",AW81="",AX81="",COUNTIF($A$6:$A$505,A81)&gt;1),"REVIEW","TO_PROPOSED"),IF(OR(B81="",A81="",E81="",G81="",I81="",U81="",AV81="",COUNTIF($A$6:$A$505,A81)&gt;1,(COUNTIFS('أرقام التواصل'!$A$6:$A$505,"client",'أرقام التواصل'!$B$6:$B$505,A81,'أرقام التواصل'!$I$6:$I$505,"TRUE")+COUNTIFS('أرقام التواصل'!$A$6:$A$505,"client",'أرقام التواصل'!$B$6:$B$505,A81,'أرقام التواصل'!$C$6:$C$505,1))=0),"REVIEW","READY"))))</f>
        <v/>
      </c>
      <c r="BA81" s="16" t="str">
        <f>IF(AZ81="","",IF(OR(AZ81="READY",AZ81="TO_PROPOSED"),"",IF(AZ81="SKIP","Skipped by decision",TRIM(IF(B81="","missing import_action; ","")&amp;IF(A81="","missing migration_customer_key; ","")&amp;IF(AND(A81&lt;&gt;"",COUNTIF($A$6:$A$505,A81)&gt;1),"duplicate migration_customer_key; ","")&amp;IF(AND(NOT(OR(B81="to_candidate",AV81="proposed_name")),E81=""),"missing branch_id; ","")&amp;IF(AND(NOT(OR(B81="to_candidate",AV81="proposed_name")),G81=""),"missing first_name; ","")&amp;IF(AND(NOT(OR(B81="to_candidate",AV81="proposed_name")),I81=""),"missing last_name; ","")&amp;IF(AND(NOT(OR(B81="to_candidate",AV81="proposed_name")),U81=""),"missing final_geo_unit_id; ","")&amp;IF(AV81="","missing final_destination; ","")&amp;IF(AND(NOT(OR(B81="to_candidate",AV81="proposed_name")),(COUNTIFS('أرقام التواصل'!$A$6:$A$505,"client",'أرقام التواصل'!$B$6:$B$505,A81,'أرقام التواصل'!$I$6:$I$505,"TRUE")+COUNTIFS('أرقام التواصل'!$A$6:$A$505,"client",'أرقام التواصل'!$B$6:$B$505,A81,'أرقام التواصل'!$C$6:$C$505,1))=0),"missing primary contact in أرقام التواصل; ","")&amp;IF(OR(B81="to_candidate",AV81="proposed_name"),IF(AW81="","missing proposed_move_reason; ","")&amp;IF(AX81="","missing proposed_name_key; ",""),"")))))</f>
        <v/>
      </c>
    </row>
    <row r="82" spans="1:53">
      <c r="A82" s="11"/>
      <c r="B82" s="12"/>
      <c r="C82" s="13"/>
      <c r="D82" s="12"/>
      <c r="E82" s="12"/>
      <c r="F82" s="12"/>
      <c r="G82" s="12"/>
      <c r="H82" s="12"/>
      <c r="I82" s="12"/>
      <c r="J82" s="12"/>
      <c r="K82" s="12" t="str">
        <f t="shared" si="1"/>
        <v/>
      </c>
      <c r="L82" s="12"/>
      <c r="M82" s="12"/>
      <c r="N82" s="12"/>
      <c r="O82" s="12"/>
      <c r="P82" s="12"/>
      <c r="Q82" s="12"/>
      <c r="R82" s="12"/>
      <c r="S82" s="12"/>
      <c r="T82" s="12"/>
      <c r="U82" s="12" t="str">
        <f t="shared" si="2"/>
        <v/>
      </c>
      <c r="V82" s="12"/>
      <c r="W82" s="14"/>
      <c r="X82" s="14"/>
      <c r="Y82" s="13"/>
      <c r="Z82" s="12"/>
      <c r="AA82" s="12"/>
      <c r="AB82" s="12"/>
      <c r="AC82" s="12"/>
      <c r="AD82" s="15"/>
      <c r="AE82" s="12"/>
      <c r="AF82" s="13"/>
      <c r="AG82" s="12"/>
      <c r="AH82" s="12"/>
      <c r="AI82" s="15"/>
      <c r="AJ82" s="12"/>
      <c r="AK82" s="12"/>
      <c r="AL82" s="12"/>
      <c r="AM82" s="12"/>
      <c r="AN82" s="12"/>
      <c r="AO82" s="12"/>
      <c r="AP82" s="12"/>
      <c r="AQ82" s="15"/>
      <c r="AR82" s="12"/>
      <c r="AS82" s="12"/>
      <c r="AT82" s="12"/>
      <c r="AU82" s="12"/>
      <c r="AV82" s="12"/>
      <c r="AW82" s="12"/>
      <c r="AX82" s="13"/>
      <c r="AY82" s="12"/>
      <c r="AZ82" s="12" t="str">
        <f>IF(AND(A82="",B82="",E82="",G82="",I82="",AV82="",AX82=""),"",IF(OR(B82="skip",AV82="skip"),"SKIP",IF(OR(B82="to_candidate",AV82="proposed_name"),IF(OR(A82="",AW82="",AX82="",COUNTIF($A$6:$A$505,A82)&gt;1),"REVIEW","TO_PROPOSED"),IF(OR(B82="",A82="",E82="",G82="",I82="",U82="",AV82="",COUNTIF($A$6:$A$505,A82)&gt;1,(COUNTIFS('أرقام التواصل'!$A$6:$A$505,"client",'أرقام التواصل'!$B$6:$B$505,A82,'أرقام التواصل'!$I$6:$I$505,"TRUE")+COUNTIFS('أرقام التواصل'!$A$6:$A$505,"client",'أرقام التواصل'!$B$6:$B$505,A82,'أرقام التواصل'!$C$6:$C$505,1))=0),"REVIEW","READY"))))</f>
        <v/>
      </c>
      <c r="BA82" s="16" t="str">
        <f>IF(AZ82="","",IF(OR(AZ82="READY",AZ82="TO_PROPOSED"),"",IF(AZ82="SKIP","Skipped by decision",TRIM(IF(B82="","missing import_action; ","")&amp;IF(A82="","missing migration_customer_key; ","")&amp;IF(AND(A82&lt;&gt;"",COUNTIF($A$6:$A$505,A82)&gt;1),"duplicate migration_customer_key; ","")&amp;IF(AND(NOT(OR(B82="to_candidate",AV82="proposed_name")),E82=""),"missing branch_id; ","")&amp;IF(AND(NOT(OR(B82="to_candidate",AV82="proposed_name")),G82=""),"missing first_name; ","")&amp;IF(AND(NOT(OR(B82="to_candidate",AV82="proposed_name")),I82=""),"missing last_name; ","")&amp;IF(AND(NOT(OR(B82="to_candidate",AV82="proposed_name")),U82=""),"missing final_geo_unit_id; ","")&amp;IF(AV82="","missing final_destination; ","")&amp;IF(AND(NOT(OR(B82="to_candidate",AV82="proposed_name")),(COUNTIFS('أرقام التواصل'!$A$6:$A$505,"client",'أرقام التواصل'!$B$6:$B$505,A82,'أرقام التواصل'!$I$6:$I$505,"TRUE")+COUNTIFS('أرقام التواصل'!$A$6:$A$505,"client",'أرقام التواصل'!$B$6:$B$505,A82,'أرقام التواصل'!$C$6:$C$505,1))=0),"missing primary contact in أرقام التواصل; ","")&amp;IF(OR(B82="to_candidate",AV82="proposed_name"),IF(AW82="","missing proposed_move_reason; ","")&amp;IF(AX82="","missing proposed_name_key; ",""),"")))))</f>
        <v/>
      </c>
    </row>
    <row r="83" spans="1:53">
      <c r="A83" s="11"/>
      <c r="B83" s="12"/>
      <c r="C83" s="13"/>
      <c r="D83" s="12"/>
      <c r="E83" s="12"/>
      <c r="F83" s="12"/>
      <c r="G83" s="12"/>
      <c r="H83" s="12"/>
      <c r="I83" s="12"/>
      <c r="J83" s="12"/>
      <c r="K83" s="12" t="str">
        <f t="shared" si="1"/>
        <v/>
      </c>
      <c r="L83" s="12"/>
      <c r="M83" s="12"/>
      <c r="N83" s="12"/>
      <c r="O83" s="12"/>
      <c r="P83" s="12"/>
      <c r="Q83" s="12"/>
      <c r="R83" s="12"/>
      <c r="S83" s="12"/>
      <c r="T83" s="12"/>
      <c r="U83" s="12" t="str">
        <f t="shared" si="2"/>
        <v/>
      </c>
      <c r="V83" s="12"/>
      <c r="W83" s="14"/>
      <c r="X83" s="14"/>
      <c r="Y83" s="13"/>
      <c r="Z83" s="12"/>
      <c r="AA83" s="12"/>
      <c r="AB83" s="12"/>
      <c r="AC83" s="12"/>
      <c r="AD83" s="15"/>
      <c r="AE83" s="12"/>
      <c r="AF83" s="13"/>
      <c r="AG83" s="12"/>
      <c r="AH83" s="12"/>
      <c r="AI83" s="15"/>
      <c r="AJ83" s="12"/>
      <c r="AK83" s="12"/>
      <c r="AL83" s="12"/>
      <c r="AM83" s="12"/>
      <c r="AN83" s="12"/>
      <c r="AO83" s="12"/>
      <c r="AP83" s="12"/>
      <c r="AQ83" s="15"/>
      <c r="AR83" s="12"/>
      <c r="AS83" s="12"/>
      <c r="AT83" s="12"/>
      <c r="AU83" s="12"/>
      <c r="AV83" s="12"/>
      <c r="AW83" s="12"/>
      <c r="AX83" s="13"/>
      <c r="AY83" s="12"/>
      <c r="AZ83" s="12" t="str">
        <f>IF(AND(A83="",B83="",E83="",G83="",I83="",AV83="",AX83=""),"",IF(OR(B83="skip",AV83="skip"),"SKIP",IF(OR(B83="to_candidate",AV83="proposed_name"),IF(OR(A83="",AW83="",AX83="",COUNTIF($A$6:$A$505,A83)&gt;1),"REVIEW","TO_PROPOSED"),IF(OR(B83="",A83="",E83="",G83="",I83="",U83="",AV83="",COUNTIF($A$6:$A$505,A83)&gt;1,(COUNTIFS('أرقام التواصل'!$A$6:$A$505,"client",'أرقام التواصل'!$B$6:$B$505,A83,'أرقام التواصل'!$I$6:$I$505,"TRUE")+COUNTIFS('أرقام التواصل'!$A$6:$A$505,"client",'أرقام التواصل'!$B$6:$B$505,A83,'أرقام التواصل'!$C$6:$C$505,1))=0),"REVIEW","READY"))))</f>
        <v/>
      </c>
      <c r="BA83" s="16" t="str">
        <f>IF(AZ83="","",IF(OR(AZ83="READY",AZ83="TO_PROPOSED"),"",IF(AZ83="SKIP","Skipped by decision",TRIM(IF(B83="","missing import_action; ","")&amp;IF(A83="","missing migration_customer_key; ","")&amp;IF(AND(A83&lt;&gt;"",COUNTIF($A$6:$A$505,A83)&gt;1),"duplicate migration_customer_key; ","")&amp;IF(AND(NOT(OR(B83="to_candidate",AV83="proposed_name")),E83=""),"missing branch_id; ","")&amp;IF(AND(NOT(OR(B83="to_candidate",AV83="proposed_name")),G83=""),"missing first_name; ","")&amp;IF(AND(NOT(OR(B83="to_candidate",AV83="proposed_name")),I83=""),"missing last_name; ","")&amp;IF(AND(NOT(OR(B83="to_candidate",AV83="proposed_name")),U83=""),"missing final_geo_unit_id; ","")&amp;IF(AV83="","missing final_destination; ","")&amp;IF(AND(NOT(OR(B83="to_candidate",AV83="proposed_name")),(COUNTIFS('أرقام التواصل'!$A$6:$A$505,"client",'أرقام التواصل'!$B$6:$B$505,A83,'أرقام التواصل'!$I$6:$I$505,"TRUE")+COUNTIFS('أرقام التواصل'!$A$6:$A$505,"client",'أرقام التواصل'!$B$6:$B$505,A83,'أرقام التواصل'!$C$6:$C$505,1))=0),"missing primary contact in أرقام التواصل; ","")&amp;IF(OR(B83="to_candidate",AV83="proposed_name"),IF(AW83="","missing proposed_move_reason; ","")&amp;IF(AX83="","missing proposed_name_key; ",""),"")))))</f>
        <v/>
      </c>
    </row>
    <row r="84" spans="1:53">
      <c r="A84" s="11"/>
      <c r="B84" s="12"/>
      <c r="C84" s="13"/>
      <c r="D84" s="12"/>
      <c r="E84" s="12"/>
      <c r="F84" s="12"/>
      <c r="G84" s="12"/>
      <c r="H84" s="12"/>
      <c r="I84" s="12"/>
      <c r="J84" s="12"/>
      <c r="K84" s="12" t="str">
        <f t="shared" si="1"/>
        <v/>
      </c>
      <c r="L84" s="12"/>
      <c r="M84" s="12"/>
      <c r="N84" s="12"/>
      <c r="O84" s="12"/>
      <c r="P84" s="12"/>
      <c r="Q84" s="12"/>
      <c r="R84" s="12"/>
      <c r="S84" s="12"/>
      <c r="T84" s="12"/>
      <c r="U84" s="12" t="str">
        <f t="shared" si="2"/>
        <v/>
      </c>
      <c r="V84" s="12"/>
      <c r="W84" s="14"/>
      <c r="X84" s="14"/>
      <c r="Y84" s="13"/>
      <c r="Z84" s="12"/>
      <c r="AA84" s="12"/>
      <c r="AB84" s="12"/>
      <c r="AC84" s="12"/>
      <c r="AD84" s="15"/>
      <c r="AE84" s="12"/>
      <c r="AF84" s="13"/>
      <c r="AG84" s="12"/>
      <c r="AH84" s="12"/>
      <c r="AI84" s="15"/>
      <c r="AJ84" s="12"/>
      <c r="AK84" s="12"/>
      <c r="AL84" s="12"/>
      <c r="AM84" s="12"/>
      <c r="AN84" s="12"/>
      <c r="AO84" s="12"/>
      <c r="AP84" s="12"/>
      <c r="AQ84" s="15"/>
      <c r="AR84" s="12"/>
      <c r="AS84" s="12"/>
      <c r="AT84" s="12"/>
      <c r="AU84" s="12"/>
      <c r="AV84" s="12"/>
      <c r="AW84" s="12"/>
      <c r="AX84" s="13"/>
      <c r="AY84" s="12"/>
      <c r="AZ84" s="12" t="str">
        <f>IF(AND(A84="",B84="",E84="",G84="",I84="",AV84="",AX84=""),"",IF(OR(B84="skip",AV84="skip"),"SKIP",IF(OR(B84="to_candidate",AV84="proposed_name"),IF(OR(A84="",AW84="",AX84="",COUNTIF($A$6:$A$505,A84)&gt;1),"REVIEW","TO_PROPOSED"),IF(OR(B84="",A84="",E84="",G84="",I84="",U84="",AV84="",COUNTIF($A$6:$A$505,A84)&gt;1,(COUNTIFS('أرقام التواصل'!$A$6:$A$505,"client",'أرقام التواصل'!$B$6:$B$505,A84,'أرقام التواصل'!$I$6:$I$505,"TRUE")+COUNTIFS('أرقام التواصل'!$A$6:$A$505,"client",'أرقام التواصل'!$B$6:$B$505,A84,'أرقام التواصل'!$C$6:$C$505,1))=0),"REVIEW","READY"))))</f>
        <v/>
      </c>
      <c r="BA84" s="16" t="str">
        <f>IF(AZ84="","",IF(OR(AZ84="READY",AZ84="TO_PROPOSED"),"",IF(AZ84="SKIP","Skipped by decision",TRIM(IF(B84="","missing import_action; ","")&amp;IF(A84="","missing migration_customer_key; ","")&amp;IF(AND(A84&lt;&gt;"",COUNTIF($A$6:$A$505,A84)&gt;1),"duplicate migration_customer_key; ","")&amp;IF(AND(NOT(OR(B84="to_candidate",AV84="proposed_name")),E84=""),"missing branch_id; ","")&amp;IF(AND(NOT(OR(B84="to_candidate",AV84="proposed_name")),G84=""),"missing first_name; ","")&amp;IF(AND(NOT(OR(B84="to_candidate",AV84="proposed_name")),I84=""),"missing last_name; ","")&amp;IF(AND(NOT(OR(B84="to_candidate",AV84="proposed_name")),U84=""),"missing final_geo_unit_id; ","")&amp;IF(AV84="","missing final_destination; ","")&amp;IF(AND(NOT(OR(B84="to_candidate",AV84="proposed_name")),(COUNTIFS('أرقام التواصل'!$A$6:$A$505,"client",'أرقام التواصل'!$B$6:$B$505,A84,'أرقام التواصل'!$I$6:$I$505,"TRUE")+COUNTIFS('أرقام التواصل'!$A$6:$A$505,"client",'أرقام التواصل'!$B$6:$B$505,A84,'أرقام التواصل'!$C$6:$C$505,1))=0),"missing primary contact in أرقام التواصل; ","")&amp;IF(OR(B84="to_candidate",AV84="proposed_name"),IF(AW84="","missing proposed_move_reason; ","")&amp;IF(AX84="","missing proposed_name_key; ",""),"")))))</f>
        <v/>
      </c>
    </row>
    <row r="85" spans="1:53">
      <c r="A85" s="11"/>
      <c r="B85" s="12"/>
      <c r="C85" s="13"/>
      <c r="D85" s="12"/>
      <c r="E85" s="12"/>
      <c r="F85" s="12"/>
      <c r="G85" s="12"/>
      <c r="H85" s="12"/>
      <c r="I85" s="12"/>
      <c r="J85" s="12"/>
      <c r="K85" s="12" t="str">
        <f t="shared" si="1"/>
        <v/>
      </c>
      <c r="L85" s="12"/>
      <c r="M85" s="12"/>
      <c r="N85" s="12"/>
      <c r="O85" s="12"/>
      <c r="P85" s="12"/>
      <c r="Q85" s="12"/>
      <c r="R85" s="12"/>
      <c r="S85" s="12"/>
      <c r="T85" s="12"/>
      <c r="U85" s="12" t="str">
        <f t="shared" si="2"/>
        <v/>
      </c>
      <c r="V85" s="12"/>
      <c r="W85" s="14"/>
      <c r="X85" s="14"/>
      <c r="Y85" s="13"/>
      <c r="Z85" s="12"/>
      <c r="AA85" s="12"/>
      <c r="AB85" s="12"/>
      <c r="AC85" s="12"/>
      <c r="AD85" s="15"/>
      <c r="AE85" s="12"/>
      <c r="AF85" s="13"/>
      <c r="AG85" s="12"/>
      <c r="AH85" s="12"/>
      <c r="AI85" s="15"/>
      <c r="AJ85" s="12"/>
      <c r="AK85" s="12"/>
      <c r="AL85" s="12"/>
      <c r="AM85" s="12"/>
      <c r="AN85" s="12"/>
      <c r="AO85" s="12"/>
      <c r="AP85" s="12"/>
      <c r="AQ85" s="15"/>
      <c r="AR85" s="12"/>
      <c r="AS85" s="12"/>
      <c r="AT85" s="12"/>
      <c r="AU85" s="12"/>
      <c r="AV85" s="12"/>
      <c r="AW85" s="12"/>
      <c r="AX85" s="13"/>
      <c r="AY85" s="12"/>
      <c r="AZ85" s="12" t="str">
        <f>IF(AND(A85="",B85="",E85="",G85="",I85="",AV85="",AX85=""),"",IF(OR(B85="skip",AV85="skip"),"SKIP",IF(OR(B85="to_candidate",AV85="proposed_name"),IF(OR(A85="",AW85="",AX85="",COUNTIF($A$6:$A$505,A85)&gt;1),"REVIEW","TO_PROPOSED"),IF(OR(B85="",A85="",E85="",G85="",I85="",U85="",AV85="",COUNTIF($A$6:$A$505,A85)&gt;1,(COUNTIFS('أرقام التواصل'!$A$6:$A$505,"client",'أرقام التواصل'!$B$6:$B$505,A85,'أرقام التواصل'!$I$6:$I$505,"TRUE")+COUNTIFS('أرقام التواصل'!$A$6:$A$505,"client",'أرقام التواصل'!$B$6:$B$505,A85,'أرقام التواصل'!$C$6:$C$505,1))=0),"REVIEW","READY"))))</f>
        <v/>
      </c>
      <c r="BA85" s="16" t="str">
        <f>IF(AZ85="","",IF(OR(AZ85="READY",AZ85="TO_PROPOSED"),"",IF(AZ85="SKIP","Skipped by decision",TRIM(IF(B85="","missing import_action; ","")&amp;IF(A85="","missing migration_customer_key; ","")&amp;IF(AND(A85&lt;&gt;"",COUNTIF($A$6:$A$505,A85)&gt;1),"duplicate migration_customer_key; ","")&amp;IF(AND(NOT(OR(B85="to_candidate",AV85="proposed_name")),E85=""),"missing branch_id; ","")&amp;IF(AND(NOT(OR(B85="to_candidate",AV85="proposed_name")),G85=""),"missing first_name; ","")&amp;IF(AND(NOT(OR(B85="to_candidate",AV85="proposed_name")),I85=""),"missing last_name; ","")&amp;IF(AND(NOT(OR(B85="to_candidate",AV85="proposed_name")),U85=""),"missing final_geo_unit_id; ","")&amp;IF(AV85="","missing final_destination; ","")&amp;IF(AND(NOT(OR(B85="to_candidate",AV85="proposed_name")),(COUNTIFS('أرقام التواصل'!$A$6:$A$505,"client",'أرقام التواصل'!$B$6:$B$505,A85,'أرقام التواصل'!$I$6:$I$505,"TRUE")+COUNTIFS('أرقام التواصل'!$A$6:$A$505,"client",'أرقام التواصل'!$B$6:$B$505,A85,'أرقام التواصل'!$C$6:$C$505,1))=0),"missing primary contact in أرقام التواصل; ","")&amp;IF(OR(B85="to_candidate",AV85="proposed_name"),IF(AW85="","missing proposed_move_reason; ","")&amp;IF(AX85="","missing proposed_name_key; ",""),"")))))</f>
        <v/>
      </c>
    </row>
    <row r="86" spans="1:53">
      <c r="A86" s="11"/>
      <c r="B86" s="12"/>
      <c r="C86" s="13"/>
      <c r="D86" s="12"/>
      <c r="E86" s="12"/>
      <c r="F86" s="12"/>
      <c r="G86" s="12"/>
      <c r="H86" s="12"/>
      <c r="I86" s="12"/>
      <c r="J86" s="12"/>
      <c r="K86" s="12" t="str">
        <f t="shared" si="1"/>
        <v/>
      </c>
      <c r="L86" s="12"/>
      <c r="M86" s="12"/>
      <c r="N86" s="12"/>
      <c r="O86" s="12"/>
      <c r="P86" s="12"/>
      <c r="Q86" s="12"/>
      <c r="R86" s="12"/>
      <c r="S86" s="12"/>
      <c r="T86" s="12"/>
      <c r="U86" s="12" t="str">
        <f t="shared" si="2"/>
        <v/>
      </c>
      <c r="V86" s="12"/>
      <c r="W86" s="14"/>
      <c r="X86" s="14"/>
      <c r="Y86" s="13"/>
      <c r="Z86" s="12"/>
      <c r="AA86" s="12"/>
      <c r="AB86" s="12"/>
      <c r="AC86" s="12"/>
      <c r="AD86" s="15"/>
      <c r="AE86" s="12"/>
      <c r="AF86" s="13"/>
      <c r="AG86" s="12"/>
      <c r="AH86" s="12"/>
      <c r="AI86" s="15"/>
      <c r="AJ86" s="12"/>
      <c r="AK86" s="12"/>
      <c r="AL86" s="12"/>
      <c r="AM86" s="12"/>
      <c r="AN86" s="12"/>
      <c r="AO86" s="12"/>
      <c r="AP86" s="12"/>
      <c r="AQ86" s="15"/>
      <c r="AR86" s="12"/>
      <c r="AS86" s="12"/>
      <c r="AT86" s="12"/>
      <c r="AU86" s="12"/>
      <c r="AV86" s="12"/>
      <c r="AW86" s="12"/>
      <c r="AX86" s="13"/>
      <c r="AY86" s="12"/>
      <c r="AZ86" s="12" t="str">
        <f>IF(AND(A86="",B86="",E86="",G86="",I86="",AV86="",AX86=""),"",IF(OR(B86="skip",AV86="skip"),"SKIP",IF(OR(B86="to_candidate",AV86="proposed_name"),IF(OR(A86="",AW86="",AX86="",COUNTIF($A$6:$A$505,A86)&gt;1),"REVIEW","TO_PROPOSED"),IF(OR(B86="",A86="",E86="",G86="",I86="",U86="",AV86="",COUNTIF($A$6:$A$505,A86)&gt;1,(COUNTIFS('أرقام التواصل'!$A$6:$A$505,"client",'أرقام التواصل'!$B$6:$B$505,A86,'أرقام التواصل'!$I$6:$I$505,"TRUE")+COUNTIFS('أرقام التواصل'!$A$6:$A$505,"client",'أرقام التواصل'!$B$6:$B$505,A86,'أرقام التواصل'!$C$6:$C$505,1))=0),"REVIEW","READY"))))</f>
        <v/>
      </c>
      <c r="BA86" s="16" t="str">
        <f>IF(AZ86="","",IF(OR(AZ86="READY",AZ86="TO_PROPOSED"),"",IF(AZ86="SKIP","Skipped by decision",TRIM(IF(B86="","missing import_action; ","")&amp;IF(A86="","missing migration_customer_key; ","")&amp;IF(AND(A86&lt;&gt;"",COUNTIF($A$6:$A$505,A86)&gt;1),"duplicate migration_customer_key; ","")&amp;IF(AND(NOT(OR(B86="to_candidate",AV86="proposed_name")),E86=""),"missing branch_id; ","")&amp;IF(AND(NOT(OR(B86="to_candidate",AV86="proposed_name")),G86=""),"missing first_name; ","")&amp;IF(AND(NOT(OR(B86="to_candidate",AV86="proposed_name")),I86=""),"missing last_name; ","")&amp;IF(AND(NOT(OR(B86="to_candidate",AV86="proposed_name")),U86=""),"missing final_geo_unit_id; ","")&amp;IF(AV86="","missing final_destination; ","")&amp;IF(AND(NOT(OR(B86="to_candidate",AV86="proposed_name")),(COUNTIFS('أرقام التواصل'!$A$6:$A$505,"client",'أرقام التواصل'!$B$6:$B$505,A86,'أرقام التواصل'!$I$6:$I$505,"TRUE")+COUNTIFS('أرقام التواصل'!$A$6:$A$505,"client",'أرقام التواصل'!$B$6:$B$505,A86,'أرقام التواصل'!$C$6:$C$505,1))=0),"missing primary contact in أرقام التواصل; ","")&amp;IF(OR(B86="to_candidate",AV86="proposed_name"),IF(AW86="","missing proposed_move_reason; ","")&amp;IF(AX86="","missing proposed_name_key; ",""),"")))))</f>
        <v/>
      </c>
    </row>
    <row r="87" spans="1:53">
      <c r="A87" s="11"/>
      <c r="B87" s="12"/>
      <c r="C87" s="13"/>
      <c r="D87" s="12"/>
      <c r="E87" s="12"/>
      <c r="F87" s="12"/>
      <c r="G87" s="12"/>
      <c r="H87" s="12"/>
      <c r="I87" s="12"/>
      <c r="J87" s="12"/>
      <c r="K87" s="12" t="str">
        <f t="shared" si="1"/>
        <v/>
      </c>
      <c r="L87" s="12"/>
      <c r="M87" s="12"/>
      <c r="N87" s="12"/>
      <c r="O87" s="12"/>
      <c r="P87" s="12"/>
      <c r="Q87" s="12"/>
      <c r="R87" s="12"/>
      <c r="S87" s="12"/>
      <c r="T87" s="12"/>
      <c r="U87" s="12" t="str">
        <f t="shared" si="2"/>
        <v/>
      </c>
      <c r="V87" s="12"/>
      <c r="W87" s="14"/>
      <c r="X87" s="14"/>
      <c r="Y87" s="13"/>
      <c r="Z87" s="12"/>
      <c r="AA87" s="12"/>
      <c r="AB87" s="12"/>
      <c r="AC87" s="12"/>
      <c r="AD87" s="15"/>
      <c r="AE87" s="12"/>
      <c r="AF87" s="13"/>
      <c r="AG87" s="12"/>
      <c r="AH87" s="12"/>
      <c r="AI87" s="15"/>
      <c r="AJ87" s="12"/>
      <c r="AK87" s="12"/>
      <c r="AL87" s="12"/>
      <c r="AM87" s="12"/>
      <c r="AN87" s="12"/>
      <c r="AO87" s="12"/>
      <c r="AP87" s="12"/>
      <c r="AQ87" s="15"/>
      <c r="AR87" s="12"/>
      <c r="AS87" s="12"/>
      <c r="AT87" s="12"/>
      <c r="AU87" s="12"/>
      <c r="AV87" s="12"/>
      <c r="AW87" s="12"/>
      <c r="AX87" s="13"/>
      <c r="AY87" s="12"/>
      <c r="AZ87" s="12" t="str">
        <f>IF(AND(A87="",B87="",E87="",G87="",I87="",AV87="",AX87=""),"",IF(OR(B87="skip",AV87="skip"),"SKIP",IF(OR(B87="to_candidate",AV87="proposed_name"),IF(OR(A87="",AW87="",AX87="",COUNTIF($A$6:$A$505,A87)&gt;1),"REVIEW","TO_PROPOSED"),IF(OR(B87="",A87="",E87="",G87="",I87="",U87="",AV87="",COUNTIF($A$6:$A$505,A87)&gt;1,(COUNTIFS('أرقام التواصل'!$A$6:$A$505,"client",'أرقام التواصل'!$B$6:$B$505,A87,'أرقام التواصل'!$I$6:$I$505,"TRUE")+COUNTIFS('أرقام التواصل'!$A$6:$A$505,"client",'أرقام التواصل'!$B$6:$B$505,A87,'أرقام التواصل'!$C$6:$C$505,1))=0),"REVIEW","READY"))))</f>
        <v/>
      </c>
      <c r="BA87" s="16" t="str">
        <f>IF(AZ87="","",IF(OR(AZ87="READY",AZ87="TO_PROPOSED"),"",IF(AZ87="SKIP","Skipped by decision",TRIM(IF(B87="","missing import_action; ","")&amp;IF(A87="","missing migration_customer_key; ","")&amp;IF(AND(A87&lt;&gt;"",COUNTIF($A$6:$A$505,A87)&gt;1),"duplicate migration_customer_key; ","")&amp;IF(AND(NOT(OR(B87="to_candidate",AV87="proposed_name")),E87=""),"missing branch_id; ","")&amp;IF(AND(NOT(OR(B87="to_candidate",AV87="proposed_name")),G87=""),"missing first_name; ","")&amp;IF(AND(NOT(OR(B87="to_candidate",AV87="proposed_name")),I87=""),"missing last_name; ","")&amp;IF(AND(NOT(OR(B87="to_candidate",AV87="proposed_name")),U87=""),"missing final_geo_unit_id; ","")&amp;IF(AV87="","missing final_destination; ","")&amp;IF(AND(NOT(OR(B87="to_candidate",AV87="proposed_name")),(COUNTIFS('أرقام التواصل'!$A$6:$A$505,"client",'أرقام التواصل'!$B$6:$B$505,A87,'أرقام التواصل'!$I$6:$I$505,"TRUE")+COUNTIFS('أرقام التواصل'!$A$6:$A$505,"client",'أرقام التواصل'!$B$6:$B$505,A87,'أرقام التواصل'!$C$6:$C$505,1))=0),"missing primary contact in أرقام التواصل; ","")&amp;IF(OR(B87="to_candidate",AV87="proposed_name"),IF(AW87="","missing proposed_move_reason; ","")&amp;IF(AX87="","missing proposed_name_key; ",""),"")))))</f>
        <v/>
      </c>
    </row>
    <row r="88" spans="1:53">
      <c r="A88" s="11"/>
      <c r="B88" s="12"/>
      <c r="C88" s="13"/>
      <c r="D88" s="12"/>
      <c r="E88" s="12"/>
      <c r="F88" s="12"/>
      <c r="G88" s="12"/>
      <c r="H88" s="12"/>
      <c r="I88" s="12"/>
      <c r="J88" s="12"/>
      <c r="K88" s="12" t="str">
        <f t="shared" si="1"/>
        <v/>
      </c>
      <c r="L88" s="12"/>
      <c r="M88" s="12"/>
      <c r="N88" s="12"/>
      <c r="O88" s="12"/>
      <c r="P88" s="12"/>
      <c r="Q88" s="12"/>
      <c r="R88" s="12"/>
      <c r="S88" s="12"/>
      <c r="T88" s="12"/>
      <c r="U88" s="12" t="str">
        <f t="shared" si="2"/>
        <v/>
      </c>
      <c r="V88" s="12"/>
      <c r="W88" s="14"/>
      <c r="X88" s="14"/>
      <c r="Y88" s="13"/>
      <c r="Z88" s="12"/>
      <c r="AA88" s="12"/>
      <c r="AB88" s="12"/>
      <c r="AC88" s="12"/>
      <c r="AD88" s="15"/>
      <c r="AE88" s="12"/>
      <c r="AF88" s="13"/>
      <c r="AG88" s="12"/>
      <c r="AH88" s="12"/>
      <c r="AI88" s="15"/>
      <c r="AJ88" s="12"/>
      <c r="AK88" s="12"/>
      <c r="AL88" s="12"/>
      <c r="AM88" s="12"/>
      <c r="AN88" s="12"/>
      <c r="AO88" s="12"/>
      <c r="AP88" s="12"/>
      <c r="AQ88" s="15"/>
      <c r="AR88" s="12"/>
      <c r="AS88" s="12"/>
      <c r="AT88" s="12"/>
      <c r="AU88" s="12"/>
      <c r="AV88" s="12"/>
      <c r="AW88" s="12"/>
      <c r="AX88" s="13"/>
      <c r="AY88" s="12"/>
      <c r="AZ88" s="12" t="str">
        <f>IF(AND(A88="",B88="",E88="",G88="",I88="",AV88="",AX88=""),"",IF(OR(B88="skip",AV88="skip"),"SKIP",IF(OR(B88="to_candidate",AV88="proposed_name"),IF(OR(A88="",AW88="",AX88="",COUNTIF($A$6:$A$505,A88)&gt;1),"REVIEW","TO_PROPOSED"),IF(OR(B88="",A88="",E88="",G88="",I88="",U88="",AV88="",COUNTIF($A$6:$A$505,A88)&gt;1,(COUNTIFS('أرقام التواصل'!$A$6:$A$505,"client",'أرقام التواصل'!$B$6:$B$505,A88,'أرقام التواصل'!$I$6:$I$505,"TRUE")+COUNTIFS('أرقام التواصل'!$A$6:$A$505,"client",'أرقام التواصل'!$B$6:$B$505,A88,'أرقام التواصل'!$C$6:$C$505,1))=0),"REVIEW","READY"))))</f>
        <v/>
      </c>
      <c r="BA88" s="16" t="str">
        <f>IF(AZ88="","",IF(OR(AZ88="READY",AZ88="TO_PROPOSED"),"",IF(AZ88="SKIP","Skipped by decision",TRIM(IF(B88="","missing import_action; ","")&amp;IF(A88="","missing migration_customer_key; ","")&amp;IF(AND(A88&lt;&gt;"",COUNTIF($A$6:$A$505,A88)&gt;1),"duplicate migration_customer_key; ","")&amp;IF(AND(NOT(OR(B88="to_candidate",AV88="proposed_name")),E88=""),"missing branch_id; ","")&amp;IF(AND(NOT(OR(B88="to_candidate",AV88="proposed_name")),G88=""),"missing first_name; ","")&amp;IF(AND(NOT(OR(B88="to_candidate",AV88="proposed_name")),I88=""),"missing last_name; ","")&amp;IF(AND(NOT(OR(B88="to_candidate",AV88="proposed_name")),U88=""),"missing final_geo_unit_id; ","")&amp;IF(AV88="","missing final_destination; ","")&amp;IF(AND(NOT(OR(B88="to_candidate",AV88="proposed_name")),(COUNTIFS('أرقام التواصل'!$A$6:$A$505,"client",'أرقام التواصل'!$B$6:$B$505,A88,'أرقام التواصل'!$I$6:$I$505,"TRUE")+COUNTIFS('أرقام التواصل'!$A$6:$A$505,"client",'أرقام التواصل'!$B$6:$B$505,A88,'أرقام التواصل'!$C$6:$C$505,1))=0),"missing primary contact in أرقام التواصل; ","")&amp;IF(OR(B88="to_candidate",AV88="proposed_name"),IF(AW88="","missing proposed_move_reason; ","")&amp;IF(AX88="","missing proposed_name_key; ",""),"")))))</f>
        <v/>
      </c>
    </row>
    <row r="89" spans="1:53">
      <c r="A89" s="11"/>
      <c r="B89" s="12"/>
      <c r="C89" s="13"/>
      <c r="D89" s="12"/>
      <c r="E89" s="12"/>
      <c r="F89" s="12"/>
      <c r="G89" s="12"/>
      <c r="H89" s="12"/>
      <c r="I89" s="12"/>
      <c r="J89" s="12"/>
      <c r="K89" s="12" t="str">
        <f t="shared" si="1"/>
        <v/>
      </c>
      <c r="L89" s="12"/>
      <c r="M89" s="12"/>
      <c r="N89" s="12"/>
      <c r="O89" s="12"/>
      <c r="P89" s="12"/>
      <c r="Q89" s="12"/>
      <c r="R89" s="12"/>
      <c r="S89" s="12"/>
      <c r="T89" s="12"/>
      <c r="U89" s="12" t="str">
        <f t="shared" si="2"/>
        <v/>
      </c>
      <c r="V89" s="12"/>
      <c r="W89" s="14"/>
      <c r="X89" s="14"/>
      <c r="Y89" s="13"/>
      <c r="Z89" s="12"/>
      <c r="AA89" s="12"/>
      <c r="AB89" s="12"/>
      <c r="AC89" s="12"/>
      <c r="AD89" s="15"/>
      <c r="AE89" s="12"/>
      <c r="AF89" s="13"/>
      <c r="AG89" s="12"/>
      <c r="AH89" s="12"/>
      <c r="AI89" s="15"/>
      <c r="AJ89" s="12"/>
      <c r="AK89" s="12"/>
      <c r="AL89" s="12"/>
      <c r="AM89" s="12"/>
      <c r="AN89" s="12"/>
      <c r="AO89" s="12"/>
      <c r="AP89" s="12"/>
      <c r="AQ89" s="15"/>
      <c r="AR89" s="12"/>
      <c r="AS89" s="12"/>
      <c r="AT89" s="12"/>
      <c r="AU89" s="12"/>
      <c r="AV89" s="12"/>
      <c r="AW89" s="12"/>
      <c r="AX89" s="13"/>
      <c r="AY89" s="12"/>
      <c r="AZ89" s="12" t="str">
        <f>IF(AND(A89="",B89="",E89="",G89="",I89="",AV89="",AX89=""),"",IF(OR(B89="skip",AV89="skip"),"SKIP",IF(OR(B89="to_candidate",AV89="proposed_name"),IF(OR(A89="",AW89="",AX89="",COUNTIF($A$6:$A$505,A89)&gt;1),"REVIEW","TO_PROPOSED"),IF(OR(B89="",A89="",E89="",G89="",I89="",U89="",AV89="",COUNTIF($A$6:$A$505,A89)&gt;1,(COUNTIFS('أرقام التواصل'!$A$6:$A$505,"client",'أرقام التواصل'!$B$6:$B$505,A89,'أرقام التواصل'!$I$6:$I$505,"TRUE")+COUNTIFS('أرقام التواصل'!$A$6:$A$505,"client",'أرقام التواصل'!$B$6:$B$505,A89,'أرقام التواصل'!$C$6:$C$505,1))=0),"REVIEW","READY"))))</f>
        <v/>
      </c>
      <c r="BA89" s="16" t="str">
        <f>IF(AZ89="","",IF(OR(AZ89="READY",AZ89="TO_PROPOSED"),"",IF(AZ89="SKIP","Skipped by decision",TRIM(IF(B89="","missing import_action; ","")&amp;IF(A89="","missing migration_customer_key; ","")&amp;IF(AND(A89&lt;&gt;"",COUNTIF($A$6:$A$505,A89)&gt;1),"duplicate migration_customer_key; ","")&amp;IF(AND(NOT(OR(B89="to_candidate",AV89="proposed_name")),E89=""),"missing branch_id; ","")&amp;IF(AND(NOT(OR(B89="to_candidate",AV89="proposed_name")),G89=""),"missing first_name; ","")&amp;IF(AND(NOT(OR(B89="to_candidate",AV89="proposed_name")),I89=""),"missing last_name; ","")&amp;IF(AND(NOT(OR(B89="to_candidate",AV89="proposed_name")),U89=""),"missing final_geo_unit_id; ","")&amp;IF(AV89="","missing final_destination; ","")&amp;IF(AND(NOT(OR(B89="to_candidate",AV89="proposed_name")),(COUNTIFS('أرقام التواصل'!$A$6:$A$505,"client",'أرقام التواصل'!$B$6:$B$505,A89,'أرقام التواصل'!$I$6:$I$505,"TRUE")+COUNTIFS('أرقام التواصل'!$A$6:$A$505,"client",'أرقام التواصل'!$B$6:$B$505,A89,'أرقام التواصل'!$C$6:$C$505,1))=0),"missing primary contact in أرقام التواصل; ","")&amp;IF(OR(B89="to_candidate",AV89="proposed_name"),IF(AW89="","missing proposed_move_reason; ","")&amp;IF(AX89="","missing proposed_name_key; ",""),"")))))</f>
        <v/>
      </c>
    </row>
    <row r="90" spans="1:53">
      <c r="A90" s="11"/>
      <c r="B90" s="12"/>
      <c r="C90" s="13"/>
      <c r="D90" s="12"/>
      <c r="E90" s="12"/>
      <c r="F90" s="12"/>
      <c r="G90" s="12"/>
      <c r="H90" s="12"/>
      <c r="I90" s="12"/>
      <c r="J90" s="12"/>
      <c r="K90" s="12" t="str">
        <f t="shared" si="1"/>
        <v/>
      </c>
      <c r="L90" s="12"/>
      <c r="M90" s="12"/>
      <c r="N90" s="12"/>
      <c r="O90" s="12"/>
      <c r="P90" s="12"/>
      <c r="Q90" s="12"/>
      <c r="R90" s="12"/>
      <c r="S90" s="12"/>
      <c r="T90" s="12"/>
      <c r="U90" s="12" t="str">
        <f t="shared" si="2"/>
        <v/>
      </c>
      <c r="V90" s="12"/>
      <c r="W90" s="14"/>
      <c r="X90" s="14"/>
      <c r="Y90" s="13"/>
      <c r="Z90" s="12"/>
      <c r="AA90" s="12"/>
      <c r="AB90" s="12"/>
      <c r="AC90" s="12"/>
      <c r="AD90" s="15"/>
      <c r="AE90" s="12"/>
      <c r="AF90" s="13"/>
      <c r="AG90" s="12"/>
      <c r="AH90" s="12"/>
      <c r="AI90" s="15"/>
      <c r="AJ90" s="12"/>
      <c r="AK90" s="12"/>
      <c r="AL90" s="12"/>
      <c r="AM90" s="12"/>
      <c r="AN90" s="12"/>
      <c r="AO90" s="12"/>
      <c r="AP90" s="12"/>
      <c r="AQ90" s="15"/>
      <c r="AR90" s="12"/>
      <c r="AS90" s="12"/>
      <c r="AT90" s="12"/>
      <c r="AU90" s="12"/>
      <c r="AV90" s="12"/>
      <c r="AW90" s="12"/>
      <c r="AX90" s="13"/>
      <c r="AY90" s="12"/>
      <c r="AZ90" s="12" t="str">
        <f>IF(AND(A90="",B90="",E90="",G90="",I90="",AV90="",AX90=""),"",IF(OR(B90="skip",AV90="skip"),"SKIP",IF(OR(B90="to_candidate",AV90="proposed_name"),IF(OR(A90="",AW90="",AX90="",COUNTIF($A$6:$A$505,A90)&gt;1),"REVIEW","TO_PROPOSED"),IF(OR(B90="",A90="",E90="",G90="",I90="",U90="",AV90="",COUNTIF($A$6:$A$505,A90)&gt;1,(COUNTIFS('أرقام التواصل'!$A$6:$A$505,"client",'أرقام التواصل'!$B$6:$B$505,A90,'أرقام التواصل'!$I$6:$I$505,"TRUE")+COUNTIFS('أرقام التواصل'!$A$6:$A$505,"client",'أرقام التواصل'!$B$6:$B$505,A90,'أرقام التواصل'!$C$6:$C$505,1))=0),"REVIEW","READY"))))</f>
        <v/>
      </c>
      <c r="BA90" s="16" t="str">
        <f>IF(AZ90="","",IF(OR(AZ90="READY",AZ90="TO_PROPOSED"),"",IF(AZ90="SKIP","Skipped by decision",TRIM(IF(B90="","missing import_action; ","")&amp;IF(A90="","missing migration_customer_key; ","")&amp;IF(AND(A90&lt;&gt;"",COUNTIF($A$6:$A$505,A90)&gt;1),"duplicate migration_customer_key; ","")&amp;IF(AND(NOT(OR(B90="to_candidate",AV90="proposed_name")),E90=""),"missing branch_id; ","")&amp;IF(AND(NOT(OR(B90="to_candidate",AV90="proposed_name")),G90=""),"missing first_name; ","")&amp;IF(AND(NOT(OR(B90="to_candidate",AV90="proposed_name")),I90=""),"missing last_name; ","")&amp;IF(AND(NOT(OR(B90="to_candidate",AV90="proposed_name")),U90=""),"missing final_geo_unit_id; ","")&amp;IF(AV90="","missing final_destination; ","")&amp;IF(AND(NOT(OR(B90="to_candidate",AV90="proposed_name")),(COUNTIFS('أرقام التواصل'!$A$6:$A$505,"client",'أرقام التواصل'!$B$6:$B$505,A90,'أرقام التواصل'!$I$6:$I$505,"TRUE")+COUNTIFS('أرقام التواصل'!$A$6:$A$505,"client",'أرقام التواصل'!$B$6:$B$505,A90,'أرقام التواصل'!$C$6:$C$505,1))=0),"missing primary contact in أرقام التواصل; ","")&amp;IF(OR(B90="to_candidate",AV90="proposed_name"),IF(AW90="","missing proposed_move_reason; ","")&amp;IF(AX90="","missing proposed_name_key; ",""),"")))))</f>
        <v/>
      </c>
    </row>
    <row r="91" spans="1:53">
      <c r="A91" s="11"/>
      <c r="B91" s="12"/>
      <c r="C91" s="13"/>
      <c r="D91" s="12"/>
      <c r="E91" s="12"/>
      <c r="F91" s="12"/>
      <c r="G91" s="12"/>
      <c r="H91" s="12"/>
      <c r="I91" s="12"/>
      <c r="J91" s="12"/>
      <c r="K91" s="12" t="str">
        <f t="shared" si="1"/>
        <v/>
      </c>
      <c r="L91" s="12"/>
      <c r="M91" s="12"/>
      <c r="N91" s="12"/>
      <c r="O91" s="12"/>
      <c r="P91" s="12"/>
      <c r="Q91" s="12"/>
      <c r="R91" s="12"/>
      <c r="S91" s="12"/>
      <c r="T91" s="12"/>
      <c r="U91" s="12" t="str">
        <f t="shared" si="2"/>
        <v/>
      </c>
      <c r="V91" s="12"/>
      <c r="W91" s="14"/>
      <c r="X91" s="14"/>
      <c r="Y91" s="13"/>
      <c r="Z91" s="12"/>
      <c r="AA91" s="12"/>
      <c r="AB91" s="12"/>
      <c r="AC91" s="12"/>
      <c r="AD91" s="15"/>
      <c r="AE91" s="12"/>
      <c r="AF91" s="13"/>
      <c r="AG91" s="12"/>
      <c r="AH91" s="12"/>
      <c r="AI91" s="15"/>
      <c r="AJ91" s="12"/>
      <c r="AK91" s="12"/>
      <c r="AL91" s="12"/>
      <c r="AM91" s="12"/>
      <c r="AN91" s="12"/>
      <c r="AO91" s="12"/>
      <c r="AP91" s="12"/>
      <c r="AQ91" s="15"/>
      <c r="AR91" s="12"/>
      <c r="AS91" s="12"/>
      <c r="AT91" s="12"/>
      <c r="AU91" s="12"/>
      <c r="AV91" s="12"/>
      <c r="AW91" s="12"/>
      <c r="AX91" s="13"/>
      <c r="AY91" s="12"/>
      <c r="AZ91" s="12" t="str">
        <f>IF(AND(A91="",B91="",E91="",G91="",I91="",AV91="",AX91=""),"",IF(OR(B91="skip",AV91="skip"),"SKIP",IF(OR(B91="to_candidate",AV91="proposed_name"),IF(OR(A91="",AW91="",AX91="",COUNTIF($A$6:$A$505,A91)&gt;1),"REVIEW","TO_PROPOSED"),IF(OR(B91="",A91="",E91="",G91="",I91="",U91="",AV91="",COUNTIF($A$6:$A$505,A91)&gt;1,(COUNTIFS('أرقام التواصل'!$A$6:$A$505,"client",'أرقام التواصل'!$B$6:$B$505,A91,'أرقام التواصل'!$I$6:$I$505,"TRUE")+COUNTIFS('أرقام التواصل'!$A$6:$A$505,"client",'أرقام التواصل'!$B$6:$B$505,A91,'أرقام التواصل'!$C$6:$C$505,1))=0),"REVIEW","READY"))))</f>
        <v/>
      </c>
      <c r="BA91" s="16" t="str">
        <f>IF(AZ91="","",IF(OR(AZ91="READY",AZ91="TO_PROPOSED"),"",IF(AZ91="SKIP","Skipped by decision",TRIM(IF(B91="","missing import_action; ","")&amp;IF(A91="","missing migration_customer_key; ","")&amp;IF(AND(A91&lt;&gt;"",COUNTIF($A$6:$A$505,A91)&gt;1),"duplicate migration_customer_key; ","")&amp;IF(AND(NOT(OR(B91="to_candidate",AV91="proposed_name")),E91=""),"missing branch_id; ","")&amp;IF(AND(NOT(OR(B91="to_candidate",AV91="proposed_name")),G91=""),"missing first_name; ","")&amp;IF(AND(NOT(OR(B91="to_candidate",AV91="proposed_name")),I91=""),"missing last_name; ","")&amp;IF(AND(NOT(OR(B91="to_candidate",AV91="proposed_name")),U91=""),"missing final_geo_unit_id; ","")&amp;IF(AV91="","missing final_destination; ","")&amp;IF(AND(NOT(OR(B91="to_candidate",AV91="proposed_name")),(COUNTIFS('أرقام التواصل'!$A$6:$A$505,"client",'أرقام التواصل'!$B$6:$B$505,A91,'أرقام التواصل'!$I$6:$I$505,"TRUE")+COUNTIFS('أرقام التواصل'!$A$6:$A$505,"client",'أرقام التواصل'!$B$6:$B$505,A91,'أرقام التواصل'!$C$6:$C$505,1))=0),"missing primary contact in أرقام التواصل; ","")&amp;IF(OR(B91="to_candidate",AV91="proposed_name"),IF(AW91="","missing proposed_move_reason; ","")&amp;IF(AX91="","missing proposed_name_key; ",""),"")))))</f>
        <v/>
      </c>
    </row>
    <row r="92" spans="1:53">
      <c r="A92" s="11"/>
      <c r="B92" s="12"/>
      <c r="C92" s="13"/>
      <c r="D92" s="12"/>
      <c r="E92" s="12"/>
      <c r="F92" s="12"/>
      <c r="G92" s="12"/>
      <c r="H92" s="12"/>
      <c r="I92" s="12"/>
      <c r="J92" s="12"/>
      <c r="K92" s="12" t="str">
        <f t="shared" si="1"/>
        <v/>
      </c>
      <c r="L92" s="12"/>
      <c r="M92" s="12"/>
      <c r="N92" s="12"/>
      <c r="O92" s="12"/>
      <c r="P92" s="12"/>
      <c r="Q92" s="12"/>
      <c r="R92" s="12"/>
      <c r="S92" s="12"/>
      <c r="T92" s="12"/>
      <c r="U92" s="12" t="str">
        <f t="shared" si="2"/>
        <v/>
      </c>
      <c r="V92" s="12"/>
      <c r="W92" s="14"/>
      <c r="X92" s="14"/>
      <c r="Y92" s="13"/>
      <c r="Z92" s="12"/>
      <c r="AA92" s="12"/>
      <c r="AB92" s="12"/>
      <c r="AC92" s="12"/>
      <c r="AD92" s="15"/>
      <c r="AE92" s="12"/>
      <c r="AF92" s="13"/>
      <c r="AG92" s="12"/>
      <c r="AH92" s="12"/>
      <c r="AI92" s="15"/>
      <c r="AJ92" s="12"/>
      <c r="AK92" s="12"/>
      <c r="AL92" s="12"/>
      <c r="AM92" s="12"/>
      <c r="AN92" s="12"/>
      <c r="AO92" s="12"/>
      <c r="AP92" s="12"/>
      <c r="AQ92" s="15"/>
      <c r="AR92" s="12"/>
      <c r="AS92" s="12"/>
      <c r="AT92" s="12"/>
      <c r="AU92" s="12"/>
      <c r="AV92" s="12"/>
      <c r="AW92" s="12"/>
      <c r="AX92" s="13"/>
      <c r="AY92" s="12"/>
      <c r="AZ92" s="12" t="str">
        <f>IF(AND(A92="",B92="",E92="",G92="",I92="",AV92="",AX92=""),"",IF(OR(B92="skip",AV92="skip"),"SKIP",IF(OR(B92="to_candidate",AV92="proposed_name"),IF(OR(A92="",AW92="",AX92="",COUNTIF($A$6:$A$505,A92)&gt;1),"REVIEW","TO_PROPOSED"),IF(OR(B92="",A92="",E92="",G92="",I92="",U92="",AV92="",COUNTIF($A$6:$A$505,A92)&gt;1,(COUNTIFS('أرقام التواصل'!$A$6:$A$505,"client",'أرقام التواصل'!$B$6:$B$505,A92,'أرقام التواصل'!$I$6:$I$505,"TRUE")+COUNTIFS('أرقام التواصل'!$A$6:$A$505,"client",'أرقام التواصل'!$B$6:$B$505,A92,'أرقام التواصل'!$C$6:$C$505,1))=0),"REVIEW","READY"))))</f>
        <v/>
      </c>
      <c r="BA92" s="16" t="str">
        <f>IF(AZ92="","",IF(OR(AZ92="READY",AZ92="TO_PROPOSED"),"",IF(AZ92="SKIP","Skipped by decision",TRIM(IF(B92="","missing import_action; ","")&amp;IF(A92="","missing migration_customer_key; ","")&amp;IF(AND(A92&lt;&gt;"",COUNTIF($A$6:$A$505,A92)&gt;1),"duplicate migration_customer_key; ","")&amp;IF(AND(NOT(OR(B92="to_candidate",AV92="proposed_name")),E92=""),"missing branch_id; ","")&amp;IF(AND(NOT(OR(B92="to_candidate",AV92="proposed_name")),G92=""),"missing first_name; ","")&amp;IF(AND(NOT(OR(B92="to_candidate",AV92="proposed_name")),I92=""),"missing last_name; ","")&amp;IF(AND(NOT(OR(B92="to_candidate",AV92="proposed_name")),U92=""),"missing final_geo_unit_id; ","")&amp;IF(AV92="","missing final_destination; ","")&amp;IF(AND(NOT(OR(B92="to_candidate",AV92="proposed_name")),(COUNTIFS('أرقام التواصل'!$A$6:$A$505,"client",'أرقام التواصل'!$B$6:$B$505,A92,'أرقام التواصل'!$I$6:$I$505,"TRUE")+COUNTIFS('أرقام التواصل'!$A$6:$A$505,"client",'أرقام التواصل'!$B$6:$B$505,A92,'أرقام التواصل'!$C$6:$C$505,1))=0),"missing primary contact in أرقام التواصل; ","")&amp;IF(OR(B92="to_candidate",AV92="proposed_name"),IF(AW92="","missing proposed_move_reason; ","")&amp;IF(AX92="","missing proposed_name_key; ",""),"")))))</f>
        <v/>
      </c>
    </row>
    <row r="93" spans="1:53">
      <c r="A93" s="11"/>
      <c r="B93" s="12"/>
      <c r="C93" s="13"/>
      <c r="D93" s="12"/>
      <c r="E93" s="12"/>
      <c r="F93" s="12"/>
      <c r="G93" s="12"/>
      <c r="H93" s="12"/>
      <c r="I93" s="12"/>
      <c r="J93" s="12"/>
      <c r="K93" s="12" t="str">
        <f t="shared" si="1"/>
        <v/>
      </c>
      <c r="L93" s="12"/>
      <c r="M93" s="12"/>
      <c r="N93" s="12"/>
      <c r="O93" s="12"/>
      <c r="P93" s="12"/>
      <c r="Q93" s="12"/>
      <c r="R93" s="12"/>
      <c r="S93" s="12"/>
      <c r="T93" s="12"/>
      <c r="U93" s="12" t="str">
        <f t="shared" si="2"/>
        <v/>
      </c>
      <c r="V93" s="12"/>
      <c r="W93" s="14"/>
      <c r="X93" s="14"/>
      <c r="Y93" s="13"/>
      <c r="Z93" s="12"/>
      <c r="AA93" s="12"/>
      <c r="AB93" s="12"/>
      <c r="AC93" s="12"/>
      <c r="AD93" s="15"/>
      <c r="AE93" s="12"/>
      <c r="AF93" s="13"/>
      <c r="AG93" s="12"/>
      <c r="AH93" s="12"/>
      <c r="AI93" s="15"/>
      <c r="AJ93" s="12"/>
      <c r="AK93" s="12"/>
      <c r="AL93" s="12"/>
      <c r="AM93" s="12"/>
      <c r="AN93" s="12"/>
      <c r="AO93" s="12"/>
      <c r="AP93" s="12"/>
      <c r="AQ93" s="15"/>
      <c r="AR93" s="12"/>
      <c r="AS93" s="12"/>
      <c r="AT93" s="12"/>
      <c r="AU93" s="12"/>
      <c r="AV93" s="12"/>
      <c r="AW93" s="12"/>
      <c r="AX93" s="13"/>
      <c r="AY93" s="12"/>
      <c r="AZ93" s="12" t="str">
        <f>IF(AND(A93="",B93="",E93="",G93="",I93="",AV93="",AX93=""),"",IF(OR(B93="skip",AV93="skip"),"SKIP",IF(OR(B93="to_candidate",AV93="proposed_name"),IF(OR(A93="",AW93="",AX93="",COUNTIF($A$6:$A$505,A93)&gt;1),"REVIEW","TO_PROPOSED"),IF(OR(B93="",A93="",E93="",G93="",I93="",U93="",AV93="",COUNTIF($A$6:$A$505,A93)&gt;1,(COUNTIFS('أرقام التواصل'!$A$6:$A$505,"client",'أرقام التواصل'!$B$6:$B$505,A93,'أرقام التواصل'!$I$6:$I$505,"TRUE")+COUNTIFS('أرقام التواصل'!$A$6:$A$505,"client",'أرقام التواصل'!$B$6:$B$505,A93,'أرقام التواصل'!$C$6:$C$505,1))=0),"REVIEW","READY"))))</f>
        <v/>
      </c>
      <c r="BA93" s="16" t="str">
        <f>IF(AZ93="","",IF(OR(AZ93="READY",AZ93="TO_PROPOSED"),"",IF(AZ93="SKIP","Skipped by decision",TRIM(IF(B93="","missing import_action; ","")&amp;IF(A93="","missing migration_customer_key; ","")&amp;IF(AND(A93&lt;&gt;"",COUNTIF($A$6:$A$505,A93)&gt;1),"duplicate migration_customer_key; ","")&amp;IF(AND(NOT(OR(B93="to_candidate",AV93="proposed_name")),E93=""),"missing branch_id; ","")&amp;IF(AND(NOT(OR(B93="to_candidate",AV93="proposed_name")),G93=""),"missing first_name; ","")&amp;IF(AND(NOT(OR(B93="to_candidate",AV93="proposed_name")),I93=""),"missing last_name; ","")&amp;IF(AND(NOT(OR(B93="to_candidate",AV93="proposed_name")),U93=""),"missing final_geo_unit_id; ","")&amp;IF(AV93="","missing final_destination; ","")&amp;IF(AND(NOT(OR(B93="to_candidate",AV93="proposed_name")),(COUNTIFS('أرقام التواصل'!$A$6:$A$505,"client",'أرقام التواصل'!$B$6:$B$505,A93,'أرقام التواصل'!$I$6:$I$505,"TRUE")+COUNTIFS('أرقام التواصل'!$A$6:$A$505,"client",'أرقام التواصل'!$B$6:$B$505,A93,'أرقام التواصل'!$C$6:$C$505,1))=0),"missing primary contact in أرقام التواصل; ","")&amp;IF(OR(B93="to_candidate",AV93="proposed_name"),IF(AW93="","missing proposed_move_reason; ","")&amp;IF(AX93="","missing proposed_name_key; ",""),"")))))</f>
        <v/>
      </c>
    </row>
    <row r="94" spans="1:53">
      <c r="A94" s="11"/>
      <c r="B94" s="12"/>
      <c r="C94" s="13"/>
      <c r="D94" s="12"/>
      <c r="E94" s="12"/>
      <c r="F94" s="12"/>
      <c r="G94" s="12"/>
      <c r="H94" s="12"/>
      <c r="I94" s="12"/>
      <c r="J94" s="12"/>
      <c r="K94" s="12" t="str">
        <f t="shared" si="1"/>
        <v/>
      </c>
      <c r="L94" s="12"/>
      <c r="M94" s="12"/>
      <c r="N94" s="12"/>
      <c r="O94" s="12"/>
      <c r="P94" s="12"/>
      <c r="Q94" s="12"/>
      <c r="R94" s="12"/>
      <c r="S94" s="12"/>
      <c r="T94" s="12"/>
      <c r="U94" s="12" t="str">
        <f t="shared" si="2"/>
        <v/>
      </c>
      <c r="V94" s="12"/>
      <c r="W94" s="14"/>
      <c r="X94" s="14"/>
      <c r="Y94" s="13"/>
      <c r="Z94" s="12"/>
      <c r="AA94" s="12"/>
      <c r="AB94" s="12"/>
      <c r="AC94" s="12"/>
      <c r="AD94" s="15"/>
      <c r="AE94" s="12"/>
      <c r="AF94" s="13"/>
      <c r="AG94" s="12"/>
      <c r="AH94" s="12"/>
      <c r="AI94" s="15"/>
      <c r="AJ94" s="12"/>
      <c r="AK94" s="12"/>
      <c r="AL94" s="12"/>
      <c r="AM94" s="12"/>
      <c r="AN94" s="12"/>
      <c r="AO94" s="12"/>
      <c r="AP94" s="12"/>
      <c r="AQ94" s="15"/>
      <c r="AR94" s="12"/>
      <c r="AS94" s="12"/>
      <c r="AT94" s="12"/>
      <c r="AU94" s="12"/>
      <c r="AV94" s="12"/>
      <c r="AW94" s="12"/>
      <c r="AX94" s="13"/>
      <c r="AY94" s="12"/>
      <c r="AZ94" s="12" t="str">
        <f>IF(AND(A94="",B94="",E94="",G94="",I94="",AV94="",AX94=""),"",IF(OR(B94="skip",AV94="skip"),"SKIP",IF(OR(B94="to_candidate",AV94="proposed_name"),IF(OR(A94="",AW94="",AX94="",COUNTIF($A$6:$A$505,A94)&gt;1),"REVIEW","TO_PROPOSED"),IF(OR(B94="",A94="",E94="",G94="",I94="",U94="",AV94="",COUNTIF($A$6:$A$505,A94)&gt;1,(COUNTIFS('أرقام التواصل'!$A$6:$A$505,"client",'أرقام التواصل'!$B$6:$B$505,A94,'أرقام التواصل'!$I$6:$I$505,"TRUE")+COUNTIFS('أرقام التواصل'!$A$6:$A$505,"client",'أرقام التواصل'!$B$6:$B$505,A94,'أرقام التواصل'!$C$6:$C$505,1))=0),"REVIEW","READY"))))</f>
        <v/>
      </c>
      <c r="BA94" s="16" t="str">
        <f>IF(AZ94="","",IF(OR(AZ94="READY",AZ94="TO_PROPOSED"),"",IF(AZ94="SKIP","Skipped by decision",TRIM(IF(B94="","missing import_action; ","")&amp;IF(A94="","missing migration_customer_key; ","")&amp;IF(AND(A94&lt;&gt;"",COUNTIF($A$6:$A$505,A94)&gt;1),"duplicate migration_customer_key; ","")&amp;IF(AND(NOT(OR(B94="to_candidate",AV94="proposed_name")),E94=""),"missing branch_id; ","")&amp;IF(AND(NOT(OR(B94="to_candidate",AV94="proposed_name")),G94=""),"missing first_name; ","")&amp;IF(AND(NOT(OR(B94="to_candidate",AV94="proposed_name")),I94=""),"missing last_name; ","")&amp;IF(AND(NOT(OR(B94="to_candidate",AV94="proposed_name")),U94=""),"missing final_geo_unit_id; ","")&amp;IF(AV94="","missing final_destination; ","")&amp;IF(AND(NOT(OR(B94="to_candidate",AV94="proposed_name")),(COUNTIFS('أرقام التواصل'!$A$6:$A$505,"client",'أرقام التواصل'!$B$6:$B$505,A94,'أرقام التواصل'!$I$6:$I$505,"TRUE")+COUNTIFS('أرقام التواصل'!$A$6:$A$505,"client",'أرقام التواصل'!$B$6:$B$505,A94,'أرقام التواصل'!$C$6:$C$505,1))=0),"missing primary contact in أرقام التواصل; ","")&amp;IF(OR(B94="to_candidate",AV94="proposed_name"),IF(AW94="","missing proposed_move_reason; ","")&amp;IF(AX94="","missing proposed_name_key; ",""),"")))))</f>
        <v/>
      </c>
    </row>
    <row r="95" spans="1:53">
      <c r="A95" s="11"/>
      <c r="B95" s="12"/>
      <c r="C95" s="13"/>
      <c r="D95" s="12"/>
      <c r="E95" s="12"/>
      <c r="F95" s="12"/>
      <c r="G95" s="12"/>
      <c r="H95" s="12"/>
      <c r="I95" s="12"/>
      <c r="J95" s="12"/>
      <c r="K95" s="12" t="str">
        <f t="shared" si="1"/>
        <v/>
      </c>
      <c r="L95" s="12"/>
      <c r="M95" s="12"/>
      <c r="N95" s="12"/>
      <c r="O95" s="12"/>
      <c r="P95" s="12"/>
      <c r="Q95" s="12"/>
      <c r="R95" s="12"/>
      <c r="S95" s="12"/>
      <c r="T95" s="12"/>
      <c r="U95" s="12" t="str">
        <f t="shared" si="2"/>
        <v/>
      </c>
      <c r="V95" s="12"/>
      <c r="W95" s="14"/>
      <c r="X95" s="14"/>
      <c r="Y95" s="13"/>
      <c r="Z95" s="12"/>
      <c r="AA95" s="12"/>
      <c r="AB95" s="12"/>
      <c r="AC95" s="12"/>
      <c r="AD95" s="15"/>
      <c r="AE95" s="12"/>
      <c r="AF95" s="13"/>
      <c r="AG95" s="12"/>
      <c r="AH95" s="12"/>
      <c r="AI95" s="15"/>
      <c r="AJ95" s="12"/>
      <c r="AK95" s="12"/>
      <c r="AL95" s="12"/>
      <c r="AM95" s="12"/>
      <c r="AN95" s="12"/>
      <c r="AO95" s="12"/>
      <c r="AP95" s="12"/>
      <c r="AQ95" s="15"/>
      <c r="AR95" s="12"/>
      <c r="AS95" s="12"/>
      <c r="AT95" s="12"/>
      <c r="AU95" s="12"/>
      <c r="AV95" s="12"/>
      <c r="AW95" s="12"/>
      <c r="AX95" s="13"/>
      <c r="AY95" s="12"/>
      <c r="AZ95" s="12" t="str">
        <f>IF(AND(A95="",B95="",E95="",G95="",I95="",AV95="",AX95=""),"",IF(OR(B95="skip",AV95="skip"),"SKIP",IF(OR(B95="to_candidate",AV95="proposed_name"),IF(OR(A95="",AW95="",AX95="",COUNTIF($A$6:$A$505,A95)&gt;1),"REVIEW","TO_PROPOSED"),IF(OR(B95="",A95="",E95="",G95="",I95="",U95="",AV95="",COUNTIF($A$6:$A$505,A95)&gt;1,(COUNTIFS('أرقام التواصل'!$A$6:$A$505,"client",'أرقام التواصل'!$B$6:$B$505,A95,'أرقام التواصل'!$I$6:$I$505,"TRUE")+COUNTIFS('أرقام التواصل'!$A$6:$A$505,"client",'أرقام التواصل'!$B$6:$B$505,A95,'أرقام التواصل'!$C$6:$C$505,1))=0),"REVIEW","READY"))))</f>
        <v/>
      </c>
      <c r="BA95" s="16" t="str">
        <f>IF(AZ95="","",IF(OR(AZ95="READY",AZ95="TO_PROPOSED"),"",IF(AZ95="SKIP","Skipped by decision",TRIM(IF(B95="","missing import_action; ","")&amp;IF(A95="","missing migration_customer_key; ","")&amp;IF(AND(A95&lt;&gt;"",COUNTIF($A$6:$A$505,A95)&gt;1),"duplicate migration_customer_key; ","")&amp;IF(AND(NOT(OR(B95="to_candidate",AV95="proposed_name")),E95=""),"missing branch_id; ","")&amp;IF(AND(NOT(OR(B95="to_candidate",AV95="proposed_name")),G95=""),"missing first_name; ","")&amp;IF(AND(NOT(OR(B95="to_candidate",AV95="proposed_name")),I95=""),"missing last_name; ","")&amp;IF(AND(NOT(OR(B95="to_candidate",AV95="proposed_name")),U95=""),"missing final_geo_unit_id; ","")&amp;IF(AV95="","missing final_destination; ","")&amp;IF(AND(NOT(OR(B95="to_candidate",AV95="proposed_name")),(COUNTIFS('أرقام التواصل'!$A$6:$A$505,"client",'أرقام التواصل'!$B$6:$B$505,A95,'أرقام التواصل'!$I$6:$I$505,"TRUE")+COUNTIFS('أرقام التواصل'!$A$6:$A$505,"client",'أرقام التواصل'!$B$6:$B$505,A95,'أرقام التواصل'!$C$6:$C$505,1))=0),"missing primary contact in أرقام التواصل; ","")&amp;IF(OR(B95="to_candidate",AV95="proposed_name"),IF(AW95="","missing proposed_move_reason; ","")&amp;IF(AX95="","missing proposed_name_key; ",""),"")))))</f>
        <v/>
      </c>
    </row>
    <row r="96" spans="1:53">
      <c r="A96" s="11"/>
      <c r="B96" s="12"/>
      <c r="C96" s="13"/>
      <c r="D96" s="12"/>
      <c r="E96" s="12"/>
      <c r="F96" s="12"/>
      <c r="G96" s="12"/>
      <c r="H96" s="12"/>
      <c r="I96" s="12"/>
      <c r="J96" s="12"/>
      <c r="K96" s="12" t="str">
        <f t="shared" si="1"/>
        <v/>
      </c>
      <c r="L96" s="12"/>
      <c r="M96" s="12"/>
      <c r="N96" s="12"/>
      <c r="O96" s="12"/>
      <c r="P96" s="12"/>
      <c r="Q96" s="12"/>
      <c r="R96" s="12"/>
      <c r="S96" s="12"/>
      <c r="T96" s="12"/>
      <c r="U96" s="12" t="str">
        <f t="shared" si="2"/>
        <v/>
      </c>
      <c r="V96" s="12"/>
      <c r="W96" s="14"/>
      <c r="X96" s="14"/>
      <c r="Y96" s="13"/>
      <c r="Z96" s="12"/>
      <c r="AA96" s="12"/>
      <c r="AB96" s="12"/>
      <c r="AC96" s="12"/>
      <c r="AD96" s="15"/>
      <c r="AE96" s="12"/>
      <c r="AF96" s="13"/>
      <c r="AG96" s="12"/>
      <c r="AH96" s="12"/>
      <c r="AI96" s="15"/>
      <c r="AJ96" s="12"/>
      <c r="AK96" s="12"/>
      <c r="AL96" s="12"/>
      <c r="AM96" s="12"/>
      <c r="AN96" s="12"/>
      <c r="AO96" s="12"/>
      <c r="AP96" s="12"/>
      <c r="AQ96" s="15"/>
      <c r="AR96" s="12"/>
      <c r="AS96" s="12"/>
      <c r="AT96" s="12"/>
      <c r="AU96" s="12"/>
      <c r="AV96" s="12"/>
      <c r="AW96" s="12"/>
      <c r="AX96" s="13"/>
      <c r="AY96" s="12"/>
      <c r="AZ96" s="12" t="str">
        <f>IF(AND(A96="",B96="",E96="",G96="",I96="",AV96="",AX96=""),"",IF(OR(B96="skip",AV96="skip"),"SKIP",IF(OR(B96="to_candidate",AV96="proposed_name"),IF(OR(A96="",AW96="",AX96="",COUNTIF($A$6:$A$505,A96)&gt;1),"REVIEW","TO_PROPOSED"),IF(OR(B96="",A96="",E96="",G96="",I96="",U96="",AV96="",COUNTIF($A$6:$A$505,A96)&gt;1,(COUNTIFS('أرقام التواصل'!$A$6:$A$505,"client",'أرقام التواصل'!$B$6:$B$505,A96,'أرقام التواصل'!$I$6:$I$505,"TRUE")+COUNTIFS('أرقام التواصل'!$A$6:$A$505,"client",'أرقام التواصل'!$B$6:$B$505,A96,'أرقام التواصل'!$C$6:$C$505,1))=0),"REVIEW","READY"))))</f>
        <v/>
      </c>
      <c r="BA96" s="16" t="str">
        <f>IF(AZ96="","",IF(OR(AZ96="READY",AZ96="TO_PROPOSED"),"",IF(AZ96="SKIP","Skipped by decision",TRIM(IF(B96="","missing import_action; ","")&amp;IF(A96="","missing migration_customer_key; ","")&amp;IF(AND(A96&lt;&gt;"",COUNTIF($A$6:$A$505,A96)&gt;1),"duplicate migration_customer_key; ","")&amp;IF(AND(NOT(OR(B96="to_candidate",AV96="proposed_name")),E96=""),"missing branch_id; ","")&amp;IF(AND(NOT(OR(B96="to_candidate",AV96="proposed_name")),G96=""),"missing first_name; ","")&amp;IF(AND(NOT(OR(B96="to_candidate",AV96="proposed_name")),I96=""),"missing last_name; ","")&amp;IF(AND(NOT(OR(B96="to_candidate",AV96="proposed_name")),U96=""),"missing final_geo_unit_id; ","")&amp;IF(AV96="","missing final_destination; ","")&amp;IF(AND(NOT(OR(B96="to_candidate",AV96="proposed_name")),(COUNTIFS('أرقام التواصل'!$A$6:$A$505,"client",'أرقام التواصل'!$B$6:$B$505,A96,'أرقام التواصل'!$I$6:$I$505,"TRUE")+COUNTIFS('أرقام التواصل'!$A$6:$A$505,"client",'أرقام التواصل'!$B$6:$B$505,A96,'أرقام التواصل'!$C$6:$C$505,1))=0),"missing primary contact in أرقام التواصل; ","")&amp;IF(OR(B96="to_candidate",AV96="proposed_name"),IF(AW96="","missing proposed_move_reason; ","")&amp;IF(AX96="","missing proposed_name_key; ",""),"")))))</f>
        <v/>
      </c>
    </row>
    <row r="97" spans="1:53">
      <c r="A97" s="11"/>
      <c r="B97" s="12"/>
      <c r="C97" s="13"/>
      <c r="D97" s="12"/>
      <c r="E97" s="12"/>
      <c r="F97" s="12"/>
      <c r="G97" s="12"/>
      <c r="H97" s="12"/>
      <c r="I97" s="12"/>
      <c r="J97" s="12"/>
      <c r="K97" s="12" t="str">
        <f t="shared" si="1"/>
        <v/>
      </c>
      <c r="L97" s="12"/>
      <c r="M97" s="12"/>
      <c r="N97" s="12"/>
      <c r="O97" s="12"/>
      <c r="P97" s="12"/>
      <c r="Q97" s="12"/>
      <c r="R97" s="12"/>
      <c r="S97" s="12"/>
      <c r="T97" s="12"/>
      <c r="U97" s="12" t="str">
        <f t="shared" si="2"/>
        <v/>
      </c>
      <c r="V97" s="12"/>
      <c r="W97" s="14"/>
      <c r="X97" s="14"/>
      <c r="Y97" s="13"/>
      <c r="Z97" s="12"/>
      <c r="AA97" s="12"/>
      <c r="AB97" s="12"/>
      <c r="AC97" s="12"/>
      <c r="AD97" s="15"/>
      <c r="AE97" s="12"/>
      <c r="AF97" s="13"/>
      <c r="AG97" s="12"/>
      <c r="AH97" s="12"/>
      <c r="AI97" s="15"/>
      <c r="AJ97" s="12"/>
      <c r="AK97" s="12"/>
      <c r="AL97" s="12"/>
      <c r="AM97" s="12"/>
      <c r="AN97" s="12"/>
      <c r="AO97" s="12"/>
      <c r="AP97" s="12"/>
      <c r="AQ97" s="15"/>
      <c r="AR97" s="12"/>
      <c r="AS97" s="12"/>
      <c r="AT97" s="12"/>
      <c r="AU97" s="12"/>
      <c r="AV97" s="12"/>
      <c r="AW97" s="12"/>
      <c r="AX97" s="13"/>
      <c r="AY97" s="12"/>
      <c r="AZ97" s="12" t="str">
        <f>IF(AND(A97="",B97="",E97="",G97="",I97="",AV97="",AX97=""),"",IF(OR(B97="skip",AV97="skip"),"SKIP",IF(OR(B97="to_candidate",AV97="proposed_name"),IF(OR(A97="",AW97="",AX97="",COUNTIF($A$6:$A$505,A97)&gt;1),"REVIEW","TO_PROPOSED"),IF(OR(B97="",A97="",E97="",G97="",I97="",U97="",AV97="",COUNTIF($A$6:$A$505,A97)&gt;1,(COUNTIFS('أرقام التواصل'!$A$6:$A$505,"client",'أرقام التواصل'!$B$6:$B$505,A97,'أرقام التواصل'!$I$6:$I$505,"TRUE")+COUNTIFS('أرقام التواصل'!$A$6:$A$505,"client",'أرقام التواصل'!$B$6:$B$505,A97,'أرقام التواصل'!$C$6:$C$505,1))=0),"REVIEW","READY"))))</f>
        <v/>
      </c>
      <c r="BA97" s="16" t="str">
        <f>IF(AZ97="","",IF(OR(AZ97="READY",AZ97="TO_PROPOSED"),"",IF(AZ97="SKIP","Skipped by decision",TRIM(IF(B97="","missing import_action; ","")&amp;IF(A97="","missing migration_customer_key; ","")&amp;IF(AND(A97&lt;&gt;"",COUNTIF($A$6:$A$505,A97)&gt;1),"duplicate migration_customer_key; ","")&amp;IF(AND(NOT(OR(B97="to_candidate",AV97="proposed_name")),E97=""),"missing branch_id; ","")&amp;IF(AND(NOT(OR(B97="to_candidate",AV97="proposed_name")),G97=""),"missing first_name; ","")&amp;IF(AND(NOT(OR(B97="to_candidate",AV97="proposed_name")),I97=""),"missing last_name; ","")&amp;IF(AND(NOT(OR(B97="to_candidate",AV97="proposed_name")),U97=""),"missing final_geo_unit_id; ","")&amp;IF(AV97="","missing final_destination; ","")&amp;IF(AND(NOT(OR(B97="to_candidate",AV97="proposed_name")),(COUNTIFS('أرقام التواصل'!$A$6:$A$505,"client",'أرقام التواصل'!$B$6:$B$505,A97,'أرقام التواصل'!$I$6:$I$505,"TRUE")+COUNTIFS('أرقام التواصل'!$A$6:$A$505,"client",'أرقام التواصل'!$B$6:$B$505,A97,'أرقام التواصل'!$C$6:$C$505,1))=0),"missing primary contact in أرقام التواصل; ","")&amp;IF(OR(B97="to_candidate",AV97="proposed_name"),IF(AW97="","missing proposed_move_reason; ","")&amp;IF(AX97="","missing proposed_name_key; ",""),"")))))</f>
        <v/>
      </c>
    </row>
    <row r="98" spans="1:53">
      <c r="A98" s="11"/>
      <c r="B98" s="12"/>
      <c r="C98" s="13"/>
      <c r="D98" s="12"/>
      <c r="E98" s="12"/>
      <c r="F98" s="12"/>
      <c r="G98" s="12"/>
      <c r="H98" s="12"/>
      <c r="I98" s="12"/>
      <c r="J98" s="12"/>
      <c r="K98" s="12" t="str">
        <f t="shared" si="1"/>
        <v/>
      </c>
      <c r="L98" s="12"/>
      <c r="M98" s="12"/>
      <c r="N98" s="12"/>
      <c r="O98" s="12"/>
      <c r="P98" s="12"/>
      <c r="Q98" s="12"/>
      <c r="R98" s="12"/>
      <c r="S98" s="12"/>
      <c r="T98" s="12"/>
      <c r="U98" s="12" t="str">
        <f t="shared" si="2"/>
        <v/>
      </c>
      <c r="V98" s="12"/>
      <c r="W98" s="14"/>
      <c r="X98" s="14"/>
      <c r="Y98" s="13"/>
      <c r="Z98" s="12"/>
      <c r="AA98" s="12"/>
      <c r="AB98" s="12"/>
      <c r="AC98" s="12"/>
      <c r="AD98" s="15"/>
      <c r="AE98" s="12"/>
      <c r="AF98" s="13"/>
      <c r="AG98" s="12"/>
      <c r="AH98" s="12"/>
      <c r="AI98" s="15"/>
      <c r="AJ98" s="12"/>
      <c r="AK98" s="12"/>
      <c r="AL98" s="12"/>
      <c r="AM98" s="12"/>
      <c r="AN98" s="12"/>
      <c r="AO98" s="12"/>
      <c r="AP98" s="12"/>
      <c r="AQ98" s="15"/>
      <c r="AR98" s="12"/>
      <c r="AS98" s="12"/>
      <c r="AT98" s="12"/>
      <c r="AU98" s="12"/>
      <c r="AV98" s="12"/>
      <c r="AW98" s="12"/>
      <c r="AX98" s="13"/>
      <c r="AY98" s="12"/>
      <c r="AZ98" s="12" t="str">
        <f>IF(AND(A98="",B98="",E98="",G98="",I98="",AV98="",AX98=""),"",IF(OR(B98="skip",AV98="skip"),"SKIP",IF(OR(B98="to_candidate",AV98="proposed_name"),IF(OR(A98="",AW98="",AX98="",COUNTIF($A$6:$A$505,A98)&gt;1),"REVIEW","TO_PROPOSED"),IF(OR(B98="",A98="",E98="",G98="",I98="",U98="",AV98="",COUNTIF($A$6:$A$505,A98)&gt;1,(COUNTIFS('أرقام التواصل'!$A$6:$A$505,"client",'أرقام التواصل'!$B$6:$B$505,A98,'أرقام التواصل'!$I$6:$I$505,"TRUE")+COUNTIFS('أرقام التواصل'!$A$6:$A$505,"client",'أرقام التواصل'!$B$6:$B$505,A98,'أرقام التواصل'!$C$6:$C$505,1))=0),"REVIEW","READY"))))</f>
        <v/>
      </c>
      <c r="BA98" s="16" t="str">
        <f>IF(AZ98="","",IF(OR(AZ98="READY",AZ98="TO_PROPOSED"),"",IF(AZ98="SKIP","Skipped by decision",TRIM(IF(B98="","missing import_action; ","")&amp;IF(A98="","missing migration_customer_key; ","")&amp;IF(AND(A98&lt;&gt;"",COUNTIF($A$6:$A$505,A98)&gt;1),"duplicate migration_customer_key; ","")&amp;IF(AND(NOT(OR(B98="to_candidate",AV98="proposed_name")),E98=""),"missing branch_id; ","")&amp;IF(AND(NOT(OR(B98="to_candidate",AV98="proposed_name")),G98=""),"missing first_name; ","")&amp;IF(AND(NOT(OR(B98="to_candidate",AV98="proposed_name")),I98=""),"missing last_name; ","")&amp;IF(AND(NOT(OR(B98="to_candidate",AV98="proposed_name")),U98=""),"missing final_geo_unit_id; ","")&amp;IF(AV98="","missing final_destination; ","")&amp;IF(AND(NOT(OR(B98="to_candidate",AV98="proposed_name")),(COUNTIFS('أرقام التواصل'!$A$6:$A$505,"client",'أرقام التواصل'!$B$6:$B$505,A98,'أرقام التواصل'!$I$6:$I$505,"TRUE")+COUNTIFS('أرقام التواصل'!$A$6:$A$505,"client",'أرقام التواصل'!$B$6:$B$505,A98,'أرقام التواصل'!$C$6:$C$505,1))=0),"missing primary contact in أرقام التواصل; ","")&amp;IF(OR(B98="to_candidate",AV98="proposed_name"),IF(AW98="","missing proposed_move_reason; ","")&amp;IF(AX98="","missing proposed_name_key; ",""),"")))))</f>
        <v/>
      </c>
    </row>
    <row r="99" spans="1:53">
      <c r="A99" s="11"/>
      <c r="B99" s="12"/>
      <c r="C99" s="13"/>
      <c r="D99" s="12"/>
      <c r="E99" s="12"/>
      <c r="F99" s="12"/>
      <c r="G99" s="12"/>
      <c r="H99" s="12"/>
      <c r="I99" s="12"/>
      <c r="J99" s="12"/>
      <c r="K99" s="12" t="str">
        <f t="shared" si="1"/>
        <v/>
      </c>
      <c r="L99" s="12"/>
      <c r="M99" s="12"/>
      <c r="N99" s="12"/>
      <c r="O99" s="12"/>
      <c r="P99" s="12"/>
      <c r="Q99" s="12"/>
      <c r="R99" s="12"/>
      <c r="S99" s="12"/>
      <c r="T99" s="12"/>
      <c r="U99" s="12" t="str">
        <f t="shared" si="2"/>
        <v/>
      </c>
      <c r="V99" s="12"/>
      <c r="W99" s="14"/>
      <c r="X99" s="14"/>
      <c r="Y99" s="13"/>
      <c r="Z99" s="12"/>
      <c r="AA99" s="12"/>
      <c r="AB99" s="12"/>
      <c r="AC99" s="12"/>
      <c r="AD99" s="15"/>
      <c r="AE99" s="12"/>
      <c r="AF99" s="13"/>
      <c r="AG99" s="12"/>
      <c r="AH99" s="12"/>
      <c r="AI99" s="15"/>
      <c r="AJ99" s="12"/>
      <c r="AK99" s="12"/>
      <c r="AL99" s="12"/>
      <c r="AM99" s="12"/>
      <c r="AN99" s="12"/>
      <c r="AO99" s="12"/>
      <c r="AP99" s="12"/>
      <c r="AQ99" s="15"/>
      <c r="AR99" s="12"/>
      <c r="AS99" s="12"/>
      <c r="AT99" s="12"/>
      <c r="AU99" s="12"/>
      <c r="AV99" s="12"/>
      <c r="AW99" s="12"/>
      <c r="AX99" s="13"/>
      <c r="AY99" s="12"/>
      <c r="AZ99" s="12" t="str">
        <f>IF(AND(A99="",B99="",E99="",G99="",I99="",AV99="",AX99=""),"",IF(OR(B99="skip",AV99="skip"),"SKIP",IF(OR(B99="to_candidate",AV99="proposed_name"),IF(OR(A99="",AW99="",AX99="",COUNTIF($A$6:$A$505,A99)&gt;1),"REVIEW","TO_PROPOSED"),IF(OR(B99="",A99="",E99="",G99="",I99="",U99="",AV99="",COUNTIF($A$6:$A$505,A99)&gt;1,(COUNTIFS('أرقام التواصل'!$A$6:$A$505,"client",'أرقام التواصل'!$B$6:$B$505,A99,'أرقام التواصل'!$I$6:$I$505,"TRUE")+COUNTIFS('أرقام التواصل'!$A$6:$A$505,"client",'أرقام التواصل'!$B$6:$B$505,A99,'أرقام التواصل'!$C$6:$C$505,1))=0),"REVIEW","READY"))))</f>
        <v/>
      </c>
      <c r="BA99" s="16" t="str">
        <f>IF(AZ99="","",IF(OR(AZ99="READY",AZ99="TO_PROPOSED"),"",IF(AZ99="SKIP","Skipped by decision",TRIM(IF(B99="","missing import_action; ","")&amp;IF(A99="","missing migration_customer_key; ","")&amp;IF(AND(A99&lt;&gt;"",COUNTIF($A$6:$A$505,A99)&gt;1),"duplicate migration_customer_key; ","")&amp;IF(AND(NOT(OR(B99="to_candidate",AV99="proposed_name")),E99=""),"missing branch_id; ","")&amp;IF(AND(NOT(OR(B99="to_candidate",AV99="proposed_name")),G99=""),"missing first_name; ","")&amp;IF(AND(NOT(OR(B99="to_candidate",AV99="proposed_name")),I99=""),"missing last_name; ","")&amp;IF(AND(NOT(OR(B99="to_candidate",AV99="proposed_name")),U99=""),"missing final_geo_unit_id; ","")&amp;IF(AV99="","missing final_destination; ","")&amp;IF(AND(NOT(OR(B99="to_candidate",AV99="proposed_name")),(COUNTIFS('أرقام التواصل'!$A$6:$A$505,"client",'أرقام التواصل'!$B$6:$B$505,A99,'أرقام التواصل'!$I$6:$I$505,"TRUE")+COUNTIFS('أرقام التواصل'!$A$6:$A$505,"client",'أرقام التواصل'!$B$6:$B$505,A99,'أرقام التواصل'!$C$6:$C$505,1))=0),"missing primary contact in أرقام التواصل; ","")&amp;IF(OR(B99="to_candidate",AV99="proposed_name"),IF(AW99="","missing proposed_move_reason; ","")&amp;IF(AX99="","missing proposed_name_key; ",""),"")))))</f>
        <v/>
      </c>
    </row>
    <row r="100" spans="1:53">
      <c r="A100" s="11"/>
      <c r="B100" s="12"/>
      <c r="C100" s="13"/>
      <c r="D100" s="12"/>
      <c r="E100" s="12"/>
      <c r="F100" s="12"/>
      <c r="G100" s="12"/>
      <c r="H100" s="12"/>
      <c r="I100" s="12"/>
      <c r="J100" s="12"/>
      <c r="K100" s="12" t="str">
        <f t="shared" si="1"/>
        <v/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 t="str">
        <f t="shared" si="2"/>
        <v/>
      </c>
      <c r="V100" s="12"/>
      <c r="W100" s="14"/>
      <c r="X100" s="14"/>
      <c r="Y100" s="13"/>
      <c r="Z100" s="12"/>
      <c r="AA100" s="12"/>
      <c r="AB100" s="12"/>
      <c r="AC100" s="12"/>
      <c r="AD100" s="15"/>
      <c r="AE100" s="12"/>
      <c r="AF100" s="13"/>
      <c r="AG100" s="12"/>
      <c r="AH100" s="12"/>
      <c r="AI100" s="15"/>
      <c r="AJ100" s="12"/>
      <c r="AK100" s="12"/>
      <c r="AL100" s="12"/>
      <c r="AM100" s="12"/>
      <c r="AN100" s="12"/>
      <c r="AO100" s="12"/>
      <c r="AP100" s="12"/>
      <c r="AQ100" s="15"/>
      <c r="AR100" s="12"/>
      <c r="AS100" s="12"/>
      <c r="AT100" s="12"/>
      <c r="AU100" s="12"/>
      <c r="AV100" s="12"/>
      <c r="AW100" s="12"/>
      <c r="AX100" s="13"/>
      <c r="AY100" s="12"/>
      <c r="AZ100" s="12" t="str">
        <f>IF(AND(A100="",B100="",E100="",G100="",I100="",AV100="",AX100=""),"",IF(OR(B100="skip",AV100="skip"),"SKIP",IF(OR(B100="to_candidate",AV100="proposed_name"),IF(OR(A100="",AW100="",AX100="",COUNTIF($A$6:$A$505,A100)&gt;1),"REVIEW","TO_PROPOSED"),IF(OR(B100="",A100="",E100="",G100="",I100="",U100="",AV100="",COUNTIF($A$6:$A$505,A100)&gt;1,(COUNTIFS('أرقام التواصل'!$A$6:$A$505,"client",'أرقام التواصل'!$B$6:$B$505,A100,'أرقام التواصل'!$I$6:$I$505,"TRUE")+COUNTIFS('أرقام التواصل'!$A$6:$A$505,"client",'أرقام التواصل'!$B$6:$B$505,A100,'أرقام التواصل'!$C$6:$C$505,1))=0),"REVIEW","READY"))))</f>
        <v/>
      </c>
      <c r="BA100" s="16" t="str">
        <f>IF(AZ100="","",IF(OR(AZ100="READY",AZ100="TO_PROPOSED"),"",IF(AZ100="SKIP","Skipped by decision",TRIM(IF(B100="","missing import_action; ","")&amp;IF(A100="","missing migration_customer_key; ","")&amp;IF(AND(A100&lt;&gt;"",COUNTIF($A$6:$A$505,A100)&gt;1),"duplicate migration_customer_key; ","")&amp;IF(AND(NOT(OR(B100="to_candidate",AV100="proposed_name")),E100=""),"missing branch_id; ","")&amp;IF(AND(NOT(OR(B100="to_candidate",AV100="proposed_name")),G100=""),"missing first_name; ","")&amp;IF(AND(NOT(OR(B100="to_candidate",AV100="proposed_name")),I100=""),"missing last_name; ","")&amp;IF(AND(NOT(OR(B100="to_candidate",AV100="proposed_name")),U100=""),"missing final_geo_unit_id; ","")&amp;IF(AV100="","missing final_destination; ","")&amp;IF(AND(NOT(OR(B100="to_candidate",AV100="proposed_name")),(COUNTIFS('أرقام التواصل'!$A$6:$A$505,"client",'أرقام التواصل'!$B$6:$B$505,A100,'أرقام التواصل'!$I$6:$I$505,"TRUE")+COUNTIFS('أرقام التواصل'!$A$6:$A$505,"client",'أرقام التواصل'!$B$6:$B$505,A100,'أرقام التواصل'!$C$6:$C$505,1))=0),"missing primary contact in أرقام التواصل; ","")&amp;IF(OR(B100="to_candidate",AV100="proposed_name"),IF(AW100="","missing proposed_move_reason; ","")&amp;IF(AX100="","missing proposed_name_key; ",""),"")))))</f>
        <v/>
      </c>
    </row>
    <row r="101" spans="1:53">
      <c r="A101" s="11"/>
      <c r="B101" s="12"/>
      <c r="C101" s="13"/>
      <c r="D101" s="12"/>
      <c r="E101" s="12"/>
      <c r="F101" s="12"/>
      <c r="G101" s="12"/>
      <c r="H101" s="12"/>
      <c r="I101" s="12"/>
      <c r="J101" s="12"/>
      <c r="K101" s="12" t="str">
        <f t="shared" si="1"/>
        <v/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 t="str">
        <f t="shared" si="2"/>
        <v/>
      </c>
      <c r="V101" s="12"/>
      <c r="W101" s="14"/>
      <c r="X101" s="14"/>
      <c r="Y101" s="13"/>
      <c r="Z101" s="12"/>
      <c r="AA101" s="12"/>
      <c r="AB101" s="12"/>
      <c r="AC101" s="12"/>
      <c r="AD101" s="15"/>
      <c r="AE101" s="12"/>
      <c r="AF101" s="13"/>
      <c r="AG101" s="12"/>
      <c r="AH101" s="12"/>
      <c r="AI101" s="15"/>
      <c r="AJ101" s="12"/>
      <c r="AK101" s="12"/>
      <c r="AL101" s="12"/>
      <c r="AM101" s="12"/>
      <c r="AN101" s="12"/>
      <c r="AO101" s="12"/>
      <c r="AP101" s="12"/>
      <c r="AQ101" s="15"/>
      <c r="AR101" s="12"/>
      <c r="AS101" s="12"/>
      <c r="AT101" s="12"/>
      <c r="AU101" s="12"/>
      <c r="AV101" s="12"/>
      <c r="AW101" s="12"/>
      <c r="AX101" s="13"/>
      <c r="AY101" s="12"/>
      <c r="AZ101" s="12" t="str">
        <f>IF(AND(A101="",B101="",E101="",G101="",I101="",AV101="",AX101=""),"",IF(OR(B101="skip",AV101="skip"),"SKIP",IF(OR(B101="to_candidate",AV101="proposed_name"),IF(OR(A101="",AW101="",AX101="",COUNTIF($A$6:$A$505,A101)&gt;1),"REVIEW","TO_PROPOSED"),IF(OR(B101="",A101="",E101="",G101="",I101="",U101="",AV101="",COUNTIF($A$6:$A$505,A101)&gt;1,(COUNTIFS('أرقام التواصل'!$A$6:$A$505,"client",'أرقام التواصل'!$B$6:$B$505,A101,'أرقام التواصل'!$I$6:$I$505,"TRUE")+COUNTIFS('أرقام التواصل'!$A$6:$A$505,"client",'أرقام التواصل'!$B$6:$B$505,A101,'أرقام التواصل'!$C$6:$C$505,1))=0),"REVIEW","READY"))))</f>
        <v/>
      </c>
      <c r="BA101" s="16" t="str">
        <f>IF(AZ101="","",IF(OR(AZ101="READY",AZ101="TO_PROPOSED"),"",IF(AZ101="SKIP","Skipped by decision",TRIM(IF(B101="","missing import_action; ","")&amp;IF(A101="","missing migration_customer_key; ","")&amp;IF(AND(A101&lt;&gt;"",COUNTIF($A$6:$A$505,A101)&gt;1),"duplicate migration_customer_key; ","")&amp;IF(AND(NOT(OR(B101="to_candidate",AV101="proposed_name")),E101=""),"missing branch_id; ","")&amp;IF(AND(NOT(OR(B101="to_candidate",AV101="proposed_name")),G101=""),"missing first_name; ","")&amp;IF(AND(NOT(OR(B101="to_candidate",AV101="proposed_name")),I101=""),"missing last_name; ","")&amp;IF(AND(NOT(OR(B101="to_candidate",AV101="proposed_name")),U101=""),"missing final_geo_unit_id; ","")&amp;IF(AV101="","missing final_destination; ","")&amp;IF(AND(NOT(OR(B101="to_candidate",AV101="proposed_name")),(COUNTIFS('أرقام التواصل'!$A$6:$A$505,"client",'أرقام التواصل'!$B$6:$B$505,A101,'أرقام التواصل'!$I$6:$I$505,"TRUE")+COUNTIFS('أرقام التواصل'!$A$6:$A$505,"client",'أرقام التواصل'!$B$6:$B$505,A101,'أرقام التواصل'!$C$6:$C$505,1))=0),"missing primary contact in أرقام التواصل; ","")&amp;IF(OR(B101="to_candidate",AV101="proposed_name"),IF(AW101="","missing proposed_move_reason; ","")&amp;IF(AX101="","missing proposed_name_key; ",""),"")))))</f>
        <v/>
      </c>
    </row>
    <row r="102" spans="1:53">
      <c r="A102" s="11"/>
      <c r="B102" s="12"/>
      <c r="C102" s="13"/>
      <c r="D102" s="12"/>
      <c r="E102" s="12"/>
      <c r="F102" s="12"/>
      <c r="G102" s="12"/>
      <c r="H102" s="12"/>
      <c r="I102" s="12"/>
      <c r="J102" s="12"/>
      <c r="K102" s="12" t="str">
        <f t="shared" si="1"/>
        <v/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 t="str">
        <f t="shared" si="2"/>
        <v/>
      </c>
      <c r="V102" s="12"/>
      <c r="W102" s="14"/>
      <c r="X102" s="14"/>
      <c r="Y102" s="13"/>
      <c r="Z102" s="12"/>
      <c r="AA102" s="12"/>
      <c r="AB102" s="12"/>
      <c r="AC102" s="12"/>
      <c r="AD102" s="15"/>
      <c r="AE102" s="12"/>
      <c r="AF102" s="13"/>
      <c r="AG102" s="12"/>
      <c r="AH102" s="12"/>
      <c r="AI102" s="15"/>
      <c r="AJ102" s="12"/>
      <c r="AK102" s="12"/>
      <c r="AL102" s="12"/>
      <c r="AM102" s="12"/>
      <c r="AN102" s="12"/>
      <c r="AO102" s="12"/>
      <c r="AP102" s="12"/>
      <c r="AQ102" s="15"/>
      <c r="AR102" s="12"/>
      <c r="AS102" s="12"/>
      <c r="AT102" s="12"/>
      <c r="AU102" s="12"/>
      <c r="AV102" s="12"/>
      <c r="AW102" s="12"/>
      <c r="AX102" s="13"/>
      <c r="AY102" s="12"/>
      <c r="AZ102" s="12" t="str">
        <f>IF(AND(A102="",B102="",E102="",G102="",I102="",AV102="",AX102=""),"",IF(OR(B102="skip",AV102="skip"),"SKIP",IF(OR(B102="to_candidate",AV102="proposed_name"),IF(OR(A102="",AW102="",AX102="",COUNTIF($A$6:$A$505,A102)&gt;1),"REVIEW","TO_PROPOSED"),IF(OR(B102="",A102="",E102="",G102="",I102="",U102="",AV102="",COUNTIF($A$6:$A$505,A102)&gt;1,(COUNTIFS('أرقام التواصل'!$A$6:$A$505,"client",'أرقام التواصل'!$B$6:$B$505,A102,'أرقام التواصل'!$I$6:$I$505,"TRUE")+COUNTIFS('أرقام التواصل'!$A$6:$A$505,"client",'أرقام التواصل'!$B$6:$B$505,A102,'أرقام التواصل'!$C$6:$C$505,1))=0),"REVIEW","READY"))))</f>
        <v/>
      </c>
      <c r="BA102" s="16" t="str">
        <f>IF(AZ102="","",IF(OR(AZ102="READY",AZ102="TO_PROPOSED"),"",IF(AZ102="SKIP","Skipped by decision",TRIM(IF(B102="","missing import_action; ","")&amp;IF(A102="","missing migration_customer_key; ","")&amp;IF(AND(A102&lt;&gt;"",COUNTIF($A$6:$A$505,A102)&gt;1),"duplicate migration_customer_key; ","")&amp;IF(AND(NOT(OR(B102="to_candidate",AV102="proposed_name")),E102=""),"missing branch_id; ","")&amp;IF(AND(NOT(OR(B102="to_candidate",AV102="proposed_name")),G102=""),"missing first_name; ","")&amp;IF(AND(NOT(OR(B102="to_candidate",AV102="proposed_name")),I102=""),"missing last_name; ","")&amp;IF(AND(NOT(OR(B102="to_candidate",AV102="proposed_name")),U102=""),"missing final_geo_unit_id; ","")&amp;IF(AV102="","missing final_destination; ","")&amp;IF(AND(NOT(OR(B102="to_candidate",AV102="proposed_name")),(COUNTIFS('أرقام التواصل'!$A$6:$A$505,"client",'أرقام التواصل'!$B$6:$B$505,A102,'أرقام التواصل'!$I$6:$I$505,"TRUE")+COUNTIFS('أرقام التواصل'!$A$6:$A$505,"client",'أرقام التواصل'!$B$6:$B$505,A102,'أرقام التواصل'!$C$6:$C$505,1))=0),"missing primary contact in أرقام التواصل; ","")&amp;IF(OR(B102="to_candidate",AV102="proposed_name"),IF(AW102="","missing proposed_move_reason; ","")&amp;IF(AX102="","missing proposed_name_key; ",""),"")))))</f>
        <v/>
      </c>
    </row>
    <row r="103" spans="1:53">
      <c r="A103" s="11"/>
      <c r="B103" s="12"/>
      <c r="C103" s="13"/>
      <c r="D103" s="12"/>
      <c r="E103" s="12"/>
      <c r="F103" s="12"/>
      <c r="G103" s="12"/>
      <c r="H103" s="12"/>
      <c r="I103" s="12"/>
      <c r="J103" s="12"/>
      <c r="K103" s="12" t="str">
        <f t="shared" si="1"/>
        <v/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 t="str">
        <f t="shared" si="2"/>
        <v/>
      </c>
      <c r="V103" s="12"/>
      <c r="W103" s="14"/>
      <c r="X103" s="14"/>
      <c r="Y103" s="13"/>
      <c r="Z103" s="12"/>
      <c r="AA103" s="12"/>
      <c r="AB103" s="12"/>
      <c r="AC103" s="12"/>
      <c r="AD103" s="15"/>
      <c r="AE103" s="12"/>
      <c r="AF103" s="13"/>
      <c r="AG103" s="12"/>
      <c r="AH103" s="12"/>
      <c r="AI103" s="15"/>
      <c r="AJ103" s="12"/>
      <c r="AK103" s="12"/>
      <c r="AL103" s="12"/>
      <c r="AM103" s="12"/>
      <c r="AN103" s="12"/>
      <c r="AO103" s="12"/>
      <c r="AP103" s="12"/>
      <c r="AQ103" s="15"/>
      <c r="AR103" s="12"/>
      <c r="AS103" s="12"/>
      <c r="AT103" s="12"/>
      <c r="AU103" s="12"/>
      <c r="AV103" s="12"/>
      <c r="AW103" s="12"/>
      <c r="AX103" s="13"/>
      <c r="AY103" s="12"/>
      <c r="AZ103" s="12" t="str">
        <f>IF(AND(A103="",B103="",E103="",G103="",I103="",AV103="",AX103=""),"",IF(OR(B103="skip",AV103="skip"),"SKIP",IF(OR(B103="to_candidate",AV103="proposed_name"),IF(OR(A103="",AW103="",AX103="",COUNTIF($A$6:$A$505,A103)&gt;1),"REVIEW","TO_PROPOSED"),IF(OR(B103="",A103="",E103="",G103="",I103="",U103="",AV103="",COUNTIF($A$6:$A$505,A103)&gt;1,(COUNTIFS('أرقام التواصل'!$A$6:$A$505,"client",'أرقام التواصل'!$B$6:$B$505,A103,'أرقام التواصل'!$I$6:$I$505,"TRUE")+COUNTIFS('أرقام التواصل'!$A$6:$A$505,"client",'أرقام التواصل'!$B$6:$B$505,A103,'أرقام التواصل'!$C$6:$C$505,1))=0),"REVIEW","READY"))))</f>
        <v/>
      </c>
      <c r="BA103" s="16" t="str">
        <f>IF(AZ103="","",IF(OR(AZ103="READY",AZ103="TO_PROPOSED"),"",IF(AZ103="SKIP","Skipped by decision",TRIM(IF(B103="","missing import_action; ","")&amp;IF(A103="","missing migration_customer_key; ","")&amp;IF(AND(A103&lt;&gt;"",COUNTIF($A$6:$A$505,A103)&gt;1),"duplicate migration_customer_key; ","")&amp;IF(AND(NOT(OR(B103="to_candidate",AV103="proposed_name")),E103=""),"missing branch_id; ","")&amp;IF(AND(NOT(OR(B103="to_candidate",AV103="proposed_name")),G103=""),"missing first_name; ","")&amp;IF(AND(NOT(OR(B103="to_candidate",AV103="proposed_name")),I103=""),"missing last_name; ","")&amp;IF(AND(NOT(OR(B103="to_candidate",AV103="proposed_name")),U103=""),"missing final_geo_unit_id; ","")&amp;IF(AV103="","missing final_destination; ","")&amp;IF(AND(NOT(OR(B103="to_candidate",AV103="proposed_name")),(COUNTIFS('أرقام التواصل'!$A$6:$A$505,"client",'أرقام التواصل'!$B$6:$B$505,A103,'أرقام التواصل'!$I$6:$I$505,"TRUE")+COUNTIFS('أرقام التواصل'!$A$6:$A$505,"client",'أرقام التواصل'!$B$6:$B$505,A103,'أرقام التواصل'!$C$6:$C$505,1))=0),"missing primary contact in أرقام التواصل; ","")&amp;IF(OR(B103="to_candidate",AV103="proposed_name"),IF(AW103="","missing proposed_move_reason; ","")&amp;IF(AX103="","missing proposed_name_key; ",""),"")))))</f>
        <v/>
      </c>
    </row>
    <row r="104" spans="1:53">
      <c r="A104" s="11"/>
      <c r="B104" s="12"/>
      <c r="C104" s="13"/>
      <c r="D104" s="12"/>
      <c r="E104" s="12"/>
      <c r="F104" s="12"/>
      <c r="G104" s="12"/>
      <c r="H104" s="12"/>
      <c r="I104" s="12"/>
      <c r="J104" s="12"/>
      <c r="K104" s="12" t="str">
        <f t="shared" si="1"/>
        <v/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 t="str">
        <f t="shared" si="2"/>
        <v/>
      </c>
      <c r="V104" s="12"/>
      <c r="W104" s="14"/>
      <c r="X104" s="14"/>
      <c r="Y104" s="13"/>
      <c r="Z104" s="12"/>
      <c r="AA104" s="12"/>
      <c r="AB104" s="12"/>
      <c r="AC104" s="12"/>
      <c r="AD104" s="15"/>
      <c r="AE104" s="12"/>
      <c r="AF104" s="13"/>
      <c r="AG104" s="12"/>
      <c r="AH104" s="12"/>
      <c r="AI104" s="15"/>
      <c r="AJ104" s="12"/>
      <c r="AK104" s="12"/>
      <c r="AL104" s="12"/>
      <c r="AM104" s="12"/>
      <c r="AN104" s="12"/>
      <c r="AO104" s="12"/>
      <c r="AP104" s="12"/>
      <c r="AQ104" s="15"/>
      <c r="AR104" s="12"/>
      <c r="AS104" s="12"/>
      <c r="AT104" s="12"/>
      <c r="AU104" s="12"/>
      <c r="AV104" s="12"/>
      <c r="AW104" s="12"/>
      <c r="AX104" s="13"/>
      <c r="AY104" s="12"/>
      <c r="AZ104" s="12" t="str">
        <f>IF(AND(A104="",B104="",E104="",G104="",I104="",AV104="",AX104=""),"",IF(OR(B104="skip",AV104="skip"),"SKIP",IF(OR(B104="to_candidate",AV104="proposed_name"),IF(OR(A104="",AW104="",AX104="",COUNTIF($A$6:$A$505,A104)&gt;1),"REVIEW","TO_PROPOSED"),IF(OR(B104="",A104="",E104="",G104="",I104="",U104="",AV104="",COUNTIF($A$6:$A$505,A104)&gt;1,(COUNTIFS('أرقام التواصل'!$A$6:$A$505,"client",'أرقام التواصل'!$B$6:$B$505,A104,'أرقام التواصل'!$I$6:$I$505,"TRUE")+COUNTIFS('أرقام التواصل'!$A$6:$A$505,"client",'أرقام التواصل'!$B$6:$B$505,A104,'أرقام التواصل'!$C$6:$C$505,1))=0),"REVIEW","READY"))))</f>
        <v/>
      </c>
      <c r="BA104" s="16" t="str">
        <f>IF(AZ104="","",IF(OR(AZ104="READY",AZ104="TO_PROPOSED"),"",IF(AZ104="SKIP","Skipped by decision",TRIM(IF(B104="","missing import_action; ","")&amp;IF(A104="","missing migration_customer_key; ","")&amp;IF(AND(A104&lt;&gt;"",COUNTIF($A$6:$A$505,A104)&gt;1),"duplicate migration_customer_key; ","")&amp;IF(AND(NOT(OR(B104="to_candidate",AV104="proposed_name")),E104=""),"missing branch_id; ","")&amp;IF(AND(NOT(OR(B104="to_candidate",AV104="proposed_name")),G104=""),"missing first_name; ","")&amp;IF(AND(NOT(OR(B104="to_candidate",AV104="proposed_name")),I104=""),"missing last_name; ","")&amp;IF(AND(NOT(OR(B104="to_candidate",AV104="proposed_name")),U104=""),"missing final_geo_unit_id; ","")&amp;IF(AV104="","missing final_destination; ","")&amp;IF(AND(NOT(OR(B104="to_candidate",AV104="proposed_name")),(COUNTIFS('أرقام التواصل'!$A$6:$A$505,"client",'أرقام التواصل'!$B$6:$B$505,A104,'أرقام التواصل'!$I$6:$I$505,"TRUE")+COUNTIFS('أرقام التواصل'!$A$6:$A$505,"client",'أرقام التواصل'!$B$6:$B$505,A104,'أرقام التواصل'!$C$6:$C$505,1))=0),"missing primary contact in أرقام التواصل; ","")&amp;IF(OR(B104="to_candidate",AV104="proposed_name"),IF(AW104="","missing proposed_move_reason; ","")&amp;IF(AX104="","missing proposed_name_key; ",""),"")))))</f>
        <v/>
      </c>
    </row>
    <row r="105" spans="1:53">
      <c r="A105" s="11"/>
      <c r="B105" s="12"/>
      <c r="C105" s="13"/>
      <c r="D105" s="12"/>
      <c r="E105" s="12"/>
      <c r="F105" s="12"/>
      <c r="G105" s="12"/>
      <c r="H105" s="12"/>
      <c r="I105" s="12"/>
      <c r="J105" s="12"/>
      <c r="K105" s="12" t="str">
        <f t="shared" si="1"/>
        <v/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 t="str">
        <f t="shared" si="2"/>
        <v/>
      </c>
      <c r="V105" s="12"/>
      <c r="W105" s="14"/>
      <c r="X105" s="14"/>
      <c r="Y105" s="13"/>
      <c r="Z105" s="12"/>
      <c r="AA105" s="12"/>
      <c r="AB105" s="12"/>
      <c r="AC105" s="12"/>
      <c r="AD105" s="15"/>
      <c r="AE105" s="12"/>
      <c r="AF105" s="13"/>
      <c r="AG105" s="12"/>
      <c r="AH105" s="12"/>
      <c r="AI105" s="15"/>
      <c r="AJ105" s="12"/>
      <c r="AK105" s="12"/>
      <c r="AL105" s="12"/>
      <c r="AM105" s="12"/>
      <c r="AN105" s="12"/>
      <c r="AO105" s="12"/>
      <c r="AP105" s="12"/>
      <c r="AQ105" s="15"/>
      <c r="AR105" s="12"/>
      <c r="AS105" s="12"/>
      <c r="AT105" s="12"/>
      <c r="AU105" s="12"/>
      <c r="AV105" s="12"/>
      <c r="AW105" s="12"/>
      <c r="AX105" s="13"/>
      <c r="AY105" s="12"/>
      <c r="AZ105" s="12" t="str">
        <f>IF(AND(A105="",B105="",E105="",G105="",I105="",AV105="",AX105=""),"",IF(OR(B105="skip",AV105="skip"),"SKIP",IF(OR(B105="to_candidate",AV105="proposed_name"),IF(OR(A105="",AW105="",AX105="",COUNTIF($A$6:$A$505,A105)&gt;1),"REVIEW","TO_PROPOSED"),IF(OR(B105="",A105="",E105="",G105="",I105="",U105="",AV105="",COUNTIF($A$6:$A$505,A105)&gt;1,(COUNTIFS('أرقام التواصل'!$A$6:$A$505,"client",'أرقام التواصل'!$B$6:$B$505,A105,'أرقام التواصل'!$I$6:$I$505,"TRUE")+COUNTIFS('أرقام التواصل'!$A$6:$A$505,"client",'أرقام التواصل'!$B$6:$B$505,A105,'أرقام التواصل'!$C$6:$C$505,1))=0),"REVIEW","READY"))))</f>
        <v/>
      </c>
      <c r="BA105" s="16" t="str">
        <f>IF(AZ105="","",IF(OR(AZ105="READY",AZ105="TO_PROPOSED"),"",IF(AZ105="SKIP","Skipped by decision",TRIM(IF(B105="","missing import_action; ","")&amp;IF(A105="","missing migration_customer_key; ","")&amp;IF(AND(A105&lt;&gt;"",COUNTIF($A$6:$A$505,A105)&gt;1),"duplicate migration_customer_key; ","")&amp;IF(AND(NOT(OR(B105="to_candidate",AV105="proposed_name")),E105=""),"missing branch_id; ","")&amp;IF(AND(NOT(OR(B105="to_candidate",AV105="proposed_name")),G105=""),"missing first_name; ","")&amp;IF(AND(NOT(OR(B105="to_candidate",AV105="proposed_name")),I105=""),"missing last_name; ","")&amp;IF(AND(NOT(OR(B105="to_candidate",AV105="proposed_name")),U105=""),"missing final_geo_unit_id; ","")&amp;IF(AV105="","missing final_destination; ","")&amp;IF(AND(NOT(OR(B105="to_candidate",AV105="proposed_name")),(COUNTIFS('أرقام التواصل'!$A$6:$A$505,"client",'أرقام التواصل'!$B$6:$B$505,A105,'أرقام التواصل'!$I$6:$I$505,"TRUE")+COUNTIFS('أرقام التواصل'!$A$6:$A$505,"client",'أرقام التواصل'!$B$6:$B$505,A105,'أرقام التواصل'!$C$6:$C$505,1))=0),"missing primary contact in أرقام التواصل; ","")&amp;IF(OR(B105="to_candidate",AV105="proposed_name"),IF(AW105="","missing proposed_move_reason; ","")&amp;IF(AX105="","missing proposed_name_key; ",""),"")))))</f>
        <v/>
      </c>
    </row>
    <row r="106" spans="1:53">
      <c r="A106" s="11"/>
      <c r="B106" s="12"/>
      <c r="C106" s="13"/>
      <c r="D106" s="12"/>
      <c r="E106" s="12"/>
      <c r="F106" s="12"/>
      <c r="G106" s="12"/>
      <c r="H106" s="12"/>
      <c r="I106" s="12"/>
      <c r="J106" s="12"/>
      <c r="K106" s="12" t="str">
        <f t="shared" si="1"/>
        <v/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 t="str">
        <f t="shared" si="2"/>
        <v/>
      </c>
      <c r="V106" s="12"/>
      <c r="W106" s="14"/>
      <c r="X106" s="14"/>
      <c r="Y106" s="13"/>
      <c r="Z106" s="12"/>
      <c r="AA106" s="12"/>
      <c r="AB106" s="12"/>
      <c r="AC106" s="12"/>
      <c r="AD106" s="15"/>
      <c r="AE106" s="12"/>
      <c r="AF106" s="13"/>
      <c r="AG106" s="12"/>
      <c r="AH106" s="12"/>
      <c r="AI106" s="15"/>
      <c r="AJ106" s="12"/>
      <c r="AK106" s="12"/>
      <c r="AL106" s="12"/>
      <c r="AM106" s="12"/>
      <c r="AN106" s="12"/>
      <c r="AO106" s="12"/>
      <c r="AP106" s="12"/>
      <c r="AQ106" s="15"/>
      <c r="AR106" s="12"/>
      <c r="AS106" s="12"/>
      <c r="AT106" s="12"/>
      <c r="AU106" s="12"/>
      <c r="AV106" s="12"/>
      <c r="AW106" s="12"/>
      <c r="AX106" s="13"/>
      <c r="AY106" s="12"/>
      <c r="AZ106" s="12" t="str">
        <f>IF(AND(A106="",B106="",E106="",G106="",I106="",AV106="",AX106=""),"",IF(OR(B106="skip",AV106="skip"),"SKIP",IF(OR(B106="to_candidate",AV106="proposed_name"),IF(OR(A106="",AW106="",AX106="",COUNTIF($A$6:$A$505,A106)&gt;1),"REVIEW","TO_PROPOSED"),IF(OR(B106="",A106="",E106="",G106="",I106="",U106="",AV106="",COUNTIF($A$6:$A$505,A106)&gt;1,(COUNTIFS('أرقام التواصل'!$A$6:$A$505,"client",'أرقام التواصل'!$B$6:$B$505,A106,'أرقام التواصل'!$I$6:$I$505,"TRUE")+COUNTIFS('أرقام التواصل'!$A$6:$A$505,"client",'أرقام التواصل'!$B$6:$B$505,A106,'أرقام التواصل'!$C$6:$C$505,1))=0),"REVIEW","READY"))))</f>
        <v/>
      </c>
      <c r="BA106" s="16" t="str">
        <f>IF(AZ106="","",IF(OR(AZ106="READY",AZ106="TO_PROPOSED"),"",IF(AZ106="SKIP","Skipped by decision",TRIM(IF(B106="","missing import_action; ","")&amp;IF(A106="","missing migration_customer_key; ","")&amp;IF(AND(A106&lt;&gt;"",COUNTIF($A$6:$A$505,A106)&gt;1),"duplicate migration_customer_key; ","")&amp;IF(AND(NOT(OR(B106="to_candidate",AV106="proposed_name")),E106=""),"missing branch_id; ","")&amp;IF(AND(NOT(OR(B106="to_candidate",AV106="proposed_name")),G106=""),"missing first_name; ","")&amp;IF(AND(NOT(OR(B106="to_candidate",AV106="proposed_name")),I106=""),"missing last_name; ","")&amp;IF(AND(NOT(OR(B106="to_candidate",AV106="proposed_name")),U106=""),"missing final_geo_unit_id; ","")&amp;IF(AV106="","missing final_destination; ","")&amp;IF(AND(NOT(OR(B106="to_candidate",AV106="proposed_name")),(COUNTIFS('أرقام التواصل'!$A$6:$A$505,"client",'أرقام التواصل'!$B$6:$B$505,A106,'أرقام التواصل'!$I$6:$I$505,"TRUE")+COUNTIFS('أرقام التواصل'!$A$6:$A$505,"client",'أرقام التواصل'!$B$6:$B$505,A106,'أرقام التواصل'!$C$6:$C$505,1))=0),"missing primary contact in أرقام التواصل; ","")&amp;IF(OR(B106="to_candidate",AV106="proposed_name"),IF(AW106="","missing proposed_move_reason; ","")&amp;IF(AX106="","missing proposed_name_key; ",""),"")))))</f>
        <v/>
      </c>
    </row>
    <row r="107" spans="1:53">
      <c r="A107" s="11"/>
      <c r="B107" s="12"/>
      <c r="C107" s="13"/>
      <c r="D107" s="12"/>
      <c r="E107" s="12"/>
      <c r="F107" s="12"/>
      <c r="G107" s="12"/>
      <c r="H107" s="12"/>
      <c r="I107" s="12"/>
      <c r="J107" s="12"/>
      <c r="K107" s="12" t="str">
        <f t="shared" si="1"/>
        <v/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 t="str">
        <f t="shared" si="2"/>
        <v/>
      </c>
      <c r="V107" s="12"/>
      <c r="W107" s="14"/>
      <c r="X107" s="14"/>
      <c r="Y107" s="13"/>
      <c r="Z107" s="12"/>
      <c r="AA107" s="12"/>
      <c r="AB107" s="12"/>
      <c r="AC107" s="12"/>
      <c r="AD107" s="15"/>
      <c r="AE107" s="12"/>
      <c r="AF107" s="13"/>
      <c r="AG107" s="12"/>
      <c r="AH107" s="12"/>
      <c r="AI107" s="15"/>
      <c r="AJ107" s="12"/>
      <c r="AK107" s="12"/>
      <c r="AL107" s="12"/>
      <c r="AM107" s="12"/>
      <c r="AN107" s="12"/>
      <c r="AO107" s="12"/>
      <c r="AP107" s="12"/>
      <c r="AQ107" s="15"/>
      <c r="AR107" s="12"/>
      <c r="AS107" s="12"/>
      <c r="AT107" s="12"/>
      <c r="AU107" s="12"/>
      <c r="AV107" s="12"/>
      <c r="AW107" s="12"/>
      <c r="AX107" s="13"/>
      <c r="AY107" s="12"/>
      <c r="AZ107" s="12" t="str">
        <f>IF(AND(A107="",B107="",E107="",G107="",I107="",AV107="",AX107=""),"",IF(OR(B107="skip",AV107="skip"),"SKIP",IF(OR(B107="to_candidate",AV107="proposed_name"),IF(OR(A107="",AW107="",AX107="",COUNTIF($A$6:$A$505,A107)&gt;1),"REVIEW","TO_PROPOSED"),IF(OR(B107="",A107="",E107="",G107="",I107="",U107="",AV107="",COUNTIF($A$6:$A$505,A107)&gt;1,(COUNTIFS('أرقام التواصل'!$A$6:$A$505,"client",'أرقام التواصل'!$B$6:$B$505,A107,'أرقام التواصل'!$I$6:$I$505,"TRUE")+COUNTIFS('أرقام التواصل'!$A$6:$A$505,"client",'أرقام التواصل'!$B$6:$B$505,A107,'أرقام التواصل'!$C$6:$C$505,1))=0),"REVIEW","READY"))))</f>
        <v/>
      </c>
      <c r="BA107" s="16" t="str">
        <f>IF(AZ107="","",IF(OR(AZ107="READY",AZ107="TO_PROPOSED"),"",IF(AZ107="SKIP","Skipped by decision",TRIM(IF(B107="","missing import_action; ","")&amp;IF(A107="","missing migration_customer_key; ","")&amp;IF(AND(A107&lt;&gt;"",COUNTIF($A$6:$A$505,A107)&gt;1),"duplicate migration_customer_key; ","")&amp;IF(AND(NOT(OR(B107="to_candidate",AV107="proposed_name")),E107=""),"missing branch_id; ","")&amp;IF(AND(NOT(OR(B107="to_candidate",AV107="proposed_name")),G107=""),"missing first_name; ","")&amp;IF(AND(NOT(OR(B107="to_candidate",AV107="proposed_name")),I107=""),"missing last_name; ","")&amp;IF(AND(NOT(OR(B107="to_candidate",AV107="proposed_name")),U107=""),"missing final_geo_unit_id; ","")&amp;IF(AV107="","missing final_destination; ","")&amp;IF(AND(NOT(OR(B107="to_candidate",AV107="proposed_name")),(COUNTIFS('أرقام التواصل'!$A$6:$A$505,"client",'أرقام التواصل'!$B$6:$B$505,A107,'أرقام التواصل'!$I$6:$I$505,"TRUE")+COUNTIFS('أرقام التواصل'!$A$6:$A$505,"client",'أرقام التواصل'!$B$6:$B$505,A107,'أرقام التواصل'!$C$6:$C$505,1))=0),"missing primary contact in أرقام التواصل; ","")&amp;IF(OR(B107="to_candidate",AV107="proposed_name"),IF(AW107="","missing proposed_move_reason; ","")&amp;IF(AX107="","missing proposed_name_key; ",""),"")))))</f>
        <v/>
      </c>
    </row>
    <row r="108" spans="1:53">
      <c r="A108" s="11"/>
      <c r="B108" s="12"/>
      <c r="C108" s="13"/>
      <c r="D108" s="12"/>
      <c r="E108" s="12"/>
      <c r="F108" s="12"/>
      <c r="G108" s="12"/>
      <c r="H108" s="12"/>
      <c r="I108" s="12"/>
      <c r="J108" s="12"/>
      <c r="K108" s="12" t="str">
        <f t="shared" si="1"/>
        <v/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 t="str">
        <f t="shared" si="2"/>
        <v/>
      </c>
      <c r="V108" s="12"/>
      <c r="W108" s="14"/>
      <c r="X108" s="14"/>
      <c r="Y108" s="13"/>
      <c r="Z108" s="12"/>
      <c r="AA108" s="12"/>
      <c r="AB108" s="12"/>
      <c r="AC108" s="12"/>
      <c r="AD108" s="15"/>
      <c r="AE108" s="12"/>
      <c r="AF108" s="13"/>
      <c r="AG108" s="12"/>
      <c r="AH108" s="12"/>
      <c r="AI108" s="15"/>
      <c r="AJ108" s="12"/>
      <c r="AK108" s="12"/>
      <c r="AL108" s="12"/>
      <c r="AM108" s="12"/>
      <c r="AN108" s="12"/>
      <c r="AO108" s="12"/>
      <c r="AP108" s="12"/>
      <c r="AQ108" s="15"/>
      <c r="AR108" s="12"/>
      <c r="AS108" s="12"/>
      <c r="AT108" s="12"/>
      <c r="AU108" s="12"/>
      <c r="AV108" s="12"/>
      <c r="AW108" s="12"/>
      <c r="AX108" s="13"/>
      <c r="AY108" s="12"/>
      <c r="AZ108" s="12" t="str">
        <f>IF(AND(A108="",B108="",E108="",G108="",I108="",AV108="",AX108=""),"",IF(OR(B108="skip",AV108="skip"),"SKIP",IF(OR(B108="to_candidate",AV108="proposed_name"),IF(OR(A108="",AW108="",AX108="",COUNTIF($A$6:$A$505,A108)&gt;1),"REVIEW","TO_PROPOSED"),IF(OR(B108="",A108="",E108="",G108="",I108="",U108="",AV108="",COUNTIF($A$6:$A$505,A108)&gt;1,(COUNTIFS('أرقام التواصل'!$A$6:$A$505,"client",'أرقام التواصل'!$B$6:$B$505,A108,'أرقام التواصل'!$I$6:$I$505,"TRUE")+COUNTIFS('أرقام التواصل'!$A$6:$A$505,"client",'أرقام التواصل'!$B$6:$B$505,A108,'أرقام التواصل'!$C$6:$C$505,1))=0),"REVIEW","READY"))))</f>
        <v/>
      </c>
      <c r="BA108" s="16" t="str">
        <f>IF(AZ108="","",IF(OR(AZ108="READY",AZ108="TO_PROPOSED"),"",IF(AZ108="SKIP","Skipped by decision",TRIM(IF(B108="","missing import_action; ","")&amp;IF(A108="","missing migration_customer_key; ","")&amp;IF(AND(A108&lt;&gt;"",COUNTIF($A$6:$A$505,A108)&gt;1),"duplicate migration_customer_key; ","")&amp;IF(AND(NOT(OR(B108="to_candidate",AV108="proposed_name")),E108=""),"missing branch_id; ","")&amp;IF(AND(NOT(OR(B108="to_candidate",AV108="proposed_name")),G108=""),"missing first_name; ","")&amp;IF(AND(NOT(OR(B108="to_candidate",AV108="proposed_name")),I108=""),"missing last_name; ","")&amp;IF(AND(NOT(OR(B108="to_candidate",AV108="proposed_name")),U108=""),"missing final_geo_unit_id; ","")&amp;IF(AV108="","missing final_destination; ","")&amp;IF(AND(NOT(OR(B108="to_candidate",AV108="proposed_name")),(COUNTIFS('أرقام التواصل'!$A$6:$A$505,"client",'أرقام التواصل'!$B$6:$B$505,A108,'أرقام التواصل'!$I$6:$I$505,"TRUE")+COUNTIFS('أرقام التواصل'!$A$6:$A$505,"client",'أرقام التواصل'!$B$6:$B$505,A108,'أرقام التواصل'!$C$6:$C$505,1))=0),"missing primary contact in أرقام التواصل; ","")&amp;IF(OR(B108="to_candidate",AV108="proposed_name"),IF(AW108="","missing proposed_move_reason; ","")&amp;IF(AX108="","missing proposed_name_key; ",""),"")))))</f>
        <v/>
      </c>
    </row>
    <row r="109" spans="1:53">
      <c r="A109" s="11"/>
      <c r="B109" s="12"/>
      <c r="C109" s="13"/>
      <c r="D109" s="12"/>
      <c r="E109" s="12"/>
      <c r="F109" s="12"/>
      <c r="G109" s="12"/>
      <c r="H109" s="12"/>
      <c r="I109" s="12"/>
      <c r="J109" s="12"/>
      <c r="K109" s="12" t="str">
        <f t="shared" si="1"/>
        <v/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 t="str">
        <f t="shared" si="2"/>
        <v/>
      </c>
      <c r="V109" s="12"/>
      <c r="W109" s="14"/>
      <c r="X109" s="14"/>
      <c r="Y109" s="13"/>
      <c r="Z109" s="12"/>
      <c r="AA109" s="12"/>
      <c r="AB109" s="12"/>
      <c r="AC109" s="12"/>
      <c r="AD109" s="15"/>
      <c r="AE109" s="12"/>
      <c r="AF109" s="13"/>
      <c r="AG109" s="12"/>
      <c r="AH109" s="12"/>
      <c r="AI109" s="15"/>
      <c r="AJ109" s="12"/>
      <c r="AK109" s="12"/>
      <c r="AL109" s="12"/>
      <c r="AM109" s="12"/>
      <c r="AN109" s="12"/>
      <c r="AO109" s="12"/>
      <c r="AP109" s="12"/>
      <c r="AQ109" s="15"/>
      <c r="AR109" s="12"/>
      <c r="AS109" s="12"/>
      <c r="AT109" s="12"/>
      <c r="AU109" s="12"/>
      <c r="AV109" s="12"/>
      <c r="AW109" s="12"/>
      <c r="AX109" s="13"/>
      <c r="AY109" s="12"/>
      <c r="AZ109" s="12" t="str">
        <f>IF(AND(A109="",B109="",E109="",G109="",I109="",AV109="",AX109=""),"",IF(OR(B109="skip",AV109="skip"),"SKIP",IF(OR(B109="to_candidate",AV109="proposed_name"),IF(OR(A109="",AW109="",AX109="",COUNTIF($A$6:$A$505,A109)&gt;1),"REVIEW","TO_PROPOSED"),IF(OR(B109="",A109="",E109="",G109="",I109="",U109="",AV109="",COUNTIF($A$6:$A$505,A109)&gt;1,(COUNTIFS('أرقام التواصل'!$A$6:$A$505,"client",'أرقام التواصل'!$B$6:$B$505,A109,'أرقام التواصل'!$I$6:$I$505,"TRUE")+COUNTIFS('أرقام التواصل'!$A$6:$A$505,"client",'أرقام التواصل'!$B$6:$B$505,A109,'أرقام التواصل'!$C$6:$C$505,1))=0),"REVIEW","READY"))))</f>
        <v/>
      </c>
      <c r="BA109" s="16" t="str">
        <f>IF(AZ109="","",IF(OR(AZ109="READY",AZ109="TO_PROPOSED"),"",IF(AZ109="SKIP","Skipped by decision",TRIM(IF(B109="","missing import_action; ","")&amp;IF(A109="","missing migration_customer_key; ","")&amp;IF(AND(A109&lt;&gt;"",COUNTIF($A$6:$A$505,A109)&gt;1),"duplicate migration_customer_key; ","")&amp;IF(AND(NOT(OR(B109="to_candidate",AV109="proposed_name")),E109=""),"missing branch_id; ","")&amp;IF(AND(NOT(OR(B109="to_candidate",AV109="proposed_name")),G109=""),"missing first_name; ","")&amp;IF(AND(NOT(OR(B109="to_candidate",AV109="proposed_name")),I109=""),"missing last_name; ","")&amp;IF(AND(NOT(OR(B109="to_candidate",AV109="proposed_name")),U109=""),"missing final_geo_unit_id; ","")&amp;IF(AV109="","missing final_destination; ","")&amp;IF(AND(NOT(OR(B109="to_candidate",AV109="proposed_name")),(COUNTIFS('أرقام التواصل'!$A$6:$A$505,"client",'أرقام التواصل'!$B$6:$B$505,A109,'أرقام التواصل'!$I$6:$I$505,"TRUE")+COUNTIFS('أرقام التواصل'!$A$6:$A$505,"client",'أرقام التواصل'!$B$6:$B$505,A109,'أرقام التواصل'!$C$6:$C$505,1))=0),"missing primary contact in أرقام التواصل; ","")&amp;IF(OR(B109="to_candidate",AV109="proposed_name"),IF(AW109="","missing proposed_move_reason; ","")&amp;IF(AX109="","missing proposed_name_key; ",""),"")))))</f>
        <v/>
      </c>
    </row>
    <row r="110" spans="1:53">
      <c r="A110" s="11"/>
      <c r="B110" s="12"/>
      <c r="C110" s="13"/>
      <c r="D110" s="12"/>
      <c r="E110" s="12"/>
      <c r="F110" s="12"/>
      <c r="G110" s="12"/>
      <c r="H110" s="12"/>
      <c r="I110" s="12"/>
      <c r="J110" s="12"/>
      <c r="K110" s="12" t="str">
        <f t="shared" si="1"/>
        <v/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 t="str">
        <f t="shared" si="2"/>
        <v/>
      </c>
      <c r="V110" s="12"/>
      <c r="W110" s="14"/>
      <c r="X110" s="14"/>
      <c r="Y110" s="13"/>
      <c r="Z110" s="12"/>
      <c r="AA110" s="12"/>
      <c r="AB110" s="12"/>
      <c r="AC110" s="12"/>
      <c r="AD110" s="15"/>
      <c r="AE110" s="12"/>
      <c r="AF110" s="13"/>
      <c r="AG110" s="12"/>
      <c r="AH110" s="12"/>
      <c r="AI110" s="15"/>
      <c r="AJ110" s="12"/>
      <c r="AK110" s="12"/>
      <c r="AL110" s="12"/>
      <c r="AM110" s="12"/>
      <c r="AN110" s="12"/>
      <c r="AO110" s="12"/>
      <c r="AP110" s="12"/>
      <c r="AQ110" s="15"/>
      <c r="AR110" s="12"/>
      <c r="AS110" s="12"/>
      <c r="AT110" s="12"/>
      <c r="AU110" s="12"/>
      <c r="AV110" s="12"/>
      <c r="AW110" s="12"/>
      <c r="AX110" s="13"/>
      <c r="AY110" s="12"/>
      <c r="AZ110" s="12" t="str">
        <f>IF(AND(A110="",B110="",E110="",G110="",I110="",AV110="",AX110=""),"",IF(OR(B110="skip",AV110="skip"),"SKIP",IF(OR(B110="to_candidate",AV110="proposed_name"),IF(OR(A110="",AW110="",AX110="",COUNTIF($A$6:$A$505,A110)&gt;1),"REVIEW","TO_PROPOSED"),IF(OR(B110="",A110="",E110="",G110="",I110="",U110="",AV110="",COUNTIF($A$6:$A$505,A110)&gt;1,(COUNTIFS('أرقام التواصل'!$A$6:$A$505,"client",'أرقام التواصل'!$B$6:$B$505,A110,'أرقام التواصل'!$I$6:$I$505,"TRUE")+COUNTIFS('أرقام التواصل'!$A$6:$A$505,"client",'أرقام التواصل'!$B$6:$B$505,A110,'أرقام التواصل'!$C$6:$C$505,1))=0),"REVIEW","READY"))))</f>
        <v/>
      </c>
      <c r="BA110" s="16" t="str">
        <f>IF(AZ110="","",IF(OR(AZ110="READY",AZ110="TO_PROPOSED"),"",IF(AZ110="SKIP","Skipped by decision",TRIM(IF(B110="","missing import_action; ","")&amp;IF(A110="","missing migration_customer_key; ","")&amp;IF(AND(A110&lt;&gt;"",COUNTIF($A$6:$A$505,A110)&gt;1),"duplicate migration_customer_key; ","")&amp;IF(AND(NOT(OR(B110="to_candidate",AV110="proposed_name")),E110=""),"missing branch_id; ","")&amp;IF(AND(NOT(OR(B110="to_candidate",AV110="proposed_name")),G110=""),"missing first_name; ","")&amp;IF(AND(NOT(OR(B110="to_candidate",AV110="proposed_name")),I110=""),"missing last_name; ","")&amp;IF(AND(NOT(OR(B110="to_candidate",AV110="proposed_name")),U110=""),"missing final_geo_unit_id; ","")&amp;IF(AV110="","missing final_destination; ","")&amp;IF(AND(NOT(OR(B110="to_candidate",AV110="proposed_name")),(COUNTIFS('أرقام التواصل'!$A$6:$A$505,"client",'أرقام التواصل'!$B$6:$B$505,A110,'أرقام التواصل'!$I$6:$I$505,"TRUE")+COUNTIFS('أرقام التواصل'!$A$6:$A$505,"client",'أرقام التواصل'!$B$6:$B$505,A110,'أرقام التواصل'!$C$6:$C$505,1))=0),"missing primary contact in أرقام التواصل; ","")&amp;IF(OR(B110="to_candidate",AV110="proposed_name"),IF(AW110="","missing proposed_move_reason; ","")&amp;IF(AX110="","missing proposed_name_key; ",""),"")))))</f>
        <v/>
      </c>
    </row>
    <row r="111" spans="1:53">
      <c r="A111" s="11"/>
      <c r="B111" s="12"/>
      <c r="C111" s="13"/>
      <c r="D111" s="12"/>
      <c r="E111" s="12"/>
      <c r="F111" s="12"/>
      <c r="G111" s="12"/>
      <c r="H111" s="12"/>
      <c r="I111" s="12"/>
      <c r="J111" s="12"/>
      <c r="K111" s="12" t="str">
        <f t="shared" si="1"/>
        <v/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 t="str">
        <f t="shared" si="2"/>
        <v/>
      </c>
      <c r="V111" s="12"/>
      <c r="W111" s="14"/>
      <c r="X111" s="14"/>
      <c r="Y111" s="13"/>
      <c r="Z111" s="12"/>
      <c r="AA111" s="12"/>
      <c r="AB111" s="12"/>
      <c r="AC111" s="12"/>
      <c r="AD111" s="15"/>
      <c r="AE111" s="12"/>
      <c r="AF111" s="13"/>
      <c r="AG111" s="12"/>
      <c r="AH111" s="12"/>
      <c r="AI111" s="15"/>
      <c r="AJ111" s="12"/>
      <c r="AK111" s="12"/>
      <c r="AL111" s="12"/>
      <c r="AM111" s="12"/>
      <c r="AN111" s="12"/>
      <c r="AO111" s="12"/>
      <c r="AP111" s="12"/>
      <c r="AQ111" s="15"/>
      <c r="AR111" s="12"/>
      <c r="AS111" s="12"/>
      <c r="AT111" s="12"/>
      <c r="AU111" s="12"/>
      <c r="AV111" s="12"/>
      <c r="AW111" s="12"/>
      <c r="AX111" s="13"/>
      <c r="AY111" s="12"/>
      <c r="AZ111" s="12" t="str">
        <f>IF(AND(A111="",B111="",E111="",G111="",I111="",AV111="",AX111=""),"",IF(OR(B111="skip",AV111="skip"),"SKIP",IF(OR(B111="to_candidate",AV111="proposed_name"),IF(OR(A111="",AW111="",AX111="",COUNTIF($A$6:$A$505,A111)&gt;1),"REVIEW","TO_PROPOSED"),IF(OR(B111="",A111="",E111="",G111="",I111="",U111="",AV111="",COUNTIF($A$6:$A$505,A111)&gt;1,(COUNTIFS('أرقام التواصل'!$A$6:$A$505,"client",'أرقام التواصل'!$B$6:$B$505,A111,'أرقام التواصل'!$I$6:$I$505,"TRUE")+COUNTIFS('أرقام التواصل'!$A$6:$A$505,"client",'أرقام التواصل'!$B$6:$B$505,A111,'أرقام التواصل'!$C$6:$C$505,1))=0),"REVIEW","READY"))))</f>
        <v/>
      </c>
      <c r="BA111" s="16" t="str">
        <f>IF(AZ111="","",IF(OR(AZ111="READY",AZ111="TO_PROPOSED"),"",IF(AZ111="SKIP","Skipped by decision",TRIM(IF(B111="","missing import_action; ","")&amp;IF(A111="","missing migration_customer_key; ","")&amp;IF(AND(A111&lt;&gt;"",COUNTIF($A$6:$A$505,A111)&gt;1),"duplicate migration_customer_key; ","")&amp;IF(AND(NOT(OR(B111="to_candidate",AV111="proposed_name")),E111=""),"missing branch_id; ","")&amp;IF(AND(NOT(OR(B111="to_candidate",AV111="proposed_name")),G111=""),"missing first_name; ","")&amp;IF(AND(NOT(OR(B111="to_candidate",AV111="proposed_name")),I111=""),"missing last_name; ","")&amp;IF(AND(NOT(OR(B111="to_candidate",AV111="proposed_name")),U111=""),"missing final_geo_unit_id; ","")&amp;IF(AV111="","missing final_destination; ","")&amp;IF(AND(NOT(OR(B111="to_candidate",AV111="proposed_name")),(COUNTIFS('أرقام التواصل'!$A$6:$A$505,"client",'أرقام التواصل'!$B$6:$B$505,A111,'أرقام التواصل'!$I$6:$I$505,"TRUE")+COUNTIFS('أرقام التواصل'!$A$6:$A$505,"client",'أرقام التواصل'!$B$6:$B$505,A111,'أرقام التواصل'!$C$6:$C$505,1))=0),"missing primary contact in أرقام التواصل; ","")&amp;IF(OR(B111="to_candidate",AV111="proposed_name"),IF(AW111="","missing proposed_move_reason; ","")&amp;IF(AX111="","missing proposed_name_key; ",""),"")))))</f>
        <v/>
      </c>
    </row>
    <row r="112" spans="1:53">
      <c r="A112" s="11"/>
      <c r="B112" s="12"/>
      <c r="C112" s="13"/>
      <c r="D112" s="12"/>
      <c r="E112" s="12"/>
      <c r="F112" s="12"/>
      <c r="G112" s="12"/>
      <c r="H112" s="12"/>
      <c r="I112" s="12"/>
      <c r="J112" s="12"/>
      <c r="K112" s="12" t="str">
        <f t="shared" si="1"/>
        <v/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 t="str">
        <f t="shared" si="2"/>
        <v/>
      </c>
      <c r="V112" s="12"/>
      <c r="W112" s="14"/>
      <c r="X112" s="14"/>
      <c r="Y112" s="13"/>
      <c r="Z112" s="12"/>
      <c r="AA112" s="12"/>
      <c r="AB112" s="12"/>
      <c r="AC112" s="12"/>
      <c r="AD112" s="15"/>
      <c r="AE112" s="12"/>
      <c r="AF112" s="13"/>
      <c r="AG112" s="12"/>
      <c r="AH112" s="12"/>
      <c r="AI112" s="15"/>
      <c r="AJ112" s="12"/>
      <c r="AK112" s="12"/>
      <c r="AL112" s="12"/>
      <c r="AM112" s="12"/>
      <c r="AN112" s="12"/>
      <c r="AO112" s="12"/>
      <c r="AP112" s="12"/>
      <c r="AQ112" s="15"/>
      <c r="AR112" s="12"/>
      <c r="AS112" s="12"/>
      <c r="AT112" s="12"/>
      <c r="AU112" s="12"/>
      <c r="AV112" s="12"/>
      <c r="AW112" s="12"/>
      <c r="AX112" s="13"/>
      <c r="AY112" s="12"/>
      <c r="AZ112" s="12" t="str">
        <f>IF(AND(A112="",B112="",E112="",G112="",I112="",AV112="",AX112=""),"",IF(OR(B112="skip",AV112="skip"),"SKIP",IF(OR(B112="to_candidate",AV112="proposed_name"),IF(OR(A112="",AW112="",AX112="",COUNTIF($A$6:$A$505,A112)&gt;1),"REVIEW","TO_PROPOSED"),IF(OR(B112="",A112="",E112="",G112="",I112="",U112="",AV112="",COUNTIF($A$6:$A$505,A112)&gt;1,(COUNTIFS('أرقام التواصل'!$A$6:$A$505,"client",'أرقام التواصل'!$B$6:$B$505,A112,'أرقام التواصل'!$I$6:$I$505,"TRUE")+COUNTIFS('أرقام التواصل'!$A$6:$A$505,"client",'أرقام التواصل'!$B$6:$B$505,A112,'أرقام التواصل'!$C$6:$C$505,1))=0),"REVIEW","READY"))))</f>
        <v/>
      </c>
      <c r="BA112" s="16" t="str">
        <f>IF(AZ112="","",IF(OR(AZ112="READY",AZ112="TO_PROPOSED"),"",IF(AZ112="SKIP","Skipped by decision",TRIM(IF(B112="","missing import_action; ","")&amp;IF(A112="","missing migration_customer_key; ","")&amp;IF(AND(A112&lt;&gt;"",COUNTIF($A$6:$A$505,A112)&gt;1),"duplicate migration_customer_key; ","")&amp;IF(AND(NOT(OR(B112="to_candidate",AV112="proposed_name")),E112=""),"missing branch_id; ","")&amp;IF(AND(NOT(OR(B112="to_candidate",AV112="proposed_name")),G112=""),"missing first_name; ","")&amp;IF(AND(NOT(OR(B112="to_candidate",AV112="proposed_name")),I112=""),"missing last_name; ","")&amp;IF(AND(NOT(OR(B112="to_candidate",AV112="proposed_name")),U112=""),"missing final_geo_unit_id; ","")&amp;IF(AV112="","missing final_destination; ","")&amp;IF(AND(NOT(OR(B112="to_candidate",AV112="proposed_name")),(COUNTIFS('أرقام التواصل'!$A$6:$A$505,"client",'أرقام التواصل'!$B$6:$B$505,A112,'أرقام التواصل'!$I$6:$I$505,"TRUE")+COUNTIFS('أرقام التواصل'!$A$6:$A$505,"client",'أرقام التواصل'!$B$6:$B$505,A112,'أرقام التواصل'!$C$6:$C$505,1))=0),"missing primary contact in أرقام التواصل; ","")&amp;IF(OR(B112="to_candidate",AV112="proposed_name"),IF(AW112="","missing proposed_move_reason; ","")&amp;IF(AX112="","missing proposed_name_key; ",""),"")))))</f>
        <v/>
      </c>
    </row>
    <row r="113" spans="1:53">
      <c r="A113" s="11"/>
      <c r="B113" s="12"/>
      <c r="C113" s="13"/>
      <c r="D113" s="12"/>
      <c r="E113" s="12"/>
      <c r="F113" s="12"/>
      <c r="G113" s="12"/>
      <c r="H113" s="12"/>
      <c r="I113" s="12"/>
      <c r="J113" s="12"/>
      <c r="K113" s="12" t="str">
        <f t="shared" si="1"/>
        <v/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 t="str">
        <f t="shared" si="2"/>
        <v/>
      </c>
      <c r="V113" s="12"/>
      <c r="W113" s="14"/>
      <c r="X113" s="14"/>
      <c r="Y113" s="13"/>
      <c r="Z113" s="12"/>
      <c r="AA113" s="12"/>
      <c r="AB113" s="12"/>
      <c r="AC113" s="12"/>
      <c r="AD113" s="15"/>
      <c r="AE113" s="12"/>
      <c r="AF113" s="13"/>
      <c r="AG113" s="12"/>
      <c r="AH113" s="12"/>
      <c r="AI113" s="15"/>
      <c r="AJ113" s="12"/>
      <c r="AK113" s="12"/>
      <c r="AL113" s="12"/>
      <c r="AM113" s="12"/>
      <c r="AN113" s="12"/>
      <c r="AO113" s="12"/>
      <c r="AP113" s="12"/>
      <c r="AQ113" s="15"/>
      <c r="AR113" s="12"/>
      <c r="AS113" s="12"/>
      <c r="AT113" s="12"/>
      <c r="AU113" s="12"/>
      <c r="AV113" s="12"/>
      <c r="AW113" s="12"/>
      <c r="AX113" s="13"/>
      <c r="AY113" s="12"/>
      <c r="AZ113" s="12" t="str">
        <f>IF(AND(A113="",B113="",E113="",G113="",I113="",AV113="",AX113=""),"",IF(OR(B113="skip",AV113="skip"),"SKIP",IF(OR(B113="to_candidate",AV113="proposed_name"),IF(OR(A113="",AW113="",AX113="",COUNTIF($A$6:$A$505,A113)&gt;1),"REVIEW","TO_PROPOSED"),IF(OR(B113="",A113="",E113="",G113="",I113="",U113="",AV113="",COUNTIF($A$6:$A$505,A113)&gt;1,(COUNTIFS('أرقام التواصل'!$A$6:$A$505,"client",'أرقام التواصل'!$B$6:$B$505,A113,'أرقام التواصل'!$I$6:$I$505,"TRUE")+COUNTIFS('أرقام التواصل'!$A$6:$A$505,"client",'أرقام التواصل'!$B$6:$B$505,A113,'أرقام التواصل'!$C$6:$C$505,1))=0),"REVIEW","READY"))))</f>
        <v/>
      </c>
      <c r="BA113" s="16" t="str">
        <f>IF(AZ113="","",IF(OR(AZ113="READY",AZ113="TO_PROPOSED"),"",IF(AZ113="SKIP","Skipped by decision",TRIM(IF(B113="","missing import_action; ","")&amp;IF(A113="","missing migration_customer_key; ","")&amp;IF(AND(A113&lt;&gt;"",COUNTIF($A$6:$A$505,A113)&gt;1),"duplicate migration_customer_key; ","")&amp;IF(AND(NOT(OR(B113="to_candidate",AV113="proposed_name")),E113=""),"missing branch_id; ","")&amp;IF(AND(NOT(OR(B113="to_candidate",AV113="proposed_name")),G113=""),"missing first_name; ","")&amp;IF(AND(NOT(OR(B113="to_candidate",AV113="proposed_name")),I113=""),"missing last_name; ","")&amp;IF(AND(NOT(OR(B113="to_candidate",AV113="proposed_name")),U113=""),"missing final_geo_unit_id; ","")&amp;IF(AV113="","missing final_destination; ","")&amp;IF(AND(NOT(OR(B113="to_candidate",AV113="proposed_name")),(COUNTIFS('أرقام التواصل'!$A$6:$A$505,"client",'أرقام التواصل'!$B$6:$B$505,A113,'أرقام التواصل'!$I$6:$I$505,"TRUE")+COUNTIFS('أرقام التواصل'!$A$6:$A$505,"client",'أرقام التواصل'!$B$6:$B$505,A113,'أرقام التواصل'!$C$6:$C$505,1))=0),"missing primary contact in أرقام التواصل; ","")&amp;IF(OR(B113="to_candidate",AV113="proposed_name"),IF(AW113="","missing proposed_move_reason; ","")&amp;IF(AX113="","missing proposed_name_key; ",""),"")))))</f>
        <v/>
      </c>
    </row>
    <row r="114" spans="1:53">
      <c r="A114" s="11"/>
      <c r="B114" s="12"/>
      <c r="C114" s="13"/>
      <c r="D114" s="12"/>
      <c r="E114" s="12"/>
      <c r="F114" s="12"/>
      <c r="G114" s="12"/>
      <c r="H114" s="12"/>
      <c r="I114" s="12"/>
      <c r="J114" s="12"/>
      <c r="K114" s="12" t="str">
        <f t="shared" si="1"/>
        <v/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 t="str">
        <f t="shared" si="2"/>
        <v/>
      </c>
      <c r="V114" s="12"/>
      <c r="W114" s="14"/>
      <c r="X114" s="14"/>
      <c r="Y114" s="13"/>
      <c r="Z114" s="12"/>
      <c r="AA114" s="12"/>
      <c r="AB114" s="12"/>
      <c r="AC114" s="12"/>
      <c r="AD114" s="15"/>
      <c r="AE114" s="12"/>
      <c r="AF114" s="13"/>
      <c r="AG114" s="12"/>
      <c r="AH114" s="12"/>
      <c r="AI114" s="15"/>
      <c r="AJ114" s="12"/>
      <c r="AK114" s="12"/>
      <c r="AL114" s="12"/>
      <c r="AM114" s="12"/>
      <c r="AN114" s="12"/>
      <c r="AO114" s="12"/>
      <c r="AP114" s="12"/>
      <c r="AQ114" s="15"/>
      <c r="AR114" s="12"/>
      <c r="AS114" s="12"/>
      <c r="AT114" s="12"/>
      <c r="AU114" s="12"/>
      <c r="AV114" s="12"/>
      <c r="AW114" s="12"/>
      <c r="AX114" s="13"/>
      <c r="AY114" s="12"/>
      <c r="AZ114" s="12" t="str">
        <f>IF(AND(A114="",B114="",E114="",G114="",I114="",AV114="",AX114=""),"",IF(OR(B114="skip",AV114="skip"),"SKIP",IF(OR(B114="to_candidate",AV114="proposed_name"),IF(OR(A114="",AW114="",AX114="",COUNTIF($A$6:$A$505,A114)&gt;1),"REVIEW","TO_PROPOSED"),IF(OR(B114="",A114="",E114="",G114="",I114="",U114="",AV114="",COUNTIF($A$6:$A$505,A114)&gt;1,(COUNTIFS('أرقام التواصل'!$A$6:$A$505,"client",'أرقام التواصل'!$B$6:$B$505,A114,'أرقام التواصل'!$I$6:$I$505,"TRUE")+COUNTIFS('أرقام التواصل'!$A$6:$A$505,"client",'أرقام التواصل'!$B$6:$B$505,A114,'أرقام التواصل'!$C$6:$C$505,1))=0),"REVIEW","READY"))))</f>
        <v/>
      </c>
      <c r="BA114" s="16" t="str">
        <f>IF(AZ114="","",IF(OR(AZ114="READY",AZ114="TO_PROPOSED"),"",IF(AZ114="SKIP","Skipped by decision",TRIM(IF(B114="","missing import_action; ","")&amp;IF(A114="","missing migration_customer_key; ","")&amp;IF(AND(A114&lt;&gt;"",COUNTIF($A$6:$A$505,A114)&gt;1),"duplicate migration_customer_key; ","")&amp;IF(AND(NOT(OR(B114="to_candidate",AV114="proposed_name")),E114=""),"missing branch_id; ","")&amp;IF(AND(NOT(OR(B114="to_candidate",AV114="proposed_name")),G114=""),"missing first_name; ","")&amp;IF(AND(NOT(OR(B114="to_candidate",AV114="proposed_name")),I114=""),"missing last_name; ","")&amp;IF(AND(NOT(OR(B114="to_candidate",AV114="proposed_name")),U114=""),"missing final_geo_unit_id; ","")&amp;IF(AV114="","missing final_destination; ","")&amp;IF(AND(NOT(OR(B114="to_candidate",AV114="proposed_name")),(COUNTIFS('أرقام التواصل'!$A$6:$A$505,"client",'أرقام التواصل'!$B$6:$B$505,A114,'أرقام التواصل'!$I$6:$I$505,"TRUE")+COUNTIFS('أرقام التواصل'!$A$6:$A$505,"client",'أرقام التواصل'!$B$6:$B$505,A114,'أرقام التواصل'!$C$6:$C$505,1))=0),"missing primary contact in أرقام التواصل; ","")&amp;IF(OR(B114="to_candidate",AV114="proposed_name"),IF(AW114="","missing proposed_move_reason; ","")&amp;IF(AX114="","missing proposed_name_key; ",""),"")))))</f>
        <v/>
      </c>
    </row>
    <row r="115" spans="1:53">
      <c r="A115" s="11"/>
      <c r="B115" s="12"/>
      <c r="C115" s="13"/>
      <c r="D115" s="12"/>
      <c r="E115" s="12"/>
      <c r="F115" s="12"/>
      <c r="G115" s="12"/>
      <c r="H115" s="12"/>
      <c r="I115" s="12"/>
      <c r="J115" s="12"/>
      <c r="K115" s="12" t="str">
        <f t="shared" si="1"/>
        <v/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 t="str">
        <f t="shared" si="2"/>
        <v/>
      </c>
      <c r="V115" s="12"/>
      <c r="W115" s="14"/>
      <c r="X115" s="14"/>
      <c r="Y115" s="13"/>
      <c r="Z115" s="12"/>
      <c r="AA115" s="12"/>
      <c r="AB115" s="12"/>
      <c r="AC115" s="12"/>
      <c r="AD115" s="15"/>
      <c r="AE115" s="12"/>
      <c r="AF115" s="13"/>
      <c r="AG115" s="12"/>
      <c r="AH115" s="12"/>
      <c r="AI115" s="15"/>
      <c r="AJ115" s="12"/>
      <c r="AK115" s="12"/>
      <c r="AL115" s="12"/>
      <c r="AM115" s="12"/>
      <c r="AN115" s="12"/>
      <c r="AO115" s="12"/>
      <c r="AP115" s="12"/>
      <c r="AQ115" s="15"/>
      <c r="AR115" s="12"/>
      <c r="AS115" s="12"/>
      <c r="AT115" s="12"/>
      <c r="AU115" s="12"/>
      <c r="AV115" s="12"/>
      <c r="AW115" s="12"/>
      <c r="AX115" s="13"/>
      <c r="AY115" s="12"/>
      <c r="AZ115" s="12" t="str">
        <f>IF(AND(A115="",B115="",E115="",G115="",I115="",AV115="",AX115=""),"",IF(OR(B115="skip",AV115="skip"),"SKIP",IF(OR(B115="to_candidate",AV115="proposed_name"),IF(OR(A115="",AW115="",AX115="",COUNTIF($A$6:$A$505,A115)&gt;1),"REVIEW","TO_PROPOSED"),IF(OR(B115="",A115="",E115="",G115="",I115="",U115="",AV115="",COUNTIF($A$6:$A$505,A115)&gt;1,(COUNTIFS('أرقام التواصل'!$A$6:$A$505,"client",'أرقام التواصل'!$B$6:$B$505,A115,'أرقام التواصل'!$I$6:$I$505,"TRUE")+COUNTIFS('أرقام التواصل'!$A$6:$A$505,"client",'أرقام التواصل'!$B$6:$B$505,A115,'أرقام التواصل'!$C$6:$C$505,1))=0),"REVIEW","READY"))))</f>
        <v/>
      </c>
      <c r="BA115" s="16" t="str">
        <f>IF(AZ115="","",IF(OR(AZ115="READY",AZ115="TO_PROPOSED"),"",IF(AZ115="SKIP","Skipped by decision",TRIM(IF(B115="","missing import_action; ","")&amp;IF(A115="","missing migration_customer_key; ","")&amp;IF(AND(A115&lt;&gt;"",COUNTIF($A$6:$A$505,A115)&gt;1),"duplicate migration_customer_key; ","")&amp;IF(AND(NOT(OR(B115="to_candidate",AV115="proposed_name")),E115=""),"missing branch_id; ","")&amp;IF(AND(NOT(OR(B115="to_candidate",AV115="proposed_name")),G115=""),"missing first_name; ","")&amp;IF(AND(NOT(OR(B115="to_candidate",AV115="proposed_name")),I115=""),"missing last_name; ","")&amp;IF(AND(NOT(OR(B115="to_candidate",AV115="proposed_name")),U115=""),"missing final_geo_unit_id; ","")&amp;IF(AV115="","missing final_destination; ","")&amp;IF(AND(NOT(OR(B115="to_candidate",AV115="proposed_name")),(COUNTIFS('أرقام التواصل'!$A$6:$A$505,"client",'أرقام التواصل'!$B$6:$B$505,A115,'أرقام التواصل'!$I$6:$I$505,"TRUE")+COUNTIFS('أرقام التواصل'!$A$6:$A$505,"client",'أرقام التواصل'!$B$6:$B$505,A115,'أرقام التواصل'!$C$6:$C$505,1))=0),"missing primary contact in أرقام التواصل; ","")&amp;IF(OR(B115="to_candidate",AV115="proposed_name"),IF(AW115="","missing proposed_move_reason; ","")&amp;IF(AX115="","missing proposed_name_key; ",""),"")))))</f>
        <v/>
      </c>
    </row>
    <row r="116" spans="1:53">
      <c r="A116" s="11"/>
      <c r="B116" s="12"/>
      <c r="C116" s="13"/>
      <c r="D116" s="12"/>
      <c r="E116" s="12"/>
      <c r="F116" s="12"/>
      <c r="G116" s="12"/>
      <c r="H116" s="12"/>
      <c r="I116" s="12"/>
      <c r="J116" s="12"/>
      <c r="K116" s="12" t="str">
        <f t="shared" si="1"/>
        <v/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 t="str">
        <f t="shared" si="2"/>
        <v/>
      </c>
      <c r="V116" s="12"/>
      <c r="W116" s="14"/>
      <c r="X116" s="14"/>
      <c r="Y116" s="13"/>
      <c r="Z116" s="12"/>
      <c r="AA116" s="12"/>
      <c r="AB116" s="12"/>
      <c r="AC116" s="12"/>
      <c r="AD116" s="15"/>
      <c r="AE116" s="12"/>
      <c r="AF116" s="13"/>
      <c r="AG116" s="12"/>
      <c r="AH116" s="12"/>
      <c r="AI116" s="15"/>
      <c r="AJ116" s="12"/>
      <c r="AK116" s="12"/>
      <c r="AL116" s="12"/>
      <c r="AM116" s="12"/>
      <c r="AN116" s="12"/>
      <c r="AO116" s="12"/>
      <c r="AP116" s="12"/>
      <c r="AQ116" s="15"/>
      <c r="AR116" s="12"/>
      <c r="AS116" s="12"/>
      <c r="AT116" s="12"/>
      <c r="AU116" s="12"/>
      <c r="AV116" s="12"/>
      <c r="AW116" s="12"/>
      <c r="AX116" s="13"/>
      <c r="AY116" s="12"/>
      <c r="AZ116" s="12" t="str">
        <f>IF(AND(A116="",B116="",E116="",G116="",I116="",AV116="",AX116=""),"",IF(OR(B116="skip",AV116="skip"),"SKIP",IF(OR(B116="to_candidate",AV116="proposed_name"),IF(OR(A116="",AW116="",AX116="",COUNTIF($A$6:$A$505,A116)&gt;1),"REVIEW","TO_PROPOSED"),IF(OR(B116="",A116="",E116="",G116="",I116="",U116="",AV116="",COUNTIF($A$6:$A$505,A116)&gt;1,(COUNTIFS('أرقام التواصل'!$A$6:$A$505,"client",'أرقام التواصل'!$B$6:$B$505,A116,'أرقام التواصل'!$I$6:$I$505,"TRUE")+COUNTIFS('أرقام التواصل'!$A$6:$A$505,"client",'أرقام التواصل'!$B$6:$B$505,A116,'أرقام التواصل'!$C$6:$C$505,1))=0),"REVIEW","READY"))))</f>
        <v/>
      </c>
      <c r="BA116" s="16" t="str">
        <f>IF(AZ116="","",IF(OR(AZ116="READY",AZ116="TO_PROPOSED"),"",IF(AZ116="SKIP","Skipped by decision",TRIM(IF(B116="","missing import_action; ","")&amp;IF(A116="","missing migration_customer_key; ","")&amp;IF(AND(A116&lt;&gt;"",COUNTIF($A$6:$A$505,A116)&gt;1),"duplicate migration_customer_key; ","")&amp;IF(AND(NOT(OR(B116="to_candidate",AV116="proposed_name")),E116=""),"missing branch_id; ","")&amp;IF(AND(NOT(OR(B116="to_candidate",AV116="proposed_name")),G116=""),"missing first_name; ","")&amp;IF(AND(NOT(OR(B116="to_candidate",AV116="proposed_name")),I116=""),"missing last_name; ","")&amp;IF(AND(NOT(OR(B116="to_candidate",AV116="proposed_name")),U116=""),"missing final_geo_unit_id; ","")&amp;IF(AV116="","missing final_destination; ","")&amp;IF(AND(NOT(OR(B116="to_candidate",AV116="proposed_name")),(COUNTIFS('أرقام التواصل'!$A$6:$A$505,"client",'أرقام التواصل'!$B$6:$B$505,A116,'أرقام التواصل'!$I$6:$I$505,"TRUE")+COUNTIFS('أرقام التواصل'!$A$6:$A$505,"client",'أرقام التواصل'!$B$6:$B$505,A116,'أرقام التواصل'!$C$6:$C$505,1))=0),"missing primary contact in أرقام التواصل; ","")&amp;IF(OR(B116="to_candidate",AV116="proposed_name"),IF(AW116="","missing proposed_move_reason; ","")&amp;IF(AX116="","missing proposed_name_key; ",""),"")))))</f>
        <v/>
      </c>
    </row>
    <row r="117" spans="1:53">
      <c r="A117" s="11"/>
      <c r="B117" s="12"/>
      <c r="C117" s="13"/>
      <c r="D117" s="12"/>
      <c r="E117" s="12"/>
      <c r="F117" s="12"/>
      <c r="G117" s="12"/>
      <c r="H117" s="12"/>
      <c r="I117" s="12"/>
      <c r="J117" s="12"/>
      <c r="K117" s="12" t="str">
        <f t="shared" si="1"/>
        <v/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 t="str">
        <f t="shared" si="2"/>
        <v/>
      </c>
      <c r="V117" s="12"/>
      <c r="W117" s="14"/>
      <c r="X117" s="14"/>
      <c r="Y117" s="13"/>
      <c r="Z117" s="12"/>
      <c r="AA117" s="12"/>
      <c r="AB117" s="12"/>
      <c r="AC117" s="12"/>
      <c r="AD117" s="15"/>
      <c r="AE117" s="12"/>
      <c r="AF117" s="13"/>
      <c r="AG117" s="12"/>
      <c r="AH117" s="12"/>
      <c r="AI117" s="15"/>
      <c r="AJ117" s="12"/>
      <c r="AK117" s="12"/>
      <c r="AL117" s="12"/>
      <c r="AM117" s="12"/>
      <c r="AN117" s="12"/>
      <c r="AO117" s="12"/>
      <c r="AP117" s="12"/>
      <c r="AQ117" s="15"/>
      <c r="AR117" s="12"/>
      <c r="AS117" s="12"/>
      <c r="AT117" s="12"/>
      <c r="AU117" s="12"/>
      <c r="AV117" s="12"/>
      <c r="AW117" s="12"/>
      <c r="AX117" s="13"/>
      <c r="AY117" s="12"/>
      <c r="AZ117" s="12" t="str">
        <f>IF(AND(A117="",B117="",E117="",G117="",I117="",AV117="",AX117=""),"",IF(OR(B117="skip",AV117="skip"),"SKIP",IF(OR(B117="to_candidate",AV117="proposed_name"),IF(OR(A117="",AW117="",AX117="",COUNTIF($A$6:$A$505,A117)&gt;1),"REVIEW","TO_PROPOSED"),IF(OR(B117="",A117="",E117="",G117="",I117="",U117="",AV117="",COUNTIF($A$6:$A$505,A117)&gt;1,(COUNTIFS('أرقام التواصل'!$A$6:$A$505,"client",'أرقام التواصل'!$B$6:$B$505,A117,'أرقام التواصل'!$I$6:$I$505,"TRUE")+COUNTIFS('أرقام التواصل'!$A$6:$A$505,"client",'أرقام التواصل'!$B$6:$B$505,A117,'أرقام التواصل'!$C$6:$C$505,1))=0),"REVIEW","READY"))))</f>
        <v/>
      </c>
      <c r="BA117" s="16" t="str">
        <f>IF(AZ117="","",IF(OR(AZ117="READY",AZ117="TO_PROPOSED"),"",IF(AZ117="SKIP","Skipped by decision",TRIM(IF(B117="","missing import_action; ","")&amp;IF(A117="","missing migration_customer_key; ","")&amp;IF(AND(A117&lt;&gt;"",COUNTIF($A$6:$A$505,A117)&gt;1),"duplicate migration_customer_key; ","")&amp;IF(AND(NOT(OR(B117="to_candidate",AV117="proposed_name")),E117=""),"missing branch_id; ","")&amp;IF(AND(NOT(OR(B117="to_candidate",AV117="proposed_name")),G117=""),"missing first_name; ","")&amp;IF(AND(NOT(OR(B117="to_candidate",AV117="proposed_name")),I117=""),"missing last_name; ","")&amp;IF(AND(NOT(OR(B117="to_candidate",AV117="proposed_name")),U117=""),"missing final_geo_unit_id; ","")&amp;IF(AV117="","missing final_destination; ","")&amp;IF(AND(NOT(OR(B117="to_candidate",AV117="proposed_name")),(COUNTIFS('أرقام التواصل'!$A$6:$A$505,"client",'أرقام التواصل'!$B$6:$B$505,A117,'أرقام التواصل'!$I$6:$I$505,"TRUE")+COUNTIFS('أرقام التواصل'!$A$6:$A$505,"client",'أرقام التواصل'!$B$6:$B$505,A117,'أرقام التواصل'!$C$6:$C$505,1))=0),"missing primary contact in أرقام التواصل; ","")&amp;IF(OR(B117="to_candidate",AV117="proposed_name"),IF(AW117="","missing proposed_move_reason; ","")&amp;IF(AX117="","missing proposed_name_key; ",""),"")))))</f>
        <v/>
      </c>
    </row>
    <row r="118" spans="1:53">
      <c r="A118" s="11"/>
      <c r="B118" s="12"/>
      <c r="C118" s="13"/>
      <c r="D118" s="12"/>
      <c r="E118" s="12"/>
      <c r="F118" s="12"/>
      <c r="G118" s="12"/>
      <c r="H118" s="12"/>
      <c r="I118" s="12"/>
      <c r="J118" s="12"/>
      <c r="K118" s="12" t="str">
        <f t="shared" si="1"/>
        <v/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 t="str">
        <f t="shared" si="2"/>
        <v/>
      </c>
      <c r="V118" s="12"/>
      <c r="W118" s="14"/>
      <c r="X118" s="14"/>
      <c r="Y118" s="13"/>
      <c r="Z118" s="12"/>
      <c r="AA118" s="12"/>
      <c r="AB118" s="12"/>
      <c r="AC118" s="12"/>
      <c r="AD118" s="15"/>
      <c r="AE118" s="12"/>
      <c r="AF118" s="13"/>
      <c r="AG118" s="12"/>
      <c r="AH118" s="12"/>
      <c r="AI118" s="15"/>
      <c r="AJ118" s="12"/>
      <c r="AK118" s="12"/>
      <c r="AL118" s="12"/>
      <c r="AM118" s="12"/>
      <c r="AN118" s="12"/>
      <c r="AO118" s="12"/>
      <c r="AP118" s="12"/>
      <c r="AQ118" s="15"/>
      <c r="AR118" s="12"/>
      <c r="AS118" s="12"/>
      <c r="AT118" s="12"/>
      <c r="AU118" s="12"/>
      <c r="AV118" s="12"/>
      <c r="AW118" s="12"/>
      <c r="AX118" s="13"/>
      <c r="AY118" s="12"/>
      <c r="AZ118" s="12" t="str">
        <f>IF(AND(A118="",B118="",E118="",G118="",I118="",AV118="",AX118=""),"",IF(OR(B118="skip",AV118="skip"),"SKIP",IF(OR(B118="to_candidate",AV118="proposed_name"),IF(OR(A118="",AW118="",AX118="",COUNTIF($A$6:$A$505,A118)&gt;1),"REVIEW","TO_PROPOSED"),IF(OR(B118="",A118="",E118="",G118="",I118="",U118="",AV118="",COUNTIF($A$6:$A$505,A118)&gt;1,(COUNTIFS('أرقام التواصل'!$A$6:$A$505,"client",'أرقام التواصل'!$B$6:$B$505,A118,'أرقام التواصل'!$I$6:$I$505,"TRUE")+COUNTIFS('أرقام التواصل'!$A$6:$A$505,"client",'أرقام التواصل'!$B$6:$B$505,A118,'أرقام التواصل'!$C$6:$C$505,1))=0),"REVIEW","READY"))))</f>
        <v/>
      </c>
      <c r="BA118" s="16" t="str">
        <f>IF(AZ118="","",IF(OR(AZ118="READY",AZ118="TO_PROPOSED"),"",IF(AZ118="SKIP","Skipped by decision",TRIM(IF(B118="","missing import_action; ","")&amp;IF(A118="","missing migration_customer_key; ","")&amp;IF(AND(A118&lt;&gt;"",COUNTIF($A$6:$A$505,A118)&gt;1),"duplicate migration_customer_key; ","")&amp;IF(AND(NOT(OR(B118="to_candidate",AV118="proposed_name")),E118=""),"missing branch_id; ","")&amp;IF(AND(NOT(OR(B118="to_candidate",AV118="proposed_name")),G118=""),"missing first_name; ","")&amp;IF(AND(NOT(OR(B118="to_candidate",AV118="proposed_name")),I118=""),"missing last_name; ","")&amp;IF(AND(NOT(OR(B118="to_candidate",AV118="proposed_name")),U118=""),"missing final_geo_unit_id; ","")&amp;IF(AV118="","missing final_destination; ","")&amp;IF(AND(NOT(OR(B118="to_candidate",AV118="proposed_name")),(COUNTIFS('أرقام التواصل'!$A$6:$A$505,"client",'أرقام التواصل'!$B$6:$B$505,A118,'أرقام التواصل'!$I$6:$I$505,"TRUE")+COUNTIFS('أرقام التواصل'!$A$6:$A$505,"client",'أرقام التواصل'!$B$6:$B$505,A118,'أرقام التواصل'!$C$6:$C$505,1))=0),"missing primary contact in أرقام التواصل; ","")&amp;IF(OR(B118="to_candidate",AV118="proposed_name"),IF(AW118="","missing proposed_move_reason; ","")&amp;IF(AX118="","missing proposed_name_key; ",""),"")))))</f>
        <v/>
      </c>
    </row>
    <row r="119" spans="1:53">
      <c r="A119" s="11"/>
      <c r="B119" s="12"/>
      <c r="C119" s="13"/>
      <c r="D119" s="12"/>
      <c r="E119" s="12"/>
      <c r="F119" s="12"/>
      <c r="G119" s="12"/>
      <c r="H119" s="12"/>
      <c r="I119" s="12"/>
      <c r="J119" s="12"/>
      <c r="K119" s="12" t="str">
        <f t="shared" si="1"/>
        <v/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 t="str">
        <f t="shared" si="2"/>
        <v/>
      </c>
      <c r="V119" s="12"/>
      <c r="W119" s="14"/>
      <c r="X119" s="14"/>
      <c r="Y119" s="13"/>
      <c r="Z119" s="12"/>
      <c r="AA119" s="12"/>
      <c r="AB119" s="12"/>
      <c r="AC119" s="12"/>
      <c r="AD119" s="15"/>
      <c r="AE119" s="12"/>
      <c r="AF119" s="13"/>
      <c r="AG119" s="12"/>
      <c r="AH119" s="12"/>
      <c r="AI119" s="15"/>
      <c r="AJ119" s="12"/>
      <c r="AK119" s="12"/>
      <c r="AL119" s="12"/>
      <c r="AM119" s="12"/>
      <c r="AN119" s="12"/>
      <c r="AO119" s="12"/>
      <c r="AP119" s="12"/>
      <c r="AQ119" s="15"/>
      <c r="AR119" s="12"/>
      <c r="AS119" s="12"/>
      <c r="AT119" s="12"/>
      <c r="AU119" s="12"/>
      <c r="AV119" s="12"/>
      <c r="AW119" s="12"/>
      <c r="AX119" s="13"/>
      <c r="AY119" s="12"/>
      <c r="AZ119" s="12" t="str">
        <f>IF(AND(A119="",B119="",E119="",G119="",I119="",AV119="",AX119=""),"",IF(OR(B119="skip",AV119="skip"),"SKIP",IF(OR(B119="to_candidate",AV119="proposed_name"),IF(OR(A119="",AW119="",AX119="",COUNTIF($A$6:$A$505,A119)&gt;1),"REVIEW","TO_PROPOSED"),IF(OR(B119="",A119="",E119="",G119="",I119="",U119="",AV119="",COUNTIF($A$6:$A$505,A119)&gt;1,(COUNTIFS('أرقام التواصل'!$A$6:$A$505,"client",'أرقام التواصل'!$B$6:$B$505,A119,'أرقام التواصل'!$I$6:$I$505,"TRUE")+COUNTIFS('أرقام التواصل'!$A$6:$A$505,"client",'أرقام التواصل'!$B$6:$B$505,A119,'أرقام التواصل'!$C$6:$C$505,1))=0),"REVIEW","READY"))))</f>
        <v/>
      </c>
      <c r="BA119" s="16" t="str">
        <f>IF(AZ119="","",IF(OR(AZ119="READY",AZ119="TO_PROPOSED"),"",IF(AZ119="SKIP","Skipped by decision",TRIM(IF(B119="","missing import_action; ","")&amp;IF(A119="","missing migration_customer_key; ","")&amp;IF(AND(A119&lt;&gt;"",COUNTIF($A$6:$A$505,A119)&gt;1),"duplicate migration_customer_key; ","")&amp;IF(AND(NOT(OR(B119="to_candidate",AV119="proposed_name")),E119=""),"missing branch_id; ","")&amp;IF(AND(NOT(OR(B119="to_candidate",AV119="proposed_name")),G119=""),"missing first_name; ","")&amp;IF(AND(NOT(OR(B119="to_candidate",AV119="proposed_name")),I119=""),"missing last_name; ","")&amp;IF(AND(NOT(OR(B119="to_candidate",AV119="proposed_name")),U119=""),"missing final_geo_unit_id; ","")&amp;IF(AV119="","missing final_destination; ","")&amp;IF(AND(NOT(OR(B119="to_candidate",AV119="proposed_name")),(COUNTIFS('أرقام التواصل'!$A$6:$A$505,"client",'أرقام التواصل'!$B$6:$B$505,A119,'أرقام التواصل'!$I$6:$I$505,"TRUE")+COUNTIFS('أرقام التواصل'!$A$6:$A$505,"client",'أرقام التواصل'!$B$6:$B$505,A119,'أرقام التواصل'!$C$6:$C$505,1))=0),"missing primary contact in أرقام التواصل; ","")&amp;IF(OR(B119="to_candidate",AV119="proposed_name"),IF(AW119="","missing proposed_move_reason; ","")&amp;IF(AX119="","missing proposed_name_key; ",""),"")))))</f>
        <v/>
      </c>
    </row>
    <row r="120" spans="1:53">
      <c r="A120" s="11"/>
      <c r="B120" s="12"/>
      <c r="C120" s="13"/>
      <c r="D120" s="12"/>
      <c r="E120" s="12"/>
      <c r="F120" s="12"/>
      <c r="G120" s="12"/>
      <c r="H120" s="12"/>
      <c r="I120" s="12"/>
      <c r="J120" s="12"/>
      <c r="K120" s="12" t="str">
        <f t="shared" si="1"/>
        <v/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 t="str">
        <f t="shared" si="2"/>
        <v/>
      </c>
      <c r="V120" s="12"/>
      <c r="W120" s="14"/>
      <c r="X120" s="14"/>
      <c r="Y120" s="13"/>
      <c r="Z120" s="12"/>
      <c r="AA120" s="12"/>
      <c r="AB120" s="12"/>
      <c r="AC120" s="12"/>
      <c r="AD120" s="15"/>
      <c r="AE120" s="12"/>
      <c r="AF120" s="13"/>
      <c r="AG120" s="12"/>
      <c r="AH120" s="12"/>
      <c r="AI120" s="15"/>
      <c r="AJ120" s="12"/>
      <c r="AK120" s="12"/>
      <c r="AL120" s="12"/>
      <c r="AM120" s="12"/>
      <c r="AN120" s="12"/>
      <c r="AO120" s="12"/>
      <c r="AP120" s="12"/>
      <c r="AQ120" s="15"/>
      <c r="AR120" s="12"/>
      <c r="AS120" s="12"/>
      <c r="AT120" s="12"/>
      <c r="AU120" s="12"/>
      <c r="AV120" s="12"/>
      <c r="AW120" s="12"/>
      <c r="AX120" s="13"/>
      <c r="AY120" s="12"/>
      <c r="AZ120" s="12" t="str">
        <f>IF(AND(A120="",B120="",E120="",G120="",I120="",AV120="",AX120=""),"",IF(OR(B120="skip",AV120="skip"),"SKIP",IF(OR(B120="to_candidate",AV120="proposed_name"),IF(OR(A120="",AW120="",AX120="",COUNTIF($A$6:$A$505,A120)&gt;1),"REVIEW","TO_PROPOSED"),IF(OR(B120="",A120="",E120="",G120="",I120="",U120="",AV120="",COUNTIF($A$6:$A$505,A120)&gt;1,(COUNTIFS('أرقام التواصل'!$A$6:$A$505,"client",'أرقام التواصل'!$B$6:$B$505,A120,'أرقام التواصل'!$I$6:$I$505,"TRUE")+COUNTIFS('أرقام التواصل'!$A$6:$A$505,"client",'أرقام التواصل'!$B$6:$B$505,A120,'أرقام التواصل'!$C$6:$C$505,1))=0),"REVIEW","READY"))))</f>
        <v/>
      </c>
      <c r="BA120" s="16" t="str">
        <f>IF(AZ120="","",IF(OR(AZ120="READY",AZ120="TO_PROPOSED"),"",IF(AZ120="SKIP","Skipped by decision",TRIM(IF(B120="","missing import_action; ","")&amp;IF(A120="","missing migration_customer_key; ","")&amp;IF(AND(A120&lt;&gt;"",COUNTIF($A$6:$A$505,A120)&gt;1),"duplicate migration_customer_key; ","")&amp;IF(AND(NOT(OR(B120="to_candidate",AV120="proposed_name")),E120=""),"missing branch_id; ","")&amp;IF(AND(NOT(OR(B120="to_candidate",AV120="proposed_name")),G120=""),"missing first_name; ","")&amp;IF(AND(NOT(OR(B120="to_candidate",AV120="proposed_name")),I120=""),"missing last_name; ","")&amp;IF(AND(NOT(OR(B120="to_candidate",AV120="proposed_name")),U120=""),"missing final_geo_unit_id; ","")&amp;IF(AV120="","missing final_destination; ","")&amp;IF(AND(NOT(OR(B120="to_candidate",AV120="proposed_name")),(COUNTIFS('أرقام التواصل'!$A$6:$A$505,"client",'أرقام التواصل'!$B$6:$B$505,A120,'أرقام التواصل'!$I$6:$I$505,"TRUE")+COUNTIFS('أرقام التواصل'!$A$6:$A$505,"client",'أرقام التواصل'!$B$6:$B$505,A120,'أرقام التواصل'!$C$6:$C$505,1))=0),"missing primary contact in أرقام التواصل; ","")&amp;IF(OR(B120="to_candidate",AV120="proposed_name"),IF(AW120="","missing proposed_move_reason; ","")&amp;IF(AX120="","missing proposed_name_key; ",""),"")))))</f>
        <v/>
      </c>
    </row>
    <row r="121" spans="1:53">
      <c r="A121" s="11"/>
      <c r="B121" s="12"/>
      <c r="C121" s="13"/>
      <c r="D121" s="12"/>
      <c r="E121" s="12"/>
      <c r="F121" s="12"/>
      <c r="G121" s="12"/>
      <c r="H121" s="12"/>
      <c r="I121" s="12"/>
      <c r="J121" s="12"/>
      <c r="K121" s="12" t="str">
        <f t="shared" si="1"/>
        <v/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 t="str">
        <f t="shared" si="2"/>
        <v/>
      </c>
      <c r="V121" s="12"/>
      <c r="W121" s="14"/>
      <c r="X121" s="14"/>
      <c r="Y121" s="13"/>
      <c r="Z121" s="12"/>
      <c r="AA121" s="12"/>
      <c r="AB121" s="12"/>
      <c r="AC121" s="12"/>
      <c r="AD121" s="15"/>
      <c r="AE121" s="12"/>
      <c r="AF121" s="13"/>
      <c r="AG121" s="12"/>
      <c r="AH121" s="12"/>
      <c r="AI121" s="15"/>
      <c r="AJ121" s="12"/>
      <c r="AK121" s="12"/>
      <c r="AL121" s="12"/>
      <c r="AM121" s="12"/>
      <c r="AN121" s="12"/>
      <c r="AO121" s="12"/>
      <c r="AP121" s="12"/>
      <c r="AQ121" s="15"/>
      <c r="AR121" s="12"/>
      <c r="AS121" s="12"/>
      <c r="AT121" s="12"/>
      <c r="AU121" s="12"/>
      <c r="AV121" s="12"/>
      <c r="AW121" s="12"/>
      <c r="AX121" s="13"/>
      <c r="AY121" s="12"/>
      <c r="AZ121" s="12" t="str">
        <f>IF(AND(A121="",B121="",E121="",G121="",I121="",AV121="",AX121=""),"",IF(OR(B121="skip",AV121="skip"),"SKIP",IF(OR(B121="to_candidate",AV121="proposed_name"),IF(OR(A121="",AW121="",AX121="",COUNTIF($A$6:$A$505,A121)&gt;1),"REVIEW","TO_PROPOSED"),IF(OR(B121="",A121="",E121="",G121="",I121="",U121="",AV121="",COUNTIF($A$6:$A$505,A121)&gt;1,(COUNTIFS('أرقام التواصل'!$A$6:$A$505,"client",'أرقام التواصل'!$B$6:$B$505,A121,'أرقام التواصل'!$I$6:$I$505,"TRUE")+COUNTIFS('أرقام التواصل'!$A$6:$A$505,"client",'أرقام التواصل'!$B$6:$B$505,A121,'أرقام التواصل'!$C$6:$C$505,1))=0),"REVIEW","READY"))))</f>
        <v/>
      </c>
      <c r="BA121" s="16" t="str">
        <f>IF(AZ121="","",IF(OR(AZ121="READY",AZ121="TO_PROPOSED"),"",IF(AZ121="SKIP","Skipped by decision",TRIM(IF(B121="","missing import_action; ","")&amp;IF(A121="","missing migration_customer_key; ","")&amp;IF(AND(A121&lt;&gt;"",COUNTIF($A$6:$A$505,A121)&gt;1),"duplicate migration_customer_key; ","")&amp;IF(AND(NOT(OR(B121="to_candidate",AV121="proposed_name")),E121=""),"missing branch_id; ","")&amp;IF(AND(NOT(OR(B121="to_candidate",AV121="proposed_name")),G121=""),"missing first_name; ","")&amp;IF(AND(NOT(OR(B121="to_candidate",AV121="proposed_name")),I121=""),"missing last_name; ","")&amp;IF(AND(NOT(OR(B121="to_candidate",AV121="proposed_name")),U121=""),"missing final_geo_unit_id; ","")&amp;IF(AV121="","missing final_destination; ","")&amp;IF(AND(NOT(OR(B121="to_candidate",AV121="proposed_name")),(COUNTIFS('أرقام التواصل'!$A$6:$A$505,"client",'أرقام التواصل'!$B$6:$B$505,A121,'أرقام التواصل'!$I$6:$I$505,"TRUE")+COUNTIFS('أرقام التواصل'!$A$6:$A$505,"client",'أرقام التواصل'!$B$6:$B$505,A121,'أرقام التواصل'!$C$6:$C$505,1))=0),"missing primary contact in أرقام التواصل; ","")&amp;IF(OR(B121="to_candidate",AV121="proposed_name"),IF(AW121="","missing proposed_move_reason; ","")&amp;IF(AX121="","missing proposed_name_key; ",""),"")))))</f>
        <v/>
      </c>
    </row>
    <row r="122" spans="1:53">
      <c r="A122" s="11"/>
      <c r="B122" s="12"/>
      <c r="C122" s="13"/>
      <c r="D122" s="12"/>
      <c r="E122" s="12"/>
      <c r="F122" s="12"/>
      <c r="G122" s="12"/>
      <c r="H122" s="12"/>
      <c r="I122" s="12"/>
      <c r="J122" s="12"/>
      <c r="K122" s="12" t="str">
        <f t="shared" si="1"/>
        <v/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 t="str">
        <f t="shared" si="2"/>
        <v/>
      </c>
      <c r="V122" s="12"/>
      <c r="W122" s="14"/>
      <c r="X122" s="14"/>
      <c r="Y122" s="13"/>
      <c r="Z122" s="12"/>
      <c r="AA122" s="12"/>
      <c r="AB122" s="12"/>
      <c r="AC122" s="12"/>
      <c r="AD122" s="15"/>
      <c r="AE122" s="12"/>
      <c r="AF122" s="13"/>
      <c r="AG122" s="12"/>
      <c r="AH122" s="12"/>
      <c r="AI122" s="15"/>
      <c r="AJ122" s="12"/>
      <c r="AK122" s="12"/>
      <c r="AL122" s="12"/>
      <c r="AM122" s="12"/>
      <c r="AN122" s="12"/>
      <c r="AO122" s="12"/>
      <c r="AP122" s="12"/>
      <c r="AQ122" s="15"/>
      <c r="AR122" s="12"/>
      <c r="AS122" s="12"/>
      <c r="AT122" s="12"/>
      <c r="AU122" s="12"/>
      <c r="AV122" s="12"/>
      <c r="AW122" s="12"/>
      <c r="AX122" s="13"/>
      <c r="AY122" s="12"/>
      <c r="AZ122" s="12" t="str">
        <f>IF(AND(A122="",B122="",E122="",G122="",I122="",AV122="",AX122=""),"",IF(OR(B122="skip",AV122="skip"),"SKIP",IF(OR(B122="to_candidate",AV122="proposed_name"),IF(OR(A122="",AW122="",AX122="",COUNTIF($A$6:$A$505,A122)&gt;1),"REVIEW","TO_PROPOSED"),IF(OR(B122="",A122="",E122="",G122="",I122="",U122="",AV122="",COUNTIF($A$6:$A$505,A122)&gt;1,(COUNTIFS('أرقام التواصل'!$A$6:$A$505,"client",'أرقام التواصل'!$B$6:$B$505,A122,'أرقام التواصل'!$I$6:$I$505,"TRUE")+COUNTIFS('أرقام التواصل'!$A$6:$A$505,"client",'أرقام التواصل'!$B$6:$B$505,A122,'أرقام التواصل'!$C$6:$C$505,1))=0),"REVIEW","READY"))))</f>
        <v/>
      </c>
      <c r="BA122" s="16" t="str">
        <f>IF(AZ122="","",IF(OR(AZ122="READY",AZ122="TO_PROPOSED"),"",IF(AZ122="SKIP","Skipped by decision",TRIM(IF(B122="","missing import_action; ","")&amp;IF(A122="","missing migration_customer_key; ","")&amp;IF(AND(A122&lt;&gt;"",COUNTIF($A$6:$A$505,A122)&gt;1),"duplicate migration_customer_key; ","")&amp;IF(AND(NOT(OR(B122="to_candidate",AV122="proposed_name")),E122=""),"missing branch_id; ","")&amp;IF(AND(NOT(OR(B122="to_candidate",AV122="proposed_name")),G122=""),"missing first_name; ","")&amp;IF(AND(NOT(OR(B122="to_candidate",AV122="proposed_name")),I122=""),"missing last_name; ","")&amp;IF(AND(NOT(OR(B122="to_candidate",AV122="proposed_name")),U122=""),"missing final_geo_unit_id; ","")&amp;IF(AV122="","missing final_destination; ","")&amp;IF(AND(NOT(OR(B122="to_candidate",AV122="proposed_name")),(COUNTIFS('أرقام التواصل'!$A$6:$A$505,"client",'أرقام التواصل'!$B$6:$B$505,A122,'أرقام التواصل'!$I$6:$I$505,"TRUE")+COUNTIFS('أرقام التواصل'!$A$6:$A$505,"client",'أرقام التواصل'!$B$6:$B$505,A122,'أرقام التواصل'!$C$6:$C$505,1))=0),"missing primary contact in أرقام التواصل; ","")&amp;IF(OR(B122="to_candidate",AV122="proposed_name"),IF(AW122="","missing proposed_move_reason; ","")&amp;IF(AX122="","missing proposed_name_key; ",""),"")))))</f>
        <v/>
      </c>
    </row>
    <row r="123" spans="1:53">
      <c r="A123" s="11"/>
      <c r="B123" s="12"/>
      <c r="C123" s="13"/>
      <c r="D123" s="12"/>
      <c r="E123" s="12"/>
      <c r="F123" s="12"/>
      <c r="G123" s="12"/>
      <c r="H123" s="12"/>
      <c r="I123" s="12"/>
      <c r="J123" s="12"/>
      <c r="K123" s="12" t="str">
        <f t="shared" si="1"/>
        <v/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 t="str">
        <f t="shared" si="2"/>
        <v/>
      </c>
      <c r="V123" s="12"/>
      <c r="W123" s="14"/>
      <c r="X123" s="14"/>
      <c r="Y123" s="13"/>
      <c r="Z123" s="12"/>
      <c r="AA123" s="12"/>
      <c r="AB123" s="12"/>
      <c r="AC123" s="12"/>
      <c r="AD123" s="15"/>
      <c r="AE123" s="12"/>
      <c r="AF123" s="13"/>
      <c r="AG123" s="12"/>
      <c r="AH123" s="12"/>
      <c r="AI123" s="15"/>
      <c r="AJ123" s="12"/>
      <c r="AK123" s="12"/>
      <c r="AL123" s="12"/>
      <c r="AM123" s="12"/>
      <c r="AN123" s="12"/>
      <c r="AO123" s="12"/>
      <c r="AP123" s="12"/>
      <c r="AQ123" s="15"/>
      <c r="AR123" s="12"/>
      <c r="AS123" s="12"/>
      <c r="AT123" s="12"/>
      <c r="AU123" s="12"/>
      <c r="AV123" s="12"/>
      <c r="AW123" s="12"/>
      <c r="AX123" s="13"/>
      <c r="AY123" s="12"/>
      <c r="AZ123" s="12" t="str">
        <f>IF(AND(A123="",B123="",E123="",G123="",I123="",AV123="",AX123=""),"",IF(OR(B123="skip",AV123="skip"),"SKIP",IF(OR(B123="to_candidate",AV123="proposed_name"),IF(OR(A123="",AW123="",AX123="",COUNTIF($A$6:$A$505,A123)&gt;1),"REVIEW","TO_PROPOSED"),IF(OR(B123="",A123="",E123="",G123="",I123="",U123="",AV123="",COUNTIF($A$6:$A$505,A123)&gt;1,(COUNTIFS('أرقام التواصل'!$A$6:$A$505,"client",'أرقام التواصل'!$B$6:$B$505,A123,'أرقام التواصل'!$I$6:$I$505,"TRUE")+COUNTIFS('أرقام التواصل'!$A$6:$A$505,"client",'أرقام التواصل'!$B$6:$B$505,A123,'أرقام التواصل'!$C$6:$C$505,1))=0),"REVIEW","READY"))))</f>
        <v/>
      </c>
      <c r="BA123" s="16" t="str">
        <f>IF(AZ123="","",IF(OR(AZ123="READY",AZ123="TO_PROPOSED"),"",IF(AZ123="SKIP","Skipped by decision",TRIM(IF(B123="","missing import_action; ","")&amp;IF(A123="","missing migration_customer_key; ","")&amp;IF(AND(A123&lt;&gt;"",COUNTIF($A$6:$A$505,A123)&gt;1),"duplicate migration_customer_key; ","")&amp;IF(AND(NOT(OR(B123="to_candidate",AV123="proposed_name")),E123=""),"missing branch_id; ","")&amp;IF(AND(NOT(OR(B123="to_candidate",AV123="proposed_name")),G123=""),"missing first_name; ","")&amp;IF(AND(NOT(OR(B123="to_candidate",AV123="proposed_name")),I123=""),"missing last_name; ","")&amp;IF(AND(NOT(OR(B123="to_candidate",AV123="proposed_name")),U123=""),"missing final_geo_unit_id; ","")&amp;IF(AV123="","missing final_destination; ","")&amp;IF(AND(NOT(OR(B123="to_candidate",AV123="proposed_name")),(COUNTIFS('أرقام التواصل'!$A$6:$A$505,"client",'أرقام التواصل'!$B$6:$B$505,A123,'أرقام التواصل'!$I$6:$I$505,"TRUE")+COUNTIFS('أرقام التواصل'!$A$6:$A$505,"client",'أرقام التواصل'!$B$6:$B$505,A123,'أرقام التواصل'!$C$6:$C$505,1))=0),"missing primary contact in أرقام التواصل; ","")&amp;IF(OR(B123="to_candidate",AV123="proposed_name"),IF(AW123="","missing proposed_move_reason; ","")&amp;IF(AX123="","missing proposed_name_key; ",""),"")))))</f>
        <v/>
      </c>
    </row>
    <row r="124" spans="1:53">
      <c r="A124" s="11"/>
      <c r="B124" s="12"/>
      <c r="C124" s="13"/>
      <c r="D124" s="12"/>
      <c r="E124" s="12"/>
      <c r="F124" s="12"/>
      <c r="G124" s="12"/>
      <c r="H124" s="12"/>
      <c r="I124" s="12"/>
      <c r="J124" s="12"/>
      <c r="K124" s="12" t="str">
        <f t="shared" si="1"/>
        <v/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 t="str">
        <f t="shared" si="2"/>
        <v/>
      </c>
      <c r="V124" s="12"/>
      <c r="W124" s="14"/>
      <c r="X124" s="14"/>
      <c r="Y124" s="13"/>
      <c r="Z124" s="12"/>
      <c r="AA124" s="12"/>
      <c r="AB124" s="12"/>
      <c r="AC124" s="12"/>
      <c r="AD124" s="15"/>
      <c r="AE124" s="12"/>
      <c r="AF124" s="13"/>
      <c r="AG124" s="12"/>
      <c r="AH124" s="12"/>
      <c r="AI124" s="15"/>
      <c r="AJ124" s="12"/>
      <c r="AK124" s="12"/>
      <c r="AL124" s="12"/>
      <c r="AM124" s="12"/>
      <c r="AN124" s="12"/>
      <c r="AO124" s="12"/>
      <c r="AP124" s="12"/>
      <c r="AQ124" s="15"/>
      <c r="AR124" s="12"/>
      <c r="AS124" s="12"/>
      <c r="AT124" s="12"/>
      <c r="AU124" s="12"/>
      <c r="AV124" s="12"/>
      <c r="AW124" s="12"/>
      <c r="AX124" s="13"/>
      <c r="AY124" s="12"/>
      <c r="AZ124" s="12" t="str">
        <f>IF(AND(A124="",B124="",E124="",G124="",I124="",AV124="",AX124=""),"",IF(OR(B124="skip",AV124="skip"),"SKIP",IF(OR(B124="to_candidate",AV124="proposed_name"),IF(OR(A124="",AW124="",AX124="",COUNTIF($A$6:$A$505,A124)&gt;1),"REVIEW","TO_PROPOSED"),IF(OR(B124="",A124="",E124="",G124="",I124="",U124="",AV124="",COUNTIF($A$6:$A$505,A124)&gt;1,(COUNTIFS('أرقام التواصل'!$A$6:$A$505,"client",'أرقام التواصل'!$B$6:$B$505,A124,'أرقام التواصل'!$I$6:$I$505,"TRUE")+COUNTIFS('أرقام التواصل'!$A$6:$A$505,"client",'أرقام التواصل'!$B$6:$B$505,A124,'أرقام التواصل'!$C$6:$C$505,1))=0),"REVIEW","READY"))))</f>
        <v/>
      </c>
      <c r="BA124" s="16" t="str">
        <f>IF(AZ124="","",IF(OR(AZ124="READY",AZ124="TO_PROPOSED"),"",IF(AZ124="SKIP","Skipped by decision",TRIM(IF(B124="","missing import_action; ","")&amp;IF(A124="","missing migration_customer_key; ","")&amp;IF(AND(A124&lt;&gt;"",COUNTIF($A$6:$A$505,A124)&gt;1),"duplicate migration_customer_key; ","")&amp;IF(AND(NOT(OR(B124="to_candidate",AV124="proposed_name")),E124=""),"missing branch_id; ","")&amp;IF(AND(NOT(OR(B124="to_candidate",AV124="proposed_name")),G124=""),"missing first_name; ","")&amp;IF(AND(NOT(OR(B124="to_candidate",AV124="proposed_name")),I124=""),"missing last_name; ","")&amp;IF(AND(NOT(OR(B124="to_candidate",AV124="proposed_name")),U124=""),"missing final_geo_unit_id; ","")&amp;IF(AV124="","missing final_destination; ","")&amp;IF(AND(NOT(OR(B124="to_candidate",AV124="proposed_name")),(COUNTIFS('أرقام التواصل'!$A$6:$A$505,"client",'أرقام التواصل'!$B$6:$B$505,A124,'أرقام التواصل'!$I$6:$I$505,"TRUE")+COUNTIFS('أرقام التواصل'!$A$6:$A$505,"client",'أرقام التواصل'!$B$6:$B$505,A124,'أرقام التواصل'!$C$6:$C$505,1))=0),"missing primary contact in أرقام التواصل; ","")&amp;IF(OR(B124="to_candidate",AV124="proposed_name"),IF(AW124="","missing proposed_move_reason; ","")&amp;IF(AX124="","missing proposed_name_key; ",""),"")))))</f>
        <v/>
      </c>
    </row>
    <row r="125" spans="1:53">
      <c r="A125" s="11"/>
      <c r="B125" s="12"/>
      <c r="C125" s="13"/>
      <c r="D125" s="12"/>
      <c r="E125" s="12"/>
      <c r="F125" s="12"/>
      <c r="G125" s="12"/>
      <c r="H125" s="12"/>
      <c r="I125" s="12"/>
      <c r="J125" s="12"/>
      <c r="K125" s="12" t="str">
        <f t="shared" si="1"/>
        <v/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 t="str">
        <f t="shared" si="2"/>
        <v/>
      </c>
      <c r="V125" s="12"/>
      <c r="W125" s="14"/>
      <c r="X125" s="14"/>
      <c r="Y125" s="13"/>
      <c r="Z125" s="12"/>
      <c r="AA125" s="12"/>
      <c r="AB125" s="12"/>
      <c r="AC125" s="12"/>
      <c r="AD125" s="15"/>
      <c r="AE125" s="12"/>
      <c r="AF125" s="13"/>
      <c r="AG125" s="12"/>
      <c r="AH125" s="12"/>
      <c r="AI125" s="15"/>
      <c r="AJ125" s="12"/>
      <c r="AK125" s="12"/>
      <c r="AL125" s="12"/>
      <c r="AM125" s="12"/>
      <c r="AN125" s="12"/>
      <c r="AO125" s="12"/>
      <c r="AP125" s="12"/>
      <c r="AQ125" s="15"/>
      <c r="AR125" s="12"/>
      <c r="AS125" s="12"/>
      <c r="AT125" s="12"/>
      <c r="AU125" s="12"/>
      <c r="AV125" s="12"/>
      <c r="AW125" s="12"/>
      <c r="AX125" s="13"/>
      <c r="AY125" s="12"/>
      <c r="AZ125" s="12" t="str">
        <f>IF(AND(A125="",B125="",E125="",G125="",I125="",AV125="",AX125=""),"",IF(OR(B125="skip",AV125="skip"),"SKIP",IF(OR(B125="to_candidate",AV125="proposed_name"),IF(OR(A125="",AW125="",AX125="",COUNTIF($A$6:$A$505,A125)&gt;1),"REVIEW","TO_PROPOSED"),IF(OR(B125="",A125="",E125="",G125="",I125="",U125="",AV125="",COUNTIF($A$6:$A$505,A125)&gt;1,(COUNTIFS('أرقام التواصل'!$A$6:$A$505,"client",'أرقام التواصل'!$B$6:$B$505,A125,'أرقام التواصل'!$I$6:$I$505,"TRUE")+COUNTIFS('أرقام التواصل'!$A$6:$A$505,"client",'أرقام التواصل'!$B$6:$B$505,A125,'أرقام التواصل'!$C$6:$C$505,1))=0),"REVIEW","READY"))))</f>
        <v/>
      </c>
      <c r="BA125" s="16" t="str">
        <f>IF(AZ125="","",IF(OR(AZ125="READY",AZ125="TO_PROPOSED"),"",IF(AZ125="SKIP","Skipped by decision",TRIM(IF(B125="","missing import_action; ","")&amp;IF(A125="","missing migration_customer_key; ","")&amp;IF(AND(A125&lt;&gt;"",COUNTIF($A$6:$A$505,A125)&gt;1),"duplicate migration_customer_key; ","")&amp;IF(AND(NOT(OR(B125="to_candidate",AV125="proposed_name")),E125=""),"missing branch_id; ","")&amp;IF(AND(NOT(OR(B125="to_candidate",AV125="proposed_name")),G125=""),"missing first_name; ","")&amp;IF(AND(NOT(OR(B125="to_candidate",AV125="proposed_name")),I125=""),"missing last_name; ","")&amp;IF(AND(NOT(OR(B125="to_candidate",AV125="proposed_name")),U125=""),"missing final_geo_unit_id; ","")&amp;IF(AV125="","missing final_destination; ","")&amp;IF(AND(NOT(OR(B125="to_candidate",AV125="proposed_name")),(COUNTIFS('أرقام التواصل'!$A$6:$A$505,"client",'أرقام التواصل'!$B$6:$B$505,A125,'أرقام التواصل'!$I$6:$I$505,"TRUE")+COUNTIFS('أرقام التواصل'!$A$6:$A$505,"client",'أرقام التواصل'!$B$6:$B$505,A125,'أرقام التواصل'!$C$6:$C$505,1))=0),"missing primary contact in أرقام التواصل; ","")&amp;IF(OR(B125="to_candidate",AV125="proposed_name"),IF(AW125="","missing proposed_move_reason; ","")&amp;IF(AX125="","missing proposed_name_key; ",""),"")))))</f>
        <v/>
      </c>
    </row>
    <row r="126" spans="1:53">
      <c r="A126" s="11"/>
      <c r="B126" s="12"/>
      <c r="C126" s="13"/>
      <c r="D126" s="12"/>
      <c r="E126" s="12"/>
      <c r="F126" s="12"/>
      <c r="G126" s="12"/>
      <c r="H126" s="12"/>
      <c r="I126" s="12"/>
      <c r="J126" s="12"/>
      <c r="K126" s="12" t="str">
        <f t="shared" si="1"/>
        <v/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 t="str">
        <f t="shared" si="2"/>
        <v/>
      </c>
      <c r="V126" s="12"/>
      <c r="W126" s="14"/>
      <c r="X126" s="14"/>
      <c r="Y126" s="13"/>
      <c r="Z126" s="12"/>
      <c r="AA126" s="12"/>
      <c r="AB126" s="12"/>
      <c r="AC126" s="12"/>
      <c r="AD126" s="15"/>
      <c r="AE126" s="12"/>
      <c r="AF126" s="13"/>
      <c r="AG126" s="12"/>
      <c r="AH126" s="12"/>
      <c r="AI126" s="15"/>
      <c r="AJ126" s="12"/>
      <c r="AK126" s="12"/>
      <c r="AL126" s="12"/>
      <c r="AM126" s="12"/>
      <c r="AN126" s="12"/>
      <c r="AO126" s="12"/>
      <c r="AP126" s="12"/>
      <c r="AQ126" s="15"/>
      <c r="AR126" s="12"/>
      <c r="AS126" s="12"/>
      <c r="AT126" s="12"/>
      <c r="AU126" s="12"/>
      <c r="AV126" s="12"/>
      <c r="AW126" s="12"/>
      <c r="AX126" s="13"/>
      <c r="AY126" s="12"/>
      <c r="AZ126" s="12" t="str">
        <f>IF(AND(A126="",B126="",E126="",G126="",I126="",AV126="",AX126=""),"",IF(OR(B126="skip",AV126="skip"),"SKIP",IF(OR(B126="to_candidate",AV126="proposed_name"),IF(OR(A126="",AW126="",AX126="",COUNTIF($A$6:$A$505,A126)&gt;1),"REVIEW","TO_PROPOSED"),IF(OR(B126="",A126="",E126="",G126="",I126="",U126="",AV126="",COUNTIF($A$6:$A$505,A126)&gt;1,(COUNTIFS('أرقام التواصل'!$A$6:$A$505,"client",'أرقام التواصل'!$B$6:$B$505,A126,'أرقام التواصل'!$I$6:$I$505,"TRUE")+COUNTIFS('أرقام التواصل'!$A$6:$A$505,"client",'أرقام التواصل'!$B$6:$B$505,A126,'أرقام التواصل'!$C$6:$C$505,1))=0),"REVIEW","READY"))))</f>
        <v/>
      </c>
      <c r="BA126" s="16" t="str">
        <f>IF(AZ126="","",IF(OR(AZ126="READY",AZ126="TO_PROPOSED"),"",IF(AZ126="SKIP","Skipped by decision",TRIM(IF(B126="","missing import_action; ","")&amp;IF(A126="","missing migration_customer_key; ","")&amp;IF(AND(A126&lt;&gt;"",COUNTIF($A$6:$A$505,A126)&gt;1),"duplicate migration_customer_key; ","")&amp;IF(AND(NOT(OR(B126="to_candidate",AV126="proposed_name")),E126=""),"missing branch_id; ","")&amp;IF(AND(NOT(OR(B126="to_candidate",AV126="proposed_name")),G126=""),"missing first_name; ","")&amp;IF(AND(NOT(OR(B126="to_candidate",AV126="proposed_name")),I126=""),"missing last_name; ","")&amp;IF(AND(NOT(OR(B126="to_candidate",AV126="proposed_name")),U126=""),"missing final_geo_unit_id; ","")&amp;IF(AV126="","missing final_destination; ","")&amp;IF(AND(NOT(OR(B126="to_candidate",AV126="proposed_name")),(COUNTIFS('أرقام التواصل'!$A$6:$A$505,"client",'أرقام التواصل'!$B$6:$B$505,A126,'أرقام التواصل'!$I$6:$I$505,"TRUE")+COUNTIFS('أرقام التواصل'!$A$6:$A$505,"client",'أرقام التواصل'!$B$6:$B$505,A126,'أرقام التواصل'!$C$6:$C$505,1))=0),"missing primary contact in أرقام التواصل; ","")&amp;IF(OR(B126="to_candidate",AV126="proposed_name"),IF(AW126="","missing proposed_move_reason; ","")&amp;IF(AX126="","missing proposed_name_key; ",""),"")))))</f>
        <v/>
      </c>
    </row>
    <row r="127" spans="1:53">
      <c r="A127" s="11"/>
      <c r="B127" s="12"/>
      <c r="C127" s="13"/>
      <c r="D127" s="12"/>
      <c r="E127" s="12"/>
      <c r="F127" s="12"/>
      <c r="G127" s="12"/>
      <c r="H127" s="12"/>
      <c r="I127" s="12"/>
      <c r="J127" s="12"/>
      <c r="K127" s="12" t="str">
        <f t="shared" si="1"/>
        <v/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 t="str">
        <f t="shared" si="2"/>
        <v/>
      </c>
      <c r="V127" s="12"/>
      <c r="W127" s="14"/>
      <c r="X127" s="14"/>
      <c r="Y127" s="13"/>
      <c r="Z127" s="12"/>
      <c r="AA127" s="12"/>
      <c r="AB127" s="12"/>
      <c r="AC127" s="12"/>
      <c r="AD127" s="15"/>
      <c r="AE127" s="12"/>
      <c r="AF127" s="13"/>
      <c r="AG127" s="12"/>
      <c r="AH127" s="12"/>
      <c r="AI127" s="15"/>
      <c r="AJ127" s="12"/>
      <c r="AK127" s="12"/>
      <c r="AL127" s="12"/>
      <c r="AM127" s="12"/>
      <c r="AN127" s="12"/>
      <c r="AO127" s="12"/>
      <c r="AP127" s="12"/>
      <c r="AQ127" s="15"/>
      <c r="AR127" s="12"/>
      <c r="AS127" s="12"/>
      <c r="AT127" s="12"/>
      <c r="AU127" s="12"/>
      <c r="AV127" s="12"/>
      <c r="AW127" s="12"/>
      <c r="AX127" s="13"/>
      <c r="AY127" s="12"/>
      <c r="AZ127" s="12" t="str">
        <f>IF(AND(A127="",B127="",E127="",G127="",I127="",AV127="",AX127=""),"",IF(OR(B127="skip",AV127="skip"),"SKIP",IF(OR(B127="to_candidate",AV127="proposed_name"),IF(OR(A127="",AW127="",AX127="",COUNTIF($A$6:$A$505,A127)&gt;1),"REVIEW","TO_PROPOSED"),IF(OR(B127="",A127="",E127="",G127="",I127="",U127="",AV127="",COUNTIF($A$6:$A$505,A127)&gt;1,(COUNTIFS('أرقام التواصل'!$A$6:$A$505,"client",'أرقام التواصل'!$B$6:$B$505,A127,'أرقام التواصل'!$I$6:$I$505,"TRUE")+COUNTIFS('أرقام التواصل'!$A$6:$A$505,"client",'أرقام التواصل'!$B$6:$B$505,A127,'أرقام التواصل'!$C$6:$C$505,1))=0),"REVIEW","READY"))))</f>
        <v/>
      </c>
      <c r="BA127" s="16" t="str">
        <f>IF(AZ127="","",IF(OR(AZ127="READY",AZ127="TO_PROPOSED"),"",IF(AZ127="SKIP","Skipped by decision",TRIM(IF(B127="","missing import_action; ","")&amp;IF(A127="","missing migration_customer_key; ","")&amp;IF(AND(A127&lt;&gt;"",COUNTIF($A$6:$A$505,A127)&gt;1),"duplicate migration_customer_key; ","")&amp;IF(AND(NOT(OR(B127="to_candidate",AV127="proposed_name")),E127=""),"missing branch_id; ","")&amp;IF(AND(NOT(OR(B127="to_candidate",AV127="proposed_name")),G127=""),"missing first_name; ","")&amp;IF(AND(NOT(OR(B127="to_candidate",AV127="proposed_name")),I127=""),"missing last_name; ","")&amp;IF(AND(NOT(OR(B127="to_candidate",AV127="proposed_name")),U127=""),"missing final_geo_unit_id; ","")&amp;IF(AV127="","missing final_destination; ","")&amp;IF(AND(NOT(OR(B127="to_candidate",AV127="proposed_name")),(COUNTIFS('أرقام التواصل'!$A$6:$A$505,"client",'أرقام التواصل'!$B$6:$B$505,A127,'أرقام التواصل'!$I$6:$I$505,"TRUE")+COUNTIFS('أرقام التواصل'!$A$6:$A$505,"client",'أرقام التواصل'!$B$6:$B$505,A127,'أرقام التواصل'!$C$6:$C$505,1))=0),"missing primary contact in أرقام التواصل; ","")&amp;IF(OR(B127="to_candidate",AV127="proposed_name"),IF(AW127="","missing proposed_move_reason; ","")&amp;IF(AX127="","missing proposed_name_key; ",""),"")))))</f>
        <v/>
      </c>
    </row>
    <row r="128" spans="1:53">
      <c r="A128" s="11"/>
      <c r="B128" s="12"/>
      <c r="C128" s="13"/>
      <c r="D128" s="12"/>
      <c r="E128" s="12"/>
      <c r="F128" s="12"/>
      <c r="G128" s="12"/>
      <c r="H128" s="12"/>
      <c r="I128" s="12"/>
      <c r="J128" s="12"/>
      <c r="K128" s="12" t="str">
        <f t="shared" si="1"/>
        <v/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 t="str">
        <f t="shared" si="2"/>
        <v/>
      </c>
      <c r="V128" s="12"/>
      <c r="W128" s="14"/>
      <c r="X128" s="14"/>
      <c r="Y128" s="13"/>
      <c r="Z128" s="12"/>
      <c r="AA128" s="12"/>
      <c r="AB128" s="12"/>
      <c r="AC128" s="12"/>
      <c r="AD128" s="15"/>
      <c r="AE128" s="12"/>
      <c r="AF128" s="13"/>
      <c r="AG128" s="12"/>
      <c r="AH128" s="12"/>
      <c r="AI128" s="15"/>
      <c r="AJ128" s="12"/>
      <c r="AK128" s="12"/>
      <c r="AL128" s="12"/>
      <c r="AM128" s="12"/>
      <c r="AN128" s="12"/>
      <c r="AO128" s="12"/>
      <c r="AP128" s="12"/>
      <c r="AQ128" s="15"/>
      <c r="AR128" s="12"/>
      <c r="AS128" s="12"/>
      <c r="AT128" s="12"/>
      <c r="AU128" s="12"/>
      <c r="AV128" s="12"/>
      <c r="AW128" s="12"/>
      <c r="AX128" s="13"/>
      <c r="AY128" s="12"/>
      <c r="AZ128" s="12" t="str">
        <f>IF(AND(A128="",B128="",E128="",G128="",I128="",AV128="",AX128=""),"",IF(OR(B128="skip",AV128="skip"),"SKIP",IF(OR(B128="to_candidate",AV128="proposed_name"),IF(OR(A128="",AW128="",AX128="",COUNTIF($A$6:$A$505,A128)&gt;1),"REVIEW","TO_PROPOSED"),IF(OR(B128="",A128="",E128="",G128="",I128="",U128="",AV128="",COUNTIF($A$6:$A$505,A128)&gt;1,(COUNTIFS('أرقام التواصل'!$A$6:$A$505,"client",'أرقام التواصل'!$B$6:$B$505,A128,'أرقام التواصل'!$I$6:$I$505,"TRUE")+COUNTIFS('أرقام التواصل'!$A$6:$A$505,"client",'أرقام التواصل'!$B$6:$B$505,A128,'أرقام التواصل'!$C$6:$C$505,1))=0),"REVIEW","READY"))))</f>
        <v/>
      </c>
      <c r="BA128" s="16" t="str">
        <f>IF(AZ128="","",IF(OR(AZ128="READY",AZ128="TO_PROPOSED"),"",IF(AZ128="SKIP","Skipped by decision",TRIM(IF(B128="","missing import_action; ","")&amp;IF(A128="","missing migration_customer_key; ","")&amp;IF(AND(A128&lt;&gt;"",COUNTIF($A$6:$A$505,A128)&gt;1),"duplicate migration_customer_key; ","")&amp;IF(AND(NOT(OR(B128="to_candidate",AV128="proposed_name")),E128=""),"missing branch_id; ","")&amp;IF(AND(NOT(OR(B128="to_candidate",AV128="proposed_name")),G128=""),"missing first_name; ","")&amp;IF(AND(NOT(OR(B128="to_candidate",AV128="proposed_name")),I128=""),"missing last_name; ","")&amp;IF(AND(NOT(OR(B128="to_candidate",AV128="proposed_name")),U128=""),"missing final_geo_unit_id; ","")&amp;IF(AV128="","missing final_destination; ","")&amp;IF(AND(NOT(OR(B128="to_candidate",AV128="proposed_name")),(COUNTIFS('أرقام التواصل'!$A$6:$A$505,"client",'أرقام التواصل'!$B$6:$B$505,A128,'أرقام التواصل'!$I$6:$I$505,"TRUE")+COUNTIFS('أرقام التواصل'!$A$6:$A$505,"client",'أرقام التواصل'!$B$6:$B$505,A128,'أرقام التواصل'!$C$6:$C$505,1))=0),"missing primary contact in أرقام التواصل; ","")&amp;IF(OR(B128="to_candidate",AV128="proposed_name"),IF(AW128="","missing proposed_move_reason; ","")&amp;IF(AX128="","missing proposed_name_key; ",""),"")))))</f>
        <v/>
      </c>
    </row>
    <row r="129" spans="1:53">
      <c r="A129" s="11"/>
      <c r="B129" s="12"/>
      <c r="C129" s="13"/>
      <c r="D129" s="12"/>
      <c r="E129" s="12"/>
      <c r="F129" s="12"/>
      <c r="G129" s="12"/>
      <c r="H129" s="12"/>
      <c r="I129" s="12"/>
      <c r="J129" s="12"/>
      <c r="K129" s="12" t="str">
        <f t="shared" si="1"/>
        <v/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 t="str">
        <f t="shared" si="2"/>
        <v/>
      </c>
      <c r="V129" s="12"/>
      <c r="W129" s="14"/>
      <c r="X129" s="14"/>
      <c r="Y129" s="13"/>
      <c r="Z129" s="12"/>
      <c r="AA129" s="12"/>
      <c r="AB129" s="12"/>
      <c r="AC129" s="12"/>
      <c r="AD129" s="15"/>
      <c r="AE129" s="12"/>
      <c r="AF129" s="13"/>
      <c r="AG129" s="12"/>
      <c r="AH129" s="12"/>
      <c r="AI129" s="15"/>
      <c r="AJ129" s="12"/>
      <c r="AK129" s="12"/>
      <c r="AL129" s="12"/>
      <c r="AM129" s="12"/>
      <c r="AN129" s="12"/>
      <c r="AO129" s="12"/>
      <c r="AP129" s="12"/>
      <c r="AQ129" s="15"/>
      <c r="AR129" s="12"/>
      <c r="AS129" s="12"/>
      <c r="AT129" s="12"/>
      <c r="AU129" s="12"/>
      <c r="AV129" s="12"/>
      <c r="AW129" s="12"/>
      <c r="AX129" s="13"/>
      <c r="AY129" s="12"/>
      <c r="AZ129" s="12" t="str">
        <f>IF(AND(A129="",B129="",E129="",G129="",I129="",AV129="",AX129=""),"",IF(OR(B129="skip",AV129="skip"),"SKIP",IF(OR(B129="to_candidate",AV129="proposed_name"),IF(OR(A129="",AW129="",AX129="",COUNTIF($A$6:$A$505,A129)&gt;1),"REVIEW","TO_PROPOSED"),IF(OR(B129="",A129="",E129="",G129="",I129="",U129="",AV129="",COUNTIF($A$6:$A$505,A129)&gt;1,(COUNTIFS('أرقام التواصل'!$A$6:$A$505,"client",'أرقام التواصل'!$B$6:$B$505,A129,'أرقام التواصل'!$I$6:$I$505,"TRUE")+COUNTIFS('أرقام التواصل'!$A$6:$A$505,"client",'أرقام التواصل'!$B$6:$B$505,A129,'أرقام التواصل'!$C$6:$C$505,1))=0),"REVIEW","READY"))))</f>
        <v/>
      </c>
      <c r="BA129" s="16" t="str">
        <f>IF(AZ129="","",IF(OR(AZ129="READY",AZ129="TO_PROPOSED"),"",IF(AZ129="SKIP","Skipped by decision",TRIM(IF(B129="","missing import_action; ","")&amp;IF(A129="","missing migration_customer_key; ","")&amp;IF(AND(A129&lt;&gt;"",COUNTIF($A$6:$A$505,A129)&gt;1),"duplicate migration_customer_key; ","")&amp;IF(AND(NOT(OR(B129="to_candidate",AV129="proposed_name")),E129=""),"missing branch_id; ","")&amp;IF(AND(NOT(OR(B129="to_candidate",AV129="proposed_name")),G129=""),"missing first_name; ","")&amp;IF(AND(NOT(OR(B129="to_candidate",AV129="proposed_name")),I129=""),"missing last_name; ","")&amp;IF(AND(NOT(OR(B129="to_candidate",AV129="proposed_name")),U129=""),"missing final_geo_unit_id; ","")&amp;IF(AV129="","missing final_destination; ","")&amp;IF(AND(NOT(OR(B129="to_candidate",AV129="proposed_name")),(COUNTIFS('أرقام التواصل'!$A$6:$A$505,"client",'أرقام التواصل'!$B$6:$B$505,A129,'أرقام التواصل'!$I$6:$I$505,"TRUE")+COUNTIFS('أرقام التواصل'!$A$6:$A$505,"client",'أرقام التواصل'!$B$6:$B$505,A129,'أرقام التواصل'!$C$6:$C$505,1))=0),"missing primary contact in أرقام التواصل; ","")&amp;IF(OR(B129="to_candidate",AV129="proposed_name"),IF(AW129="","missing proposed_move_reason; ","")&amp;IF(AX129="","missing proposed_name_key; ",""),"")))))</f>
        <v/>
      </c>
    </row>
    <row r="130" spans="1:53">
      <c r="A130" s="11"/>
      <c r="B130" s="12"/>
      <c r="C130" s="13"/>
      <c r="D130" s="12"/>
      <c r="E130" s="12"/>
      <c r="F130" s="12"/>
      <c r="G130" s="12"/>
      <c r="H130" s="12"/>
      <c r="I130" s="12"/>
      <c r="J130" s="12"/>
      <c r="K130" s="12" t="str">
        <f t="shared" si="1"/>
        <v/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 t="str">
        <f t="shared" si="2"/>
        <v/>
      </c>
      <c r="V130" s="12"/>
      <c r="W130" s="14"/>
      <c r="X130" s="14"/>
      <c r="Y130" s="13"/>
      <c r="Z130" s="12"/>
      <c r="AA130" s="12"/>
      <c r="AB130" s="12"/>
      <c r="AC130" s="12"/>
      <c r="AD130" s="15"/>
      <c r="AE130" s="12"/>
      <c r="AF130" s="13"/>
      <c r="AG130" s="12"/>
      <c r="AH130" s="12"/>
      <c r="AI130" s="15"/>
      <c r="AJ130" s="12"/>
      <c r="AK130" s="12"/>
      <c r="AL130" s="12"/>
      <c r="AM130" s="12"/>
      <c r="AN130" s="12"/>
      <c r="AO130" s="12"/>
      <c r="AP130" s="12"/>
      <c r="AQ130" s="15"/>
      <c r="AR130" s="12"/>
      <c r="AS130" s="12"/>
      <c r="AT130" s="12"/>
      <c r="AU130" s="12"/>
      <c r="AV130" s="12"/>
      <c r="AW130" s="12"/>
      <c r="AX130" s="13"/>
      <c r="AY130" s="12"/>
      <c r="AZ130" s="12" t="str">
        <f>IF(AND(A130="",B130="",E130="",G130="",I130="",AV130="",AX130=""),"",IF(OR(B130="skip",AV130="skip"),"SKIP",IF(OR(B130="to_candidate",AV130="proposed_name"),IF(OR(A130="",AW130="",AX130="",COUNTIF($A$6:$A$505,A130)&gt;1),"REVIEW","TO_PROPOSED"),IF(OR(B130="",A130="",E130="",G130="",I130="",U130="",AV130="",COUNTIF($A$6:$A$505,A130)&gt;1,(COUNTIFS('أرقام التواصل'!$A$6:$A$505,"client",'أرقام التواصل'!$B$6:$B$505,A130,'أرقام التواصل'!$I$6:$I$505,"TRUE")+COUNTIFS('أرقام التواصل'!$A$6:$A$505,"client",'أرقام التواصل'!$B$6:$B$505,A130,'أرقام التواصل'!$C$6:$C$505,1))=0),"REVIEW","READY"))))</f>
        <v/>
      </c>
      <c r="BA130" s="16" t="str">
        <f>IF(AZ130="","",IF(OR(AZ130="READY",AZ130="TO_PROPOSED"),"",IF(AZ130="SKIP","Skipped by decision",TRIM(IF(B130="","missing import_action; ","")&amp;IF(A130="","missing migration_customer_key; ","")&amp;IF(AND(A130&lt;&gt;"",COUNTIF($A$6:$A$505,A130)&gt;1),"duplicate migration_customer_key; ","")&amp;IF(AND(NOT(OR(B130="to_candidate",AV130="proposed_name")),E130=""),"missing branch_id; ","")&amp;IF(AND(NOT(OR(B130="to_candidate",AV130="proposed_name")),G130=""),"missing first_name; ","")&amp;IF(AND(NOT(OR(B130="to_candidate",AV130="proposed_name")),I130=""),"missing last_name; ","")&amp;IF(AND(NOT(OR(B130="to_candidate",AV130="proposed_name")),U130=""),"missing final_geo_unit_id; ","")&amp;IF(AV130="","missing final_destination; ","")&amp;IF(AND(NOT(OR(B130="to_candidate",AV130="proposed_name")),(COUNTIFS('أرقام التواصل'!$A$6:$A$505,"client",'أرقام التواصل'!$B$6:$B$505,A130,'أرقام التواصل'!$I$6:$I$505,"TRUE")+COUNTIFS('أرقام التواصل'!$A$6:$A$505,"client",'أرقام التواصل'!$B$6:$B$505,A130,'أرقام التواصل'!$C$6:$C$505,1))=0),"missing primary contact in أرقام التواصل; ","")&amp;IF(OR(B130="to_candidate",AV130="proposed_name"),IF(AW130="","missing proposed_move_reason; ","")&amp;IF(AX130="","missing proposed_name_key; ",""),"")))))</f>
        <v/>
      </c>
    </row>
    <row r="131" spans="1:53">
      <c r="A131" s="11"/>
      <c r="B131" s="12"/>
      <c r="C131" s="13"/>
      <c r="D131" s="12"/>
      <c r="E131" s="12"/>
      <c r="F131" s="12"/>
      <c r="G131" s="12"/>
      <c r="H131" s="12"/>
      <c r="I131" s="12"/>
      <c r="J131" s="12"/>
      <c r="K131" s="12" t="str">
        <f t="shared" si="1"/>
        <v/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 t="str">
        <f t="shared" si="2"/>
        <v/>
      </c>
      <c r="V131" s="12"/>
      <c r="W131" s="14"/>
      <c r="X131" s="14"/>
      <c r="Y131" s="13"/>
      <c r="Z131" s="12"/>
      <c r="AA131" s="12"/>
      <c r="AB131" s="12"/>
      <c r="AC131" s="12"/>
      <c r="AD131" s="15"/>
      <c r="AE131" s="12"/>
      <c r="AF131" s="13"/>
      <c r="AG131" s="12"/>
      <c r="AH131" s="12"/>
      <c r="AI131" s="15"/>
      <c r="AJ131" s="12"/>
      <c r="AK131" s="12"/>
      <c r="AL131" s="12"/>
      <c r="AM131" s="12"/>
      <c r="AN131" s="12"/>
      <c r="AO131" s="12"/>
      <c r="AP131" s="12"/>
      <c r="AQ131" s="15"/>
      <c r="AR131" s="12"/>
      <c r="AS131" s="12"/>
      <c r="AT131" s="12"/>
      <c r="AU131" s="12"/>
      <c r="AV131" s="12"/>
      <c r="AW131" s="12"/>
      <c r="AX131" s="13"/>
      <c r="AY131" s="12"/>
      <c r="AZ131" s="12" t="str">
        <f>IF(AND(A131="",B131="",E131="",G131="",I131="",AV131="",AX131=""),"",IF(OR(B131="skip",AV131="skip"),"SKIP",IF(OR(B131="to_candidate",AV131="proposed_name"),IF(OR(A131="",AW131="",AX131="",COUNTIF($A$6:$A$505,A131)&gt;1),"REVIEW","TO_PROPOSED"),IF(OR(B131="",A131="",E131="",G131="",I131="",U131="",AV131="",COUNTIF($A$6:$A$505,A131)&gt;1,(COUNTIFS('أرقام التواصل'!$A$6:$A$505,"client",'أرقام التواصل'!$B$6:$B$505,A131,'أرقام التواصل'!$I$6:$I$505,"TRUE")+COUNTIFS('أرقام التواصل'!$A$6:$A$505,"client",'أرقام التواصل'!$B$6:$B$505,A131,'أرقام التواصل'!$C$6:$C$505,1))=0),"REVIEW","READY"))))</f>
        <v/>
      </c>
      <c r="BA131" s="16" t="str">
        <f>IF(AZ131="","",IF(OR(AZ131="READY",AZ131="TO_PROPOSED"),"",IF(AZ131="SKIP","Skipped by decision",TRIM(IF(B131="","missing import_action; ","")&amp;IF(A131="","missing migration_customer_key; ","")&amp;IF(AND(A131&lt;&gt;"",COUNTIF($A$6:$A$505,A131)&gt;1),"duplicate migration_customer_key; ","")&amp;IF(AND(NOT(OR(B131="to_candidate",AV131="proposed_name")),E131=""),"missing branch_id; ","")&amp;IF(AND(NOT(OR(B131="to_candidate",AV131="proposed_name")),G131=""),"missing first_name; ","")&amp;IF(AND(NOT(OR(B131="to_candidate",AV131="proposed_name")),I131=""),"missing last_name; ","")&amp;IF(AND(NOT(OR(B131="to_candidate",AV131="proposed_name")),U131=""),"missing final_geo_unit_id; ","")&amp;IF(AV131="","missing final_destination; ","")&amp;IF(AND(NOT(OR(B131="to_candidate",AV131="proposed_name")),(COUNTIFS('أرقام التواصل'!$A$6:$A$505,"client",'أرقام التواصل'!$B$6:$B$505,A131,'أرقام التواصل'!$I$6:$I$505,"TRUE")+COUNTIFS('أرقام التواصل'!$A$6:$A$505,"client",'أرقام التواصل'!$B$6:$B$505,A131,'أرقام التواصل'!$C$6:$C$505,1))=0),"missing primary contact in أرقام التواصل; ","")&amp;IF(OR(B131="to_candidate",AV131="proposed_name"),IF(AW131="","missing proposed_move_reason; ","")&amp;IF(AX131="","missing proposed_name_key; ",""),"")))))</f>
        <v/>
      </c>
    </row>
    <row r="132" spans="1:53">
      <c r="A132" s="11"/>
      <c r="B132" s="12"/>
      <c r="C132" s="13"/>
      <c r="D132" s="12"/>
      <c r="E132" s="12"/>
      <c r="F132" s="12"/>
      <c r="G132" s="12"/>
      <c r="H132" s="12"/>
      <c r="I132" s="12"/>
      <c r="J132" s="12"/>
      <c r="K132" s="12" t="str">
        <f t="shared" si="1"/>
        <v/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 t="str">
        <f t="shared" si="2"/>
        <v/>
      </c>
      <c r="V132" s="12"/>
      <c r="W132" s="14"/>
      <c r="X132" s="14"/>
      <c r="Y132" s="13"/>
      <c r="Z132" s="12"/>
      <c r="AA132" s="12"/>
      <c r="AB132" s="12"/>
      <c r="AC132" s="12"/>
      <c r="AD132" s="15"/>
      <c r="AE132" s="12"/>
      <c r="AF132" s="13"/>
      <c r="AG132" s="12"/>
      <c r="AH132" s="12"/>
      <c r="AI132" s="15"/>
      <c r="AJ132" s="12"/>
      <c r="AK132" s="12"/>
      <c r="AL132" s="12"/>
      <c r="AM132" s="12"/>
      <c r="AN132" s="12"/>
      <c r="AO132" s="12"/>
      <c r="AP132" s="12"/>
      <c r="AQ132" s="15"/>
      <c r="AR132" s="12"/>
      <c r="AS132" s="12"/>
      <c r="AT132" s="12"/>
      <c r="AU132" s="12"/>
      <c r="AV132" s="12"/>
      <c r="AW132" s="12"/>
      <c r="AX132" s="13"/>
      <c r="AY132" s="12"/>
      <c r="AZ132" s="12" t="str">
        <f>IF(AND(A132="",B132="",E132="",G132="",I132="",AV132="",AX132=""),"",IF(OR(B132="skip",AV132="skip"),"SKIP",IF(OR(B132="to_candidate",AV132="proposed_name"),IF(OR(A132="",AW132="",AX132="",COUNTIF($A$6:$A$505,A132)&gt;1),"REVIEW","TO_PROPOSED"),IF(OR(B132="",A132="",E132="",G132="",I132="",U132="",AV132="",COUNTIF($A$6:$A$505,A132)&gt;1,(COUNTIFS('أرقام التواصل'!$A$6:$A$505,"client",'أرقام التواصل'!$B$6:$B$505,A132,'أرقام التواصل'!$I$6:$I$505,"TRUE")+COUNTIFS('أرقام التواصل'!$A$6:$A$505,"client",'أرقام التواصل'!$B$6:$B$505,A132,'أرقام التواصل'!$C$6:$C$505,1))=0),"REVIEW","READY"))))</f>
        <v/>
      </c>
      <c r="BA132" s="16" t="str">
        <f>IF(AZ132="","",IF(OR(AZ132="READY",AZ132="TO_PROPOSED"),"",IF(AZ132="SKIP","Skipped by decision",TRIM(IF(B132="","missing import_action; ","")&amp;IF(A132="","missing migration_customer_key; ","")&amp;IF(AND(A132&lt;&gt;"",COUNTIF($A$6:$A$505,A132)&gt;1),"duplicate migration_customer_key; ","")&amp;IF(AND(NOT(OR(B132="to_candidate",AV132="proposed_name")),E132=""),"missing branch_id; ","")&amp;IF(AND(NOT(OR(B132="to_candidate",AV132="proposed_name")),G132=""),"missing first_name; ","")&amp;IF(AND(NOT(OR(B132="to_candidate",AV132="proposed_name")),I132=""),"missing last_name; ","")&amp;IF(AND(NOT(OR(B132="to_candidate",AV132="proposed_name")),U132=""),"missing final_geo_unit_id; ","")&amp;IF(AV132="","missing final_destination; ","")&amp;IF(AND(NOT(OR(B132="to_candidate",AV132="proposed_name")),(COUNTIFS('أرقام التواصل'!$A$6:$A$505,"client",'أرقام التواصل'!$B$6:$B$505,A132,'أرقام التواصل'!$I$6:$I$505,"TRUE")+COUNTIFS('أرقام التواصل'!$A$6:$A$505,"client",'أرقام التواصل'!$B$6:$B$505,A132,'أرقام التواصل'!$C$6:$C$505,1))=0),"missing primary contact in أرقام التواصل; ","")&amp;IF(OR(B132="to_candidate",AV132="proposed_name"),IF(AW132="","missing proposed_move_reason; ","")&amp;IF(AX132="","missing proposed_name_key; ",""),"")))))</f>
        <v/>
      </c>
    </row>
    <row r="133" spans="1:53">
      <c r="A133" s="11"/>
      <c r="B133" s="12"/>
      <c r="C133" s="13"/>
      <c r="D133" s="12"/>
      <c r="E133" s="12"/>
      <c r="F133" s="12"/>
      <c r="G133" s="12"/>
      <c r="H133" s="12"/>
      <c r="I133" s="12"/>
      <c r="J133" s="12"/>
      <c r="K133" s="12" t="str">
        <f t="shared" si="1"/>
        <v/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 t="str">
        <f t="shared" si="2"/>
        <v/>
      </c>
      <c r="V133" s="12"/>
      <c r="W133" s="14"/>
      <c r="X133" s="14"/>
      <c r="Y133" s="13"/>
      <c r="Z133" s="12"/>
      <c r="AA133" s="12"/>
      <c r="AB133" s="12"/>
      <c r="AC133" s="12"/>
      <c r="AD133" s="15"/>
      <c r="AE133" s="12"/>
      <c r="AF133" s="13"/>
      <c r="AG133" s="12"/>
      <c r="AH133" s="12"/>
      <c r="AI133" s="15"/>
      <c r="AJ133" s="12"/>
      <c r="AK133" s="12"/>
      <c r="AL133" s="12"/>
      <c r="AM133" s="12"/>
      <c r="AN133" s="12"/>
      <c r="AO133" s="12"/>
      <c r="AP133" s="12"/>
      <c r="AQ133" s="15"/>
      <c r="AR133" s="12"/>
      <c r="AS133" s="12"/>
      <c r="AT133" s="12"/>
      <c r="AU133" s="12"/>
      <c r="AV133" s="12"/>
      <c r="AW133" s="12"/>
      <c r="AX133" s="13"/>
      <c r="AY133" s="12"/>
      <c r="AZ133" s="12" t="str">
        <f>IF(AND(A133="",B133="",E133="",G133="",I133="",AV133="",AX133=""),"",IF(OR(B133="skip",AV133="skip"),"SKIP",IF(OR(B133="to_candidate",AV133="proposed_name"),IF(OR(A133="",AW133="",AX133="",COUNTIF($A$6:$A$505,A133)&gt;1),"REVIEW","TO_PROPOSED"),IF(OR(B133="",A133="",E133="",G133="",I133="",U133="",AV133="",COUNTIF($A$6:$A$505,A133)&gt;1,(COUNTIFS('أرقام التواصل'!$A$6:$A$505,"client",'أرقام التواصل'!$B$6:$B$505,A133,'أرقام التواصل'!$I$6:$I$505,"TRUE")+COUNTIFS('أرقام التواصل'!$A$6:$A$505,"client",'أرقام التواصل'!$B$6:$B$505,A133,'أرقام التواصل'!$C$6:$C$505,1))=0),"REVIEW","READY"))))</f>
        <v/>
      </c>
      <c r="BA133" s="16" t="str">
        <f>IF(AZ133="","",IF(OR(AZ133="READY",AZ133="TO_PROPOSED"),"",IF(AZ133="SKIP","Skipped by decision",TRIM(IF(B133="","missing import_action; ","")&amp;IF(A133="","missing migration_customer_key; ","")&amp;IF(AND(A133&lt;&gt;"",COUNTIF($A$6:$A$505,A133)&gt;1),"duplicate migration_customer_key; ","")&amp;IF(AND(NOT(OR(B133="to_candidate",AV133="proposed_name")),E133=""),"missing branch_id; ","")&amp;IF(AND(NOT(OR(B133="to_candidate",AV133="proposed_name")),G133=""),"missing first_name; ","")&amp;IF(AND(NOT(OR(B133="to_candidate",AV133="proposed_name")),I133=""),"missing last_name; ","")&amp;IF(AND(NOT(OR(B133="to_candidate",AV133="proposed_name")),U133=""),"missing final_geo_unit_id; ","")&amp;IF(AV133="","missing final_destination; ","")&amp;IF(AND(NOT(OR(B133="to_candidate",AV133="proposed_name")),(COUNTIFS('أرقام التواصل'!$A$6:$A$505,"client",'أرقام التواصل'!$B$6:$B$505,A133,'أرقام التواصل'!$I$6:$I$505,"TRUE")+COUNTIFS('أرقام التواصل'!$A$6:$A$505,"client",'أرقام التواصل'!$B$6:$B$505,A133,'أرقام التواصل'!$C$6:$C$505,1))=0),"missing primary contact in أرقام التواصل; ","")&amp;IF(OR(B133="to_candidate",AV133="proposed_name"),IF(AW133="","missing proposed_move_reason; ","")&amp;IF(AX133="","missing proposed_name_key; ",""),"")))))</f>
        <v/>
      </c>
    </row>
    <row r="134" spans="1:53">
      <c r="A134" s="11"/>
      <c r="B134" s="12"/>
      <c r="C134" s="13"/>
      <c r="D134" s="12"/>
      <c r="E134" s="12"/>
      <c r="F134" s="12"/>
      <c r="G134" s="12"/>
      <c r="H134" s="12"/>
      <c r="I134" s="12"/>
      <c r="J134" s="12"/>
      <c r="K134" s="12" t="str">
        <f t="shared" ref="K134:K197" si="3">IF(TRIM(G134&amp;" "&amp;H134&amp;" "&amp;I134&amp;IF(J134&lt;&gt;""," ("&amp;J134&amp;")",""))="","",TRIM(G134&amp;" "&amp;H134&amp;" "&amp;I134&amp;IF(J134&lt;&gt;""," ("&amp;J134&amp;")","")))</f>
        <v/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 t="str">
        <f t="shared" ref="U134:U197" si="4">IF(AND(L134="",N134="",P134="",R134=""),"",IF(R134&lt;&gt;"",R134,IF(P134&lt;&gt;"",P134,IF(N134&lt;&gt;"",N134,L134))))</f>
        <v/>
      </c>
      <c r="V134" s="12"/>
      <c r="W134" s="14"/>
      <c r="X134" s="14"/>
      <c r="Y134" s="13"/>
      <c r="Z134" s="12"/>
      <c r="AA134" s="12"/>
      <c r="AB134" s="12"/>
      <c r="AC134" s="12"/>
      <c r="AD134" s="15"/>
      <c r="AE134" s="12"/>
      <c r="AF134" s="13"/>
      <c r="AG134" s="12"/>
      <c r="AH134" s="12"/>
      <c r="AI134" s="15"/>
      <c r="AJ134" s="12"/>
      <c r="AK134" s="12"/>
      <c r="AL134" s="12"/>
      <c r="AM134" s="12"/>
      <c r="AN134" s="12"/>
      <c r="AO134" s="12"/>
      <c r="AP134" s="12"/>
      <c r="AQ134" s="15"/>
      <c r="AR134" s="12"/>
      <c r="AS134" s="12"/>
      <c r="AT134" s="12"/>
      <c r="AU134" s="12"/>
      <c r="AV134" s="12"/>
      <c r="AW134" s="12"/>
      <c r="AX134" s="13"/>
      <c r="AY134" s="12"/>
      <c r="AZ134" s="12" t="str">
        <f>IF(AND(A134="",B134="",E134="",G134="",I134="",AV134="",AX134=""),"",IF(OR(B134="skip",AV134="skip"),"SKIP",IF(OR(B134="to_candidate",AV134="proposed_name"),IF(OR(A134="",AW134="",AX134="",COUNTIF($A$6:$A$505,A134)&gt;1),"REVIEW","TO_PROPOSED"),IF(OR(B134="",A134="",E134="",G134="",I134="",U134="",AV134="",COUNTIF($A$6:$A$505,A134)&gt;1,(COUNTIFS('أرقام التواصل'!$A$6:$A$505,"client",'أرقام التواصل'!$B$6:$B$505,A134,'أرقام التواصل'!$I$6:$I$505,"TRUE")+COUNTIFS('أرقام التواصل'!$A$6:$A$505,"client",'أرقام التواصل'!$B$6:$B$505,A134,'أرقام التواصل'!$C$6:$C$505,1))=0),"REVIEW","READY"))))</f>
        <v/>
      </c>
      <c r="BA134" s="16" t="str">
        <f>IF(AZ134="","",IF(OR(AZ134="READY",AZ134="TO_PROPOSED"),"",IF(AZ134="SKIP","Skipped by decision",TRIM(IF(B134="","missing import_action; ","")&amp;IF(A134="","missing migration_customer_key; ","")&amp;IF(AND(A134&lt;&gt;"",COUNTIF($A$6:$A$505,A134)&gt;1),"duplicate migration_customer_key; ","")&amp;IF(AND(NOT(OR(B134="to_candidate",AV134="proposed_name")),E134=""),"missing branch_id; ","")&amp;IF(AND(NOT(OR(B134="to_candidate",AV134="proposed_name")),G134=""),"missing first_name; ","")&amp;IF(AND(NOT(OR(B134="to_candidate",AV134="proposed_name")),I134=""),"missing last_name; ","")&amp;IF(AND(NOT(OR(B134="to_candidate",AV134="proposed_name")),U134=""),"missing final_geo_unit_id; ","")&amp;IF(AV134="","missing final_destination; ","")&amp;IF(AND(NOT(OR(B134="to_candidate",AV134="proposed_name")),(COUNTIFS('أرقام التواصل'!$A$6:$A$505,"client",'أرقام التواصل'!$B$6:$B$505,A134,'أرقام التواصل'!$I$6:$I$505,"TRUE")+COUNTIFS('أرقام التواصل'!$A$6:$A$505,"client",'أرقام التواصل'!$B$6:$B$505,A134,'أرقام التواصل'!$C$6:$C$505,1))=0),"missing primary contact in أرقام التواصل; ","")&amp;IF(OR(B134="to_candidate",AV134="proposed_name"),IF(AW134="","missing proposed_move_reason; ","")&amp;IF(AX134="","missing proposed_name_key; ",""),"")))))</f>
        <v/>
      </c>
    </row>
    <row r="135" spans="1:53">
      <c r="A135" s="11"/>
      <c r="B135" s="12"/>
      <c r="C135" s="13"/>
      <c r="D135" s="12"/>
      <c r="E135" s="12"/>
      <c r="F135" s="12"/>
      <c r="G135" s="12"/>
      <c r="H135" s="12"/>
      <c r="I135" s="12"/>
      <c r="J135" s="12"/>
      <c r="K135" s="12" t="str">
        <f t="shared" si="3"/>
        <v/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 t="str">
        <f t="shared" si="4"/>
        <v/>
      </c>
      <c r="V135" s="12"/>
      <c r="W135" s="14"/>
      <c r="X135" s="14"/>
      <c r="Y135" s="13"/>
      <c r="Z135" s="12"/>
      <c r="AA135" s="12"/>
      <c r="AB135" s="12"/>
      <c r="AC135" s="12"/>
      <c r="AD135" s="15"/>
      <c r="AE135" s="12"/>
      <c r="AF135" s="13"/>
      <c r="AG135" s="12"/>
      <c r="AH135" s="12"/>
      <c r="AI135" s="15"/>
      <c r="AJ135" s="12"/>
      <c r="AK135" s="12"/>
      <c r="AL135" s="12"/>
      <c r="AM135" s="12"/>
      <c r="AN135" s="12"/>
      <c r="AO135" s="12"/>
      <c r="AP135" s="12"/>
      <c r="AQ135" s="15"/>
      <c r="AR135" s="12"/>
      <c r="AS135" s="12"/>
      <c r="AT135" s="12"/>
      <c r="AU135" s="12"/>
      <c r="AV135" s="12"/>
      <c r="AW135" s="12"/>
      <c r="AX135" s="13"/>
      <c r="AY135" s="12"/>
      <c r="AZ135" s="12" t="str">
        <f>IF(AND(A135="",B135="",E135="",G135="",I135="",AV135="",AX135=""),"",IF(OR(B135="skip",AV135="skip"),"SKIP",IF(OR(B135="to_candidate",AV135="proposed_name"),IF(OR(A135="",AW135="",AX135="",COUNTIF($A$6:$A$505,A135)&gt;1),"REVIEW","TO_PROPOSED"),IF(OR(B135="",A135="",E135="",G135="",I135="",U135="",AV135="",COUNTIF($A$6:$A$505,A135)&gt;1,(COUNTIFS('أرقام التواصل'!$A$6:$A$505,"client",'أرقام التواصل'!$B$6:$B$505,A135,'أرقام التواصل'!$I$6:$I$505,"TRUE")+COUNTIFS('أرقام التواصل'!$A$6:$A$505,"client",'أرقام التواصل'!$B$6:$B$505,A135,'أرقام التواصل'!$C$6:$C$505,1))=0),"REVIEW","READY"))))</f>
        <v/>
      </c>
      <c r="BA135" s="16" t="str">
        <f>IF(AZ135="","",IF(OR(AZ135="READY",AZ135="TO_PROPOSED"),"",IF(AZ135="SKIP","Skipped by decision",TRIM(IF(B135="","missing import_action; ","")&amp;IF(A135="","missing migration_customer_key; ","")&amp;IF(AND(A135&lt;&gt;"",COUNTIF($A$6:$A$505,A135)&gt;1),"duplicate migration_customer_key; ","")&amp;IF(AND(NOT(OR(B135="to_candidate",AV135="proposed_name")),E135=""),"missing branch_id; ","")&amp;IF(AND(NOT(OR(B135="to_candidate",AV135="proposed_name")),G135=""),"missing first_name; ","")&amp;IF(AND(NOT(OR(B135="to_candidate",AV135="proposed_name")),I135=""),"missing last_name; ","")&amp;IF(AND(NOT(OR(B135="to_candidate",AV135="proposed_name")),U135=""),"missing final_geo_unit_id; ","")&amp;IF(AV135="","missing final_destination; ","")&amp;IF(AND(NOT(OR(B135="to_candidate",AV135="proposed_name")),(COUNTIFS('أرقام التواصل'!$A$6:$A$505,"client",'أرقام التواصل'!$B$6:$B$505,A135,'أرقام التواصل'!$I$6:$I$505,"TRUE")+COUNTIFS('أرقام التواصل'!$A$6:$A$505,"client",'أرقام التواصل'!$B$6:$B$505,A135,'أرقام التواصل'!$C$6:$C$505,1))=0),"missing primary contact in أرقام التواصل; ","")&amp;IF(OR(B135="to_candidate",AV135="proposed_name"),IF(AW135="","missing proposed_move_reason; ","")&amp;IF(AX135="","missing proposed_name_key; ",""),"")))))</f>
        <v/>
      </c>
    </row>
    <row r="136" spans="1:53">
      <c r="A136" s="11"/>
      <c r="B136" s="12"/>
      <c r="C136" s="13"/>
      <c r="D136" s="12"/>
      <c r="E136" s="12"/>
      <c r="F136" s="12"/>
      <c r="G136" s="12"/>
      <c r="H136" s="12"/>
      <c r="I136" s="12"/>
      <c r="J136" s="12"/>
      <c r="K136" s="12" t="str">
        <f t="shared" si="3"/>
        <v/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 t="str">
        <f t="shared" si="4"/>
        <v/>
      </c>
      <c r="V136" s="12"/>
      <c r="W136" s="14"/>
      <c r="X136" s="14"/>
      <c r="Y136" s="13"/>
      <c r="Z136" s="12"/>
      <c r="AA136" s="12"/>
      <c r="AB136" s="12"/>
      <c r="AC136" s="12"/>
      <c r="AD136" s="15"/>
      <c r="AE136" s="12"/>
      <c r="AF136" s="13"/>
      <c r="AG136" s="12"/>
      <c r="AH136" s="12"/>
      <c r="AI136" s="15"/>
      <c r="AJ136" s="12"/>
      <c r="AK136" s="12"/>
      <c r="AL136" s="12"/>
      <c r="AM136" s="12"/>
      <c r="AN136" s="12"/>
      <c r="AO136" s="12"/>
      <c r="AP136" s="12"/>
      <c r="AQ136" s="15"/>
      <c r="AR136" s="12"/>
      <c r="AS136" s="12"/>
      <c r="AT136" s="12"/>
      <c r="AU136" s="12"/>
      <c r="AV136" s="12"/>
      <c r="AW136" s="12"/>
      <c r="AX136" s="13"/>
      <c r="AY136" s="12"/>
      <c r="AZ136" s="12" t="str">
        <f>IF(AND(A136="",B136="",E136="",G136="",I136="",AV136="",AX136=""),"",IF(OR(B136="skip",AV136="skip"),"SKIP",IF(OR(B136="to_candidate",AV136="proposed_name"),IF(OR(A136="",AW136="",AX136="",COUNTIF($A$6:$A$505,A136)&gt;1),"REVIEW","TO_PROPOSED"),IF(OR(B136="",A136="",E136="",G136="",I136="",U136="",AV136="",COUNTIF($A$6:$A$505,A136)&gt;1,(COUNTIFS('أرقام التواصل'!$A$6:$A$505,"client",'أرقام التواصل'!$B$6:$B$505,A136,'أرقام التواصل'!$I$6:$I$505,"TRUE")+COUNTIFS('أرقام التواصل'!$A$6:$A$505,"client",'أرقام التواصل'!$B$6:$B$505,A136,'أرقام التواصل'!$C$6:$C$505,1))=0),"REVIEW","READY"))))</f>
        <v/>
      </c>
      <c r="BA136" s="16" t="str">
        <f>IF(AZ136="","",IF(OR(AZ136="READY",AZ136="TO_PROPOSED"),"",IF(AZ136="SKIP","Skipped by decision",TRIM(IF(B136="","missing import_action; ","")&amp;IF(A136="","missing migration_customer_key; ","")&amp;IF(AND(A136&lt;&gt;"",COUNTIF($A$6:$A$505,A136)&gt;1),"duplicate migration_customer_key; ","")&amp;IF(AND(NOT(OR(B136="to_candidate",AV136="proposed_name")),E136=""),"missing branch_id; ","")&amp;IF(AND(NOT(OR(B136="to_candidate",AV136="proposed_name")),G136=""),"missing first_name; ","")&amp;IF(AND(NOT(OR(B136="to_candidate",AV136="proposed_name")),I136=""),"missing last_name; ","")&amp;IF(AND(NOT(OR(B136="to_candidate",AV136="proposed_name")),U136=""),"missing final_geo_unit_id; ","")&amp;IF(AV136="","missing final_destination; ","")&amp;IF(AND(NOT(OR(B136="to_candidate",AV136="proposed_name")),(COUNTIFS('أرقام التواصل'!$A$6:$A$505,"client",'أرقام التواصل'!$B$6:$B$505,A136,'أرقام التواصل'!$I$6:$I$505,"TRUE")+COUNTIFS('أرقام التواصل'!$A$6:$A$505,"client",'أرقام التواصل'!$B$6:$B$505,A136,'أرقام التواصل'!$C$6:$C$505,1))=0),"missing primary contact in أرقام التواصل; ","")&amp;IF(OR(B136="to_candidate",AV136="proposed_name"),IF(AW136="","missing proposed_move_reason; ","")&amp;IF(AX136="","missing proposed_name_key; ",""),"")))))</f>
        <v/>
      </c>
    </row>
    <row r="137" spans="1:53">
      <c r="A137" s="11"/>
      <c r="B137" s="12"/>
      <c r="C137" s="13"/>
      <c r="D137" s="12"/>
      <c r="E137" s="12"/>
      <c r="F137" s="12"/>
      <c r="G137" s="12"/>
      <c r="H137" s="12"/>
      <c r="I137" s="12"/>
      <c r="J137" s="12"/>
      <c r="K137" s="12" t="str">
        <f t="shared" si="3"/>
        <v/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 t="str">
        <f t="shared" si="4"/>
        <v/>
      </c>
      <c r="V137" s="12"/>
      <c r="W137" s="14"/>
      <c r="X137" s="14"/>
      <c r="Y137" s="13"/>
      <c r="Z137" s="12"/>
      <c r="AA137" s="12"/>
      <c r="AB137" s="12"/>
      <c r="AC137" s="12"/>
      <c r="AD137" s="15"/>
      <c r="AE137" s="12"/>
      <c r="AF137" s="13"/>
      <c r="AG137" s="12"/>
      <c r="AH137" s="12"/>
      <c r="AI137" s="15"/>
      <c r="AJ137" s="12"/>
      <c r="AK137" s="12"/>
      <c r="AL137" s="12"/>
      <c r="AM137" s="12"/>
      <c r="AN137" s="12"/>
      <c r="AO137" s="12"/>
      <c r="AP137" s="12"/>
      <c r="AQ137" s="15"/>
      <c r="AR137" s="12"/>
      <c r="AS137" s="12"/>
      <c r="AT137" s="12"/>
      <c r="AU137" s="12"/>
      <c r="AV137" s="12"/>
      <c r="AW137" s="12"/>
      <c r="AX137" s="13"/>
      <c r="AY137" s="12"/>
      <c r="AZ137" s="12" t="str">
        <f>IF(AND(A137="",B137="",E137="",G137="",I137="",AV137="",AX137=""),"",IF(OR(B137="skip",AV137="skip"),"SKIP",IF(OR(B137="to_candidate",AV137="proposed_name"),IF(OR(A137="",AW137="",AX137="",COUNTIF($A$6:$A$505,A137)&gt;1),"REVIEW","TO_PROPOSED"),IF(OR(B137="",A137="",E137="",G137="",I137="",U137="",AV137="",COUNTIF($A$6:$A$505,A137)&gt;1,(COUNTIFS('أرقام التواصل'!$A$6:$A$505,"client",'أرقام التواصل'!$B$6:$B$505,A137,'أرقام التواصل'!$I$6:$I$505,"TRUE")+COUNTIFS('أرقام التواصل'!$A$6:$A$505,"client",'أرقام التواصل'!$B$6:$B$505,A137,'أرقام التواصل'!$C$6:$C$505,1))=0),"REVIEW","READY"))))</f>
        <v/>
      </c>
      <c r="BA137" s="16" t="str">
        <f>IF(AZ137="","",IF(OR(AZ137="READY",AZ137="TO_PROPOSED"),"",IF(AZ137="SKIP","Skipped by decision",TRIM(IF(B137="","missing import_action; ","")&amp;IF(A137="","missing migration_customer_key; ","")&amp;IF(AND(A137&lt;&gt;"",COUNTIF($A$6:$A$505,A137)&gt;1),"duplicate migration_customer_key; ","")&amp;IF(AND(NOT(OR(B137="to_candidate",AV137="proposed_name")),E137=""),"missing branch_id; ","")&amp;IF(AND(NOT(OR(B137="to_candidate",AV137="proposed_name")),G137=""),"missing first_name; ","")&amp;IF(AND(NOT(OR(B137="to_candidate",AV137="proposed_name")),I137=""),"missing last_name; ","")&amp;IF(AND(NOT(OR(B137="to_candidate",AV137="proposed_name")),U137=""),"missing final_geo_unit_id; ","")&amp;IF(AV137="","missing final_destination; ","")&amp;IF(AND(NOT(OR(B137="to_candidate",AV137="proposed_name")),(COUNTIFS('أرقام التواصل'!$A$6:$A$505,"client",'أرقام التواصل'!$B$6:$B$505,A137,'أرقام التواصل'!$I$6:$I$505,"TRUE")+COUNTIFS('أرقام التواصل'!$A$6:$A$505,"client",'أرقام التواصل'!$B$6:$B$505,A137,'أرقام التواصل'!$C$6:$C$505,1))=0),"missing primary contact in أرقام التواصل; ","")&amp;IF(OR(B137="to_candidate",AV137="proposed_name"),IF(AW137="","missing proposed_move_reason; ","")&amp;IF(AX137="","missing proposed_name_key; ",""),"")))))</f>
        <v/>
      </c>
    </row>
    <row r="138" spans="1:53">
      <c r="A138" s="11"/>
      <c r="B138" s="12"/>
      <c r="C138" s="13"/>
      <c r="D138" s="12"/>
      <c r="E138" s="12"/>
      <c r="F138" s="12"/>
      <c r="G138" s="12"/>
      <c r="H138" s="12"/>
      <c r="I138" s="12"/>
      <c r="J138" s="12"/>
      <c r="K138" s="12" t="str">
        <f t="shared" si="3"/>
        <v/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 t="str">
        <f t="shared" si="4"/>
        <v/>
      </c>
      <c r="V138" s="12"/>
      <c r="W138" s="14"/>
      <c r="X138" s="14"/>
      <c r="Y138" s="13"/>
      <c r="Z138" s="12"/>
      <c r="AA138" s="12"/>
      <c r="AB138" s="12"/>
      <c r="AC138" s="12"/>
      <c r="AD138" s="15"/>
      <c r="AE138" s="12"/>
      <c r="AF138" s="13"/>
      <c r="AG138" s="12"/>
      <c r="AH138" s="12"/>
      <c r="AI138" s="15"/>
      <c r="AJ138" s="12"/>
      <c r="AK138" s="12"/>
      <c r="AL138" s="12"/>
      <c r="AM138" s="12"/>
      <c r="AN138" s="12"/>
      <c r="AO138" s="12"/>
      <c r="AP138" s="12"/>
      <c r="AQ138" s="15"/>
      <c r="AR138" s="12"/>
      <c r="AS138" s="12"/>
      <c r="AT138" s="12"/>
      <c r="AU138" s="12"/>
      <c r="AV138" s="12"/>
      <c r="AW138" s="12"/>
      <c r="AX138" s="13"/>
      <c r="AY138" s="12"/>
      <c r="AZ138" s="12" t="str">
        <f>IF(AND(A138="",B138="",E138="",G138="",I138="",AV138="",AX138=""),"",IF(OR(B138="skip",AV138="skip"),"SKIP",IF(OR(B138="to_candidate",AV138="proposed_name"),IF(OR(A138="",AW138="",AX138="",COUNTIF($A$6:$A$505,A138)&gt;1),"REVIEW","TO_PROPOSED"),IF(OR(B138="",A138="",E138="",G138="",I138="",U138="",AV138="",COUNTIF($A$6:$A$505,A138)&gt;1,(COUNTIFS('أرقام التواصل'!$A$6:$A$505,"client",'أرقام التواصل'!$B$6:$B$505,A138,'أرقام التواصل'!$I$6:$I$505,"TRUE")+COUNTIFS('أرقام التواصل'!$A$6:$A$505,"client",'أرقام التواصل'!$B$6:$B$505,A138,'أرقام التواصل'!$C$6:$C$505,1))=0),"REVIEW","READY"))))</f>
        <v/>
      </c>
      <c r="BA138" s="16" t="str">
        <f>IF(AZ138="","",IF(OR(AZ138="READY",AZ138="TO_PROPOSED"),"",IF(AZ138="SKIP","Skipped by decision",TRIM(IF(B138="","missing import_action; ","")&amp;IF(A138="","missing migration_customer_key; ","")&amp;IF(AND(A138&lt;&gt;"",COUNTIF($A$6:$A$505,A138)&gt;1),"duplicate migration_customer_key; ","")&amp;IF(AND(NOT(OR(B138="to_candidate",AV138="proposed_name")),E138=""),"missing branch_id; ","")&amp;IF(AND(NOT(OR(B138="to_candidate",AV138="proposed_name")),G138=""),"missing first_name; ","")&amp;IF(AND(NOT(OR(B138="to_candidate",AV138="proposed_name")),I138=""),"missing last_name; ","")&amp;IF(AND(NOT(OR(B138="to_candidate",AV138="proposed_name")),U138=""),"missing final_geo_unit_id; ","")&amp;IF(AV138="","missing final_destination; ","")&amp;IF(AND(NOT(OR(B138="to_candidate",AV138="proposed_name")),(COUNTIFS('أرقام التواصل'!$A$6:$A$505,"client",'أرقام التواصل'!$B$6:$B$505,A138,'أرقام التواصل'!$I$6:$I$505,"TRUE")+COUNTIFS('أرقام التواصل'!$A$6:$A$505,"client",'أرقام التواصل'!$B$6:$B$505,A138,'أرقام التواصل'!$C$6:$C$505,1))=0),"missing primary contact in أرقام التواصل; ","")&amp;IF(OR(B138="to_candidate",AV138="proposed_name"),IF(AW138="","missing proposed_move_reason; ","")&amp;IF(AX138="","missing proposed_name_key; ",""),"")))))</f>
        <v/>
      </c>
    </row>
    <row r="139" spans="1:53">
      <c r="A139" s="11"/>
      <c r="B139" s="12"/>
      <c r="C139" s="13"/>
      <c r="D139" s="12"/>
      <c r="E139" s="12"/>
      <c r="F139" s="12"/>
      <c r="G139" s="12"/>
      <c r="H139" s="12"/>
      <c r="I139" s="12"/>
      <c r="J139" s="12"/>
      <c r="K139" s="12" t="str">
        <f t="shared" si="3"/>
        <v/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 t="str">
        <f t="shared" si="4"/>
        <v/>
      </c>
      <c r="V139" s="12"/>
      <c r="W139" s="14"/>
      <c r="X139" s="14"/>
      <c r="Y139" s="13"/>
      <c r="Z139" s="12"/>
      <c r="AA139" s="12"/>
      <c r="AB139" s="12"/>
      <c r="AC139" s="12"/>
      <c r="AD139" s="15"/>
      <c r="AE139" s="12"/>
      <c r="AF139" s="13"/>
      <c r="AG139" s="12"/>
      <c r="AH139" s="12"/>
      <c r="AI139" s="15"/>
      <c r="AJ139" s="12"/>
      <c r="AK139" s="12"/>
      <c r="AL139" s="12"/>
      <c r="AM139" s="12"/>
      <c r="AN139" s="12"/>
      <c r="AO139" s="12"/>
      <c r="AP139" s="12"/>
      <c r="AQ139" s="15"/>
      <c r="AR139" s="12"/>
      <c r="AS139" s="12"/>
      <c r="AT139" s="12"/>
      <c r="AU139" s="12"/>
      <c r="AV139" s="12"/>
      <c r="AW139" s="12"/>
      <c r="AX139" s="13"/>
      <c r="AY139" s="12"/>
      <c r="AZ139" s="12" t="str">
        <f>IF(AND(A139="",B139="",E139="",G139="",I139="",AV139="",AX139=""),"",IF(OR(B139="skip",AV139="skip"),"SKIP",IF(OR(B139="to_candidate",AV139="proposed_name"),IF(OR(A139="",AW139="",AX139="",COUNTIF($A$6:$A$505,A139)&gt;1),"REVIEW","TO_PROPOSED"),IF(OR(B139="",A139="",E139="",G139="",I139="",U139="",AV139="",COUNTIF($A$6:$A$505,A139)&gt;1,(COUNTIFS('أرقام التواصل'!$A$6:$A$505,"client",'أرقام التواصل'!$B$6:$B$505,A139,'أرقام التواصل'!$I$6:$I$505,"TRUE")+COUNTIFS('أرقام التواصل'!$A$6:$A$505,"client",'أرقام التواصل'!$B$6:$B$505,A139,'أرقام التواصل'!$C$6:$C$505,1))=0),"REVIEW","READY"))))</f>
        <v/>
      </c>
      <c r="BA139" s="16" t="str">
        <f>IF(AZ139="","",IF(OR(AZ139="READY",AZ139="TO_PROPOSED"),"",IF(AZ139="SKIP","Skipped by decision",TRIM(IF(B139="","missing import_action; ","")&amp;IF(A139="","missing migration_customer_key; ","")&amp;IF(AND(A139&lt;&gt;"",COUNTIF($A$6:$A$505,A139)&gt;1),"duplicate migration_customer_key; ","")&amp;IF(AND(NOT(OR(B139="to_candidate",AV139="proposed_name")),E139=""),"missing branch_id; ","")&amp;IF(AND(NOT(OR(B139="to_candidate",AV139="proposed_name")),G139=""),"missing first_name; ","")&amp;IF(AND(NOT(OR(B139="to_candidate",AV139="proposed_name")),I139=""),"missing last_name; ","")&amp;IF(AND(NOT(OR(B139="to_candidate",AV139="proposed_name")),U139=""),"missing final_geo_unit_id; ","")&amp;IF(AV139="","missing final_destination; ","")&amp;IF(AND(NOT(OR(B139="to_candidate",AV139="proposed_name")),(COUNTIFS('أرقام التواصل'!$A$6:$A$505,"client",'أرقام التواصل'!$B$6:$B$505,A139,'أرقام التواصل'!$I$6:$I$505,"TRUE")+COUNTIFS('أرقام التواصل'!$A$6:$A$505,"client",'أرقام التواصل'!$B$6:$B$505,A139,'أرقام التواصل'!$C$6:$C$505,1))=0),"missing primary contact in أرقام التواصل; ","")&amp;IF(OR(B139="to_candidate",AV139="proposed_name"),IF(AW139="","missing proposed_move_reason; ","")&amp;IF(AX139="","missing proposed_name_key; ",""),"")))))</f>
        <v/>
      </c>
    </row>
    <row r="140" spans="1:53">
      <c r="A140" s="11"/>
      <c r="B140" s="12"/>
      <c r="C140" s="13"/>
      <c r="D140" s="12"/>
      <c r="E140" s="12"/>
      <c r="F140" s="12"/>
      <c r="G140" s="12"/>
      <c r="H140" s="12"/>
      <c r="I140" s="12"/>
      <c r="J140" s="12"/>
      <c r="K140" s="12" t="str">
        <f t="shared" si="3"/>
        <v/>
      </c>
      <c r="L140" s="12"/>
      <c r="M140" s="12"/>
      <c r="N140" s="12"/>
      <c r="O140" s="12"/>
      <c r="P140" s="12"/>
      <c r="Q140" s="12"/>
      <c r="R140" s="12"/>
      <c r="S140" s="12"/>
      <c r="T140" s="12"/>
      <c r="U140" s="12" t="str">
        <f t="shared" si="4"/>
        <v/>
      </c>
      <c r="V140" s="12"/>
      <c r="W140" s="14"/>
      <c r="X140" s="14"/>
      <c r="Y140" s="13"/>
      <c r="Z140" s="12"/>
      <c r="AA140" s="12"/>
      <c r="AB140" s="12"/>
      <c r="AC140" s="12"/>
      <c r="AD140" s="15"/>
      <c r="AE140" s="12"/>
      <c r="AF140" s="13"/>
      <c r="AG140" s="12"/>
      <c r="AH140" s="12"/>
      <c r="AI140" s="15"/>
      <c r="AJ140" s="12"/>
      <c r="AK140" s="12"/>
      <c r="AL140" s="12"/>
      <c r="AM140" s="12"/>
      <c r="AN140" s="12"/>
      <c r="AO140" s="12"/>
      <c r="AP140" s="12"/>
      <c r="AQ140" s="15"/>
      <c r="AR140" s="12"/>
      <c r="AS140" s="12"/>
      <c r="AT140" s="12"/>
      <c r="AU140" s="12"/>
      <c r="AV140" s="12"/>
      <c r="AW140" s="12"/>
      <c r="AX140" s="13"/>
      <c r="AY140" s="12"/>
      <c r="AZ140" s="12" t="str">
        <f>IF(AND(A140="",B140="",E140="",G140="",I140="",AV140="",AX140=""),"",IF(OR(B140="skip",AV140="skip"),"SKIP",IF(OR(B140="to_candidate",AV140="proposed_name"),IF(OR(A140="",AW140="",AX140="",COUNTIF($A$6:$A$505,A140)&gt;1),"REVIEW","TO_PROPOSED"),IF(OR(B140="",A140="",E140="",G140="",I140="",U140="",AV140="",COUNTIF($A$6:$A$505,A140)&gt;1,(COUNTIFS('أرقام التواصل'!$A$6:$A$505,"client",'أرقام التواصل'!$B$6:$B$505,A140,'أرقام التواصل'!$I$6:$I$505,"TRUE")+COUNTIFS('أرقام التواصل'!$A$6:$A$505,"client",'أرقام التواصل'!$B$6:$B$505,A140,'أرقام التواصل'!$C$6:$C$505,1))=0),"REVIEW","READY"))))</f>
        <v/>
      </c>
      <c r="BA140" s="16" t="str">
        <f>IF(AZ140="","",IF(OR(AZ140="READY",AZ140="TO_PROPOSED"),"",IF(AZ140="SKIP","Skipped by decision",TRIM(IF(B140="","missing import_action; ","")&amp;IF(A140="","missing migration_customer_key; ","")&amp;IF(AND(A140&lt;&gt;"",COUNTIF($A$6:$A$505,A140)&gt;1),"duplicate migration_customer_key; ","")&amp;IF(AND(NOT(OR(B140="to_candidate",AV140="proposed_name")),E140=""),"missing branch_id; ","")&amp;IF(AND(NOT(OR(B140="to_candidate",AV140="proposed_name")),G140=""),"missing first_name; ","")&amp;IF(AND(NOT(OR(B140="to_candidate",AV140="proposed_name")),I140=""),"missing last_name; ","")&amp;IF(AND(NOT(OR(B140="to_candidate",AV140="proposed_name")),U140=""),"missing final_geo_unit_id; ","")&amp;IF(AV140="","missing final_destination; ","")&amp;IF(AND(NOT(OR(B140="to_candidate",AV140="proposed_name")),(COUNTIFS('أرقام التواصل'!$A$6:$A$505,"client",'أرقام التواصل'!$B$6:$B$505,A140,'أرقام التواصل'!$I$6:$I$505,"TRUE")+COUNTIFS('أرقام التواصل'!$A$6:$A$505,"client",'أرقام التواصل'!$B$6:$B$505,A140,'أرقام التواصل'!$C$6:$C$505,1))=0),"missing primary contact in أرقام التواصل; ","")&amp;IF(OR(B140="to_candidate",AV140="proposed_name"),IF(AW140="","missing proposed_move_reason; ","")&amp;IF(AX140="","missing proposed_name_key; ",""),"")))))</f>
        <v/>
      </c>
    </row>
    <row r="141" spans="1:53">
      <c r="A141" s="11"/>
      <c r="B141" s="12"/>
      <c r="C141" s="13"/>
      <c r="D141" s="12"/>
      <c r="E141" s="12"/>
      <c r="F141" s="12"/>
      <c r="G141" s="12"/>
      <c r="H141" s="12"/>
      <c r="I141" s="12"/>
      <c r="J141" s="12"/>
      <c r="K141" s="12" t="str">
        <f t="shared" si="3"/>
        <v/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 t="str">
        <f t="shared" si="4"/>
        <v/>
      </c>
      <c r="V141" s="12"/>
      <c r="W141" s="14"/>
      <c r="X141" s="14"/>
      <c r="Y141" s="13"/>
      <c r="Z141" s="12"/>
      <c r="AA141" s="12"/>
      <c r="AB141" s="12"/>
      <c r="AC141" s="12"/>
      <c r="AD141" s="15"/>
      <c r="AE141" s="12"/>
      <c r="AF141" s="13"/>
      <c r="AG141" s="12"/>
      <c r="AH141" s="12"/>
      <c r="AI141" s="15"/>
      <c r="AJ141" s="12"/>
      <c r="AK141" s="12"/>
      <c r="AL141" s="12"/>
      <c r="AM141" s="12"/>
      <c r="AN141" s="12"/>
      <c r="AO141" s="12"/>
      <c r="AP141" s="12"/>
      <c r="AQ141" s="15"/>
      <c r="AR141" s="12"/>
      <c r="AS141" s="12"/>
      <c r="AT141" s="12"/>
      <c r="AU141" s="12"/>
      <c r="AV141" s="12"/>
      <c r="AW141" s="12"/>
      <c r="AX141" s="13"/>
      <c r="AY141" s="12"/>
      <c r="AZ141" s="12" t="str">
        <f>IF(AND(A141="",B141="",E141="",G141="",I141="",AV141="",AX141=""),"",IF(OR(B141="skip",AV141="skip"),"SKIP",IF(OR(B141="to_candidate",AV141="proposed_name"),IF(OR(A141="",AW141="",AX141="",COUNTIF($A$6:$A$505,A141)&gt;1),"REVIEW","TO_PROPOSED"),IF(OR(B141="",A141="",E141="",G141="",I141="",U141="",AV141="",COUNTIF($A$6:$A$505,A141)&gt;1,(COUNTIFS('أرقام التواصل'!$A$6:$A$505,"client",'أرقام التواصل'!$B$6:$B$505,A141,'أرقام التواصل'!$I$6:$I$505,"TRUE")+COUNTIFS('أرقام التواصل'!$A$6:$A$505,"client",'أرقام التواصل'!$B$6:$B$505,A141,'أرقام التواصل'!$C$6:$C$505,1))=0),"REVIEW","READY"))))</f>
        <v/>
      </c>
      <c r="BA141" s="16" t="str">
        <f>IF(AZ141="","",IF(OR(AZ141="READY",AZ141="TO_PROPOSED"),"",IF(AZ141="SKIP","Skipped by decision",TRIM(IF(B141="","missing import_action; ","")&amp;IF(A141="","missing migration_customer_key; ","")&amp;IF(AND(A141&lt;&gt;"",COUNTIF($A$6:$A$505,A141)&gt;1),"duplicate migration_customer_key; ","")&amp;IF(AND(NOT(OR(B141="to_candidate",AV141="proposed_name")),E141=""),"missing branch_id; ","")&amp;IF(AND(NOT(OR(B141="to_candidate",AV141="proposed_name")),G141=""),"missing first_name; ","")&amp;IF(AND(NOT(OR(B141="to_candidate",AV141="proposed_name")),I141=""),"missing last_name; ","")&amp;IF(AND(NOT(OR(B141="to_candidate",AV141="proposed_name")),U141=""),"missing final_geo_unit_id; ","")&amp;IF(AV141="","missing final_destination; ","")&amp;IF(AND(NOT(OR(B141="to_candidate",AV141="proposed_name")),(COUNTIFS('أرقام التواصل'!$A$6:$A$505,"client",'أرقام التواصل'!$B$6:$B$505,A141,'أرقام التواصل'!$I$6:$I$505,"TRUE")+COUNTIFS('أرقام التواصل'!$A$6:$A$505,"client",'أرقام التواصل'!$B$6:$B$505,A141,'أرقام التواصل'!$C$6:$C$505,1))=0),"missing primary contact in أرقام التواصل; ","")&amp;IF(OR(B141="to_candidate",AV141="proposed_name"),IF(AW141="","missing proposed_move_reason; ","")&amp;IF(AX141="","missing proposed_name_key; ",""),"")))))</f>
        <v/>
      </c>
    </row>
    <row r="142" spans="1:53">
      <c r="A142" s="11"/>
      <c r="B142" s="12"/>
      <c r="C142" s="13"/>
      <c r="D142" s="12"/>
      <c r="E142" s="12"/>
      <c r="F142" s="12"/>
      <c r="G142" s="12"/>
      <c r="H142" s="12"/>
      <c r="I142" s="12"/>
      <c r="J142" s="12"/>
      <c r="K142" s="12" t="str">
        <f t="shared" si="3"/>
        <v/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 t="str">
        <f t="shared" si="4"/>
        <v/>
      </c>
      <c r="V142" s="12"/>
      <c r="W142" s="14"/>
      <c r="X142" s="14"/>
      <c r="Y142" s="13"/>
      <c r="Z142" s="12"/>
      <c r="AA142" s="12"/>
      <c r="AB142" s="12"/>
      <c r="AC142" s="12"/>
      <c r="AD142" s="15"/>
      <c r="AE142" s="12"/>
      <c r="AF142" s="13"/>
      <c r="AG142" s="12"/>
      <c r="AH142" s="12"/>
      <c r="AI142" s="15"/>
      <c r="AJ142" s="12"/>
      <c r="AK142" s="12"/>
      <c r="AL142" s="12"/>
      <c r="AM142" s="12"/>
      <c r="AN142" s="12"/>
      <c r="AO142" s="12"/>
      <c r="AP142" s="12"/>
      <c r="AQ142" s="15"/>
      <c r="AR142" s="12"/>
      <c r="AS142" s="12"/>
      <c r="AT142" s="12"/>
      <c r="AU142" s="12"/>
      <c r="AV142" s="12"/>
      <c r="AW142" s="12"/>
      <c r="AX142" s="13"/>
      <c r="AY142" s="12"/>
      <c r="AZ142" s="12" t="str">
        <f>IF(AND(A142="",B142="",E142="",G142="",I142="",AV142="",AX142=""),"",IF(OR(B142="skip",AV142="skip"),"SKIP",IF(OR(B142="to_candidate",AV142="proposed_name"),IF(OR(A142="",AW142="",AX142="",COUNTIF($A$6:$A$505,A142)&gt;1),"REVIEW","TO_PROPOSED"),IF(OR(B142="",A142="",E142="",G142="",I142="",U142="",AV142="",COUNTIF($A$6:$A$505,A142)&gt;1,(COUNTIFS('أرقام التواصل'!$A$6:$A$505,"client",'أرقام التواصل'!$B$6:$B$505,A142,'أرقام التواصل'!$I$6:$I$505,"TRUE")+COUNTIFS('أرقام التواصل'!$A$6:$A$505,"client",'أرقام التواصل'!$B$6:$B$505,A142,'أرقام التواصل'!$C$6:$C$505,1))=0),"REVIEW","READY"))))</f>
        <v/>
      </c>
      <c r="BA142" s="16" t="str">
        <f>IF(AZ142="","",IF(OR(AZ142="READY",AZ142="TO_PROPOSED"),"",IF(AZ142="SKIP","Skipped by decision",TRIM(IF(B142="","missing import_action; ","")&amp;IF(A142="","missing migration_customer_key; ","")&amp;IF(AND(A142&lt;&gt;"",COUNTIF($A$6:$A$505,A142)&gt;1),"duplicate migration_customer_key; ","")&amp;IF(AND(NOT(OR(B142="to_candidate",AV142="proposed_name")),E142=""),"missing branch_id; ","")&amp;IF(AND(NOT(OR(B142="to_candidate",AV142="proposed_name")),G142=""),"missing first_name; ","")&amp;IF(AND(NOT(OR(B142="to_candidate",AV142="proposed_name")),I142=""),"missing last_name; ","")&amp;IF(AND(NOT(OR(B142="to_candidate",AV142="proposed_name")),U142=""),"missing final_geo_unit_id; ","")&amp;IF(AV142="","missing final_destination; ","")&amp;IF(AND(NOT(OR(B142="to_candidate",AV142="proposed_name")),(COUNTIFS('أرقام التواصل'!$A$6:$A$505,"client",'أرقام التواصل'!$B$6:$B$505,A142,'أرقام التواصل'!$I$6:$I$505,"TRUE")+COUNTIFS('أرقام التواصل'!$A$6:$A$505,"client",'أرقام التواصل'!$B$6:$B$505,A142,'أرقام التواصل'!$C$6:$C$505,1))=0),"missing primary contact in أرقام التواصل; ","")&amp;IF(OR(B142="to_candidate",AV142="proposed_name"),IF(AW142="","missing proposed_move_reason; ","")&amp;IF(AX142="","missing proposed_name_key; ",""),"")))))</f>
        <v/>
      </c>
    </row>
    <row r="143" spans="1:53">
      <c r="A143" s="11"/>
      <c r="B143" s="12"/>
      <c r="C143" s="13"/>
      <c r="D143" s="12"/>
      <c r="E143" s="12"/>
      <c r="F143" s="12"/>
      <c r="G143" s="12"/>
      <c r="H143" s="12"/>
      <c r="I143" s="12"/>
      <c r="J143" s="12"/>
      <c r="K143" s="12" t="str">
        <f t="shared" si="3"/>
        <v/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 t="str">
        <f t="shared" si="4"/>
        <v/>
      </c>
      <c r="V143" s="12"/>
      <c r="W143" s="14"/>
      <c r="X143" s="14"/>
      <c r="Y143" s="13"/>
      <c r="Z143" s="12"/>
      <c r="AA143" s="12"/>
      <c r="AB143" s="12"/>
      <c r="AC143" s="12"/>
      <c r="AD143" s="15"/>
      <c r="AE143" s="12"/>
      <c r="AF143" s="13"/>
      <c r="AG143" s="12"/>
      <c r="AH143" s="12"/>
      <c r="AI143" s="15"/>
      <c r="AJ143" s="12"/>
      <c r="AK143" s="12"/>
      <c r="AL143" s="12"/>
      <c r="AM143" s="12"/>
      <c r="AN143" s="12"/>
      <c r="AO143" s="12"/>
      <c r="AP143" s="12"/>
      <c r="AQ143" s="15"/>
      <c r="AR143" s="12"/>
      <c r="AS143" s="12"/>
      <c r="AT143" s="12"/>
      <c r="AU143" s="12"/>
      <c r="AV143" s="12"/>
      <c r="AW143" s="12"/>
      <c r="AX143" s="13"/>
      <c r="AY143" s="12"/>
      <c r="AZ143" s="12" t="str">
        <f>IF(AND(A143="",B143="",E143="",G143="",I143="",AV143="",AX143=""),"",IF(OR(B143="skip",AV143="skip"),"SKIP",IF(OR(B143="to_candidate",AV143="proposed_name"),IF(OR(A143="",AW143="",AX143="",COUNTIF($A$6:$A$505,A143)&gt;1),"REVIEW","TO_PROPOSED"),IF(OR(B143="",A143="",E143="",G143="",I143="",U143="",AV143="",COUNTIF($A$6:$A$505,A143)&gt;1,(COUNTIFS('أرقام التواصل'!$A$6:$A$505,"client",'أرقام التواصل'!$B$6:$B$505,A143,'أرقام التواصل'!$I$6:$I$505,"TRUE")+COUNTIFS('أرقام التواصل'!$A$6:$A$505,"client",'أرقام التواصل'!$B$6:$B$505,A143,'أرقام التواصل'!$C$6:$C$505,1))=0),"REVIEW","READY"))))</f>
        <v/>
      </c>
      <c r="BA143" s="16" t="str">
        <f>IF(AZ143="","",IF(OR(AZ143="READY",AZ143="TO_PROPOSED"),"",IF(AZ143="SKIP","Skipped by decision",TRIM(IF(B143="","missing import_action; ","")&amp;IF(A143="","missing migration_customer_key; ","")&amp;IF(AND(A143&lt;&gt;"",COUNTIF($A$6:$A$505,A143)&gt;1),"duplicate migration_customer_key; ","")&amp;IF(AND(NOT(OR(B143="to_candidate",AV143="proposed_name")),E143=""),"missing branch_id; ","")&amp;IF(AND(NOT(OR(B143="to_candidate",AV143="proposed_name")),G143=""),"missing first_name; ","")&amp;IF(AND(NOT(OR(B143="to_candidate",AV143="proposed_name")),I143=""),"missing last_name; ","")&amp;IF(AND(NOT(OR(B143="to_candidate",AV143="proposed_name")),U143=""),"missing final_geo_unit_id; ","")&amp;IF(AV143="","missing final_destination; ","")&amp;IF(AND(NOT(OR(B143="to_candidate",AV143="proposed_name")),(COUNTIFS('أرقام التواصل'!$A$6:$A$505,"client",'أرقام التواصل'!$B$6:$B$505,A143,'أرقام التواصل'!$I$6:$I$505,"TRUE")+COUNTIFS('أرقام التواصل'!$A$6:$A$505,"client",'أرقام التواصل'!$B$6:$B$505,A143,'أرقام التواصل'!$C$6:$C$505,1))=0),"missing primary contact in أرقام التواصل; ","")&amp;IF(OR(B143="to_candidate",AV143="proposed_name"),IF(AW143="","missing proposed_move_reason; ","")&amp;IF(AX143="","missing proposed_name_key; ",""),"")))))</f>
        <v/>
      </c>
    </row>
    <row r="144" spans="1:53">
      <c r="A144" s="11"/>
      <c r="B144" s="12"/>
      <c r="C144" s="13"/>
      <c r="D144" s="12"/>
      <c r="E144" s="12"/>
      <c r="F144" s="12"/>
      <c r="G144" s="12"/>
      <c r="H144" s="12"/>
      <c r="I144" s="12"/>
      <c r="J144" s="12"/>
      <c r="K144" s="12" t="str">
        <f t="shared" si="3"/>
        <v/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 t="str">
        <f t="shared" si="4"/>
        <v/>
      </c>
      <c r="V144" s="12"/>
      <c r="W144" s="14"/>
      <c r="X144" s="14"/>
      <c r="Y144" s="13"/>
      <c r="Z144" s="12"/>
      <c r="AA144" s="12"/>
      <c r="AB144" s="12"/>
      <c r="AC144" s="12"/>
      <c r="AD144" s="15"/>
      <c r="AE144" s="12"/>
      <c r="AF144" s="13"/>
      <c r="AG144" s="12"/>
      <c r="AH144" s="12"/>
      <c r="AI144" s="15"/>
      <c r="AJ144" s="12"/>
      <c r="AK144" s="12"/>
      <c r="AL144" s="12"/>
      <c r="AM144" s="12"/>
      <c r="AN144" s="12"/>
      <c r="AO144" s="12"/>
      <c r="AP144" s="12"/>
      <c r="AQ144" s="15"/>
      <c r="AR144" s="12"/>
      <c r="AS144" s="12"/>
      <c r="AT144" s="12"/>
      <c r="AU144" s="12"/>
      <c r="AV144" s="12"/>
      <c r="AW144" s="12"/>
      <c r="AX144" s="13"/>
      <c r="AY144" s="12"/>
      <c r="AZ144" s="12" t="str">
        <f>IF(AND(A144="",B144="",E144="",G144="",I144="",AV144="",AX144=""),"",IF(OR(B144="skip",AV144="skip"),"SKIP",IF(OR(B144="to_candidate",AV144="proposed_name"),IF(OR(A144="",AW144="",AX144="",COUNTIF($A$6:$A$505,A144)&gt;1),"REVIEW","TO_PROPOSED"),IF(OR(B144="",A144="",E144="",G144="",I144="",U144="",AV144="",COUNTIF($A$6:$A$505,A144)&gt;1,(COUNTIFS('أرقام التواصل'!$A$6:$A$505,"client",'أرقام التواصل'!$B$6:$B$505,A144,'أرقام التواصل'!$I$6:$I$505,"TRUE")+COUNTIFS('أرقام التواصل'!$A$6:$A$505,"client",'أرقام التواصل'!$B$6:$B$505,A144,'أرقام التواصل'!$C$6:$C$505,1))=0),"REVIEW","READY"))))</f>
        <v/>
      </c>
      <c r="BA144" s="16" t="str">
        <f>IF(AZ144="","",IF(OR(AZ144="READY",AZ144="TO_PROPOSED"),"",IF(AZ144="SKIP","Skipped by decision",TRIM(IF(B144="","missing import_action; ","")&amp;IF(A144="","missing migration_customer_key; ","")&amp;IF(AND(A144&lt;&gt;"",COUNTIF($A$6:$A$505,A144)&gt;1),"duplicate migration_customer_key; ","")&amp;IF(AND(NOT(OR(B144="to_candidate",AV144="proposed_name")),E144=""),"missing branch_id; ","")&amp;IF(AND(NOT(OR(B144="to_candidate",AV144="proposed_name")),G144=""),"missing first_name; ","")&amp;IF(AND(NOT(OR(B144="to_candidate",AV144="proposed_name")),I144=""),"missing last_name; ","")&amp;IF(AND(NOT(OR(B144="to_candidate",AV144="proposed_name")),U144=""),"missing final_geo_unit_id; ","")&amp;IF(AV144="","missing final_destination; ","")&amp;IF(AND(NOT(OR(B144="to_candidate",AV144="proposed_name")),(COUNTIFS('أرقام التواصل'!$A$6:$A$505,"client",'أرقام التواصل'!$B$6:$B$505,A144,'أرقام التواصل'!$I$6:$I$505,"TRUE")+COUNTIFS('أرقام التواصل'!$A$6:$A$505,"client",'أرقام التواصل'!$B$6:$B$505,A144,'أرقام التواصل'!$C$6:$C$505,1))=0),"missing primary contact in أرقام التواصل; ","")&amp;IF(OR(B144="to_candidate",AV144="proposed_name"),IF(AW144="","missing proposed_move_reason; ","")&amp;IF(AX144="","missing proposed_name_key; ",""),"")))))</f>
        <v/>
      </c>
    </row>
    <row r="145" spans="1:53">
      <c r="A145" s="11"/>
      <c r="B145" s="12"/>
      <c r="C145" s="13"/>
      <c r="D145" s="12"/>
      <c r="E145" s="12"/>
      <c r="F145" s="12"/>
      <c r="G145" s="12"/>
      <c r="H145" s="12"/>
      <c r="I145" s="12"/>
      <c r="J145" s="12"/>
      <c r="K145" s="12" t="str">
        <f t="shared" si="3"/>
        <v/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 t="str">
        <f t="shared" si="4"/>
        <v/>
      </c>
      <c r="V145" s="12"/>
      <c r="W145" s="14"/>
      <c r="X145" s="14"/>
      <c r="Y145" s="13"/>
      <c r="Z145" s="12"/>
      <c r="AA145" s="12"/>
      <c r="AB145" s="12"/>
      <c r="AC145" s="12"/>
      <c r="AD145" s="15"/>
      <c r="AE145" s="12"/>
      <c r="AF145" s="13"/>
      <c r="AG145" s="12"/>
      <c r="AH145" s="12"/>
      <c r="AI145" s="15"/>
      <c r="AJ145" s="12"/>
      <c r="AK145" s="12"/>
      <c r="AL145" s="12"/>
      <c r="AM145" s="12"/>
      <c r="AN145" s="12"/>
      <c r="AO145" s="12"/>
      <c r="AP145" s="12"/>
      <c r="AQ145" s="15"/>
      <c r="AR145" s="12"/>
      <c r="AS145" s="12"/>
      <c r="AT145" s="12"/>
      <c r="AU145" s="12"/>
      <c r="AV145" s="12"/>
      <c r="AW145" s="12"/>
      <c r="AX145" s="13"/>
      <c r="AY145" s="12"/>
      <c r="AZ145" s="12" t="str">
        <f>IF(AND(A145="",B145="",E145="",G145="",I145="",AV145="",AX145=""),"",IF(OR(B145="skip",AV145="skip"),"SKIP",IF(OR(B145="to_candidate",AV145="proposed_name"),IF(OR(A145="",AW145="",AX145="",COUNTIF($A$6:$A$505,A145)&gt;1),"REVIEW","TO_PROPOSED"),IF(OR(B145="",A145="",E145="",G145="",I145="",U145="",AV145="",COUNTIF($A$6:$A$505,A145)&gt;1,(COUNTIFS('أرقام التواصل'!$A$6:$A$505,"client",'أرقام التواصل'!$B$6:$B$505,A145,'أرقام التواصل'!$I$6:$I$505,"TRUE")+COUNTIFS('أرقام التواصل'!$A$6:$A$505,"client",'أرقام التواصل'!$B$6:$B$505,A145,'أرقام التواصل'!$C$6:$C$505,1))=0),"REVIEW","READY"))))</f>
        <v/>
      </c>
      <c r="BA145" s="16" t="str">
        <f>IF(AZ145="","",IF(OR(AZ145="READY",AZ145="TO_PROPOSED"),"",IF(AZ145="SKIP","Skipped by decision",TRIM(IF(B145="","missing import_action; ","")&amp;IF(A145="","missing migration_customer_key; ","")&amp;IF(AND(A145&lt;&gt;"",COUNTIF($A$6:$A$505,A145)&gt;1),"duplicate migration_customer_key; ","")&amp;IF(AND(NOT(OR(B145="to_candidate",AV145="proposed_name")),E145=""),"missing branch_id; ","")&amp;IF(AND(NOT(OR(B145="to_candidate",AV145="proposed_name")),G145=""),"missing first_name; ","")&amp;IF(AND(NOT(OR(B145="to_candidate",AV145="proposed_name")),I145=""),"missing last_name; ","")&amp;IF(AND(NOT(OR(B145="to_candidate",AV145="proposed_name")),U145=""),"missing final_geo_unit_id; ","")&amp;IF(AV145="","missing final_destination; ","")&amp;IF(AND(NOT(OR(B145="to_candidate",AV145="proposed_name")),(COUNTIFS('أرقام التواصل'!$A$6:$A$505,"client",'أرقام التواصل'!$B$6:$B$505,A145,'أرقام التواصل'!$I$6:$I$505,"TRUE")+COUNTIFS('أرقام التواصل'!$A$6:$A$505,"client",'أرقام التواصل'!$B$6:$B$505,A145,'أرقام التواصل'!$C$6:$C$505,1))=0),"missing primary contact in أرقام التواصل; ","")&amp;IF(OR(B145="to_candidate",AV145="proposed_name"),IF(AW145="","missing proposed_move_reason; ","")&amp;IF(AX145="","missing proposed_name_key; ",""),"")))))</f>
        <v/>
      </c>
    </row>
    <row r="146" spans="1:53">
      <c r="A146" s="11"/>
      <c r="B146" s="12"/>
      <c r="C146" s="13"/>
      <c r="D146" s="12"/>
      <c r="E146" s="12"/>
      <c r="F146" s="12"/>
      <c r="G146" s="12"/>
      <c r="H146" s="12"/>
      <c r="I146" s="12"/>
      <c r="J146" s="12"/>
      <c r="K146" s="12" t="str">
        <f t="shared" si="3"/>
        <v/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 t="str">
        <f t="shared" si="4"/>
        <v/>
      </c>
      <c r="V146" s="12"/>
      <c r="W146" s="14"/>
      <c r="X146" s="14"/>
      <c r="Y146" s="13"/>
      <c r="Z146" s="12"/>
      <c r="AA146" s="12"/>
      <c r="AB146" s="12"/>
      <c r="AC146" s="12"/>
      <c r="AD146" s="15"/>
      <c r="AE146" s="12"/>
      <c r="AF146" s="13"/>
      <c r="AG146" s="12"/>
      <c r="AH146" s="12"/>
      <c r="AI146" s="15"/>
      <c r="AJ146" s="12"/>
      <c r="AK146" s="12"/>
      <c r="AL146" s="12"/>
      <c r="AM146" s="12"/>
      <c r="AN146" s="12"/>
      <c r="AO146" s="12"/>
      <c r="AP146" s="12"/>
      <c r="AQ146" s="15"/>
      <c r="AR146" s="12"/>
      <c r="AS146" s="12"/>
      <c r="AT146" s="12"/>
      <c r="AU146" s="12"/>
      <c r="AV146" s="12"/>
      <c r="AW146" s="12"/>
      <c r="AX146" s="13"/>
      <c r="AY146" s="12"/>
      <c r="AZ146" s="12" t="str">
        <f>IF(AND(A146="",B146="",E146="",G146="",I146="",AV146="",AX146=""),"",IF(OR(B146="skip",AV146="skip"),"SKIP",IF(OR(B146="to_candidate",AV146="proposed_name"),IF(OR(A146="",AW146="",AX146="",COUNTIF($A$6:$A$505,A146)&gt;1),"REVIEW","TO_PROPOSED"),IF(OR(B146="",A146="",E146="",G146="",I146="",U146="",AV146="",COUNTIF($A$6:$A$505,A146)&gt;1,(COUNTIFS('أرقام التواصل'!$A$6:$A$505,"client",'أرقام التواصل'!$B$6:$B$505,A146,'أرقام التواصل'!$I$6:$I$505,"TRUE")+COUNTIFS('أرقام التواصل'!$A$6:$A$505,"client",'أرقام التواصل'!$B$6:$B$505,A146,'أرقام التواصل'!$C$6:$C$505,1))=0),"REVIEW","READY"))))</f>
        <v/>
      </c>
      <c r="BA146" s="16" t="str">
        <f>IF(AZ146="","",IF(OR(AZ146="READY",AZ146="TO_PROPOSED"),"",IF(AZ146="SKIP","Skipped by decision",TRIM(IF(B146="","missing import_action; ","")&amp;IF(A146="","missing migration_customer_key; ","")&amp;IF(AND(A146&lt;&gt;"",COUNTIF($A$6:$A$505,A146)&gt;1),"duplicate migration_customer_key; ","")&amp;IF(AND(NOT(OR(B146="to_candidate",AV146="proposed_name")),E146=""),"missing branch_id; ","")&amp;IF(AND(NOT(OR(B146="to_candidate",AV146="proposed_name")),G146=""),"missing first_name; ","")&amp;IF(AND(NOT(OR(B146="to_candidate",AV146="proposed_name")),I146=""),"missing last_name; ","")&amp;IF(AND(NOT(OR(B146="to_candidate",AV146="proposed_name")),U146=""),"missing final_geo_unit_id; ","")&amp;IF(AV146="","missing final_destination; ","")&amp;IF(AND(NOT(OR(B146="to_candidate",AV146="proposed_name")),(COUNTIFS('أرقام التواصل'!$A$6:$A$505,"client",'أرقام التواصل'!$B$6:$B$505,A146,'أرقام التواصل'!$I$6:$I$505,"TRUE")+COUNTIFS('أرقام التواصل'!$A$6:$A$505,"client",'أرقام التواصل'!$B$6:$B$505,A146,'أرقام التواصل'!$C$6:$C$505,1))=0),"missing primary contact in أرقام التواصل; ","")&amp;IF(OR(B146="to_candidate",AV146="proposed_name"),IF(AW146="","missing proposed_move_reason; ","")&amp;IF(AX146="","missing proposed_name_key; ",""),"")))))</f>
        <v/>
      </c>
    </row>
    <row r="147" spans="1:53">
      <c r="A147" s="11"/>
      <c r="B147" s="12"/>
      <c r="C147" s="13"/>
      <c r="D147" s="12"/>
      <c r="E147" s="12"/>
      <c r="F147" s="12"/>
      <c r="G147" s="12"/>
      <c r="H147" s="12"/>
      <c r="I147" s="12"/>
      <c r="J147" s="12"/>
      <c r="K147" s="12" t="str">
        <f t="shared" si="3"/>
        <v/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 t="str">
        <f t="shared" si="4"/>
        <v/>
      </c>
      <c r="V147" s="12"/>
      <c r="W147" s="14"/>
      <c r="X147" s="14"/>
      <c r="Y147" s="13"/>
      <c r="Z147" s="12"/>
      <c r="AA147" s="12"/>
      <c r="AB147" s="12"/>
      <c r="AC147" s="12"/>
      <c r="AD147" s="15"/>
      <c r="AE147" s="12"/>
      <c r="AF147" s="13"/>
      <c r="AG147" s="12"/>
      <c r="AH147" s="12"/>
      <c r="AI147" s="15"/>
      <c r="AJ147" s="12"/>
      <c r="AK147" s="12"/>
      <c r="AL147" s="12"/>
      <c r="AM147" s="12"/>
      <c r="AN147" s="12"/>
      <c r="AO147" s="12"/>
      <c r="AP147" s="12"/>
      <c r="AQ147" s="15"/>
      <c r="AR147" s="12"/>
      <c r="AS147" s="12"/>
      <c r="AT147" s="12"/>
      <c r="AU147" s="12"/>
      <c r="AV147" s="12"/>
      <c r="AW147" s="12"/>
      <c r="AX147" s="13"/>
      <c r="AY147" s="12"/>
      <c r="AZ147" s="12" t="str">
        <f>IF(AND(A147="",B147="",E147="",G147="",I147="",AV147="",AX147=""),"",IF(OR(B147="skip",AV147="skip"),"SKIP",IF(OR(B147="to_candidate",AV147="proposed_name"),IF(OR(A147="",AW147="",AX147="",COUNTIF($A$6:$A$505,A147)&gt;1),"REVIEW","TO_PROPOSED"),IF(OR(B147="",A147="",E147="",G147="",I147="",U147="",AV147="",COUNTIF($A$6:$A$505,A147)&gt;1,(COUNTIFS('أرقام التواصل'!$A$6:$A$505,"client",'أرقام التواصل'!$B$6:$B$505,A147,'أرقام التواصل'!$I$6:$I$505,"TRUE")+COUNTIFS('أرقام التواصل'!$A$6:$A$505,"client",'أرقام التواصل'!$B$6:$B$505,A147,'أرقام التواصل'!$C$6:$C$505,1))=0),"REVIEW","READY"))))</f>
        <v/>
      </c>
      <c r="BA147" s="16" t="str">
        <f>IF(AZ147="","",IF(OR(AZ147="READY",AZ147="TO_PROPOSED"),"",IF(AZ147="SKIP","Skipped by decision",TRIM(IF(B147="","missing import_action; ","")&amp;IF(A147="","missing migration_customer_key; ","")&amp;IF(AND(A147&lt;&gt;"",COUNTIF($A$6:$A$505,A147)&gt;1),"duplicate migration_customer_key; ","")&amp;IF(AND(NOT(OR(B147="to_candidate",AV147="proposed_name")),E147=""),"missing branch_id; ","")&amp;IF(AND(NOT(OR(B147="to_candidate",AV147="proposed_name")),G147=""),"missing first_name; ","")&amp;IF(AND(NOT(OR(B147="to_candidate",AV147="proposed_name")),I147=""),"missing last_name; ","")&amp;IF(AND(NOT(OR(B147="to_candidate",AV147="proposed_name")),U147=""),"missing final_geo_unit_id; ","")&amp;IF(AV147="","missing final_destination; ","")&amp;IF(AND(NOT(OR(B147="to_candidate",AV147="proposed_name")),(COUNTIFS('أرقام التواصل'!$A$6:$A$505,"client",'أرقام التواصل'!$B$6:$B$505,A147,'أرقام التواصل'!$I$6:$I$505,"TRUE")+COUNTIFS('أرقام التواصل'!$A$6:$A$505,"client",'أرقام التواصل'!$B$6:$B$505,A147,'أرقام التواصل'!$C$6:$C$505,1))=0),"missing primary contact in أرقام التواصل; ","")&amp;IF(OR(B147="to_candidate",AV147="proposed_name"),IF(AW147="","missing proposed_move_reason; ","")&amp;IF(AX147="","missing proposed_name_key; ",""),"")))))</f>
        <v/>
      </c>
    </row>
    <row r="148" spans="1:53">
      <c r="A148" s="11"/>
      <c r="B148" s="12"/>
      <c r="C148" s="13"/>
      <c r="D148" s="12"/>
      <c r="E148" s="12"/>
      <c r="F148" s="12"/>
      <c r="G148" s="12"/>
      <c r="H148" s="12"/>
      <c r="I148" s="12"/>
      <c r="J148" s="12"/>
      <c r="K148" s="12" t="str">
        <f t="shared" si="3"/>
        <v/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 t="str">
        <f t="shared" si="4"/>
        <v/>
      </c>
      <c r="V148" s="12"/>
      <c r="W148" s="14"/>
      <c r="X148" s="14"/>
      <c r="Y148" s="13"/>
      <c r="Z148" s="12"/>
      <c r="AA148" s="12"/>
      <c r="AB148" s="12"/>
      <c r="AC148" s="12"/>
      <c r="AD148" s="15"/>
      <c r="AE148" s="12"/>
      <c r="AF148" s="13"/>
      <c r="AG148" s="12"/>
      <c r="AH148" s="12"/>
      <c r="AI148" s="15"/>
      <c r="AJ148" s="12"/>
      <c r="AK148" s="12"/>
      <c r="AL148" s="12"/>
      <c r="AM148" s="12"/>
      <c r="AN148" s="12"/>
      <c r="AO148" s="12"/>
      <c r="AP148" s="12"/>
      <c r="AQ148" s="15"/>
      <c r="AR148" s="12"/>
      <c r="AS148" s="12"/>
      <c r="AT148" s="12"/>
      <c r="AU148" s="12"/>
      <c r="AV148" s="12"/>
      <c r="AW148" s="12"/>
      <c r="AX148" s="13"/>
      <c r="AY148" s="12"/>
      <c r="AZ148" s="12" t="str">
        <f>IF(AND(A148="",B148="",E148="",G148="",I148="",AV148="",AX148=""),"",IF(OR(B148="skip",AV148="skip"),"SKIP",IF(OR(B148="to_candidate",AV148="proposed_name"),IF(OR(A148="",AW148="",AX148="",COUNTIF($A$6:$A$505,A148)&gt;1),"REVIEW","TO_PROPOSED"),IF(OR(B148="",A148="",E148="",G148="",I148="",U148="",AV148="",COUNTIF($A$6:$A$505,A148)&gt;1,(COUNTIFS('أرقام التواصل'!$A$6:$A$505,"client",'أرقام التواصل'!$B$6:$B$505,A148,'أرقام التواصل'!$I$6:$I$505,"TRUE")+COUNTIFS('أرقام التواصل'!$A$6:$A$505,"client",'أرقام التواصل'!$B$6:$B$505,A148,'أرقام التواصل'!$C$6:$C$505,1))=0),"REVIEW","READY"))))</f>
        <v/>
      </c>
      <c r="BA148" s="16" t="str">
        <f>IF(AZ148="","",IF(OR(AZ148="READY",AZ148="TO_PROPOSED"),"",IF(AZ148="SKIP","Skipped by decision",TRIM(IF(B148="","missing import_action; ","")&amp;IF(A148="","missing migration_customer_key; ","")&amp;IF(AND(A148&lt;&gt;"",COUNTIF($A$6:$A$505,A148)&gt;1),"duplicate migration_customer_key; ","")&amp;IF(AND(NOT(OR(B148="to_candidate",AV148="proposed_name")),E148=""),"missing branch_id; ","")&amp;IF(AND(NOT(OR(B148="to_candidate",AV148="proposed_name")),G148=""),"missing first_name; ","")&amp;IF(AND(NOT(OR(B148="to_candidate",AV148="proposed_name")),I148=""),"missing last_name; ","")&amp;IF(AND(NOT(OR(B148="to_candidate",AV148="proposed_name")),U148=""),"missing final_geo_unit_id; ","")&amp;IF(AV148="","missing final_destination; ","")&amp;IF(AND(NOT(OR(B148="to_candidate",AV148="proposed_name")),(COUNTIFS('أرقام التواصل'!$A$6:$A$505,"client",'أرقام التواصل'!$B$6:$B$505,A148,'أرقام التواصل'!$I$6:$I$505,"TRUE")+COUNTIFS('أرقام التواصل'!$A$6:$A$505,"client",'أرقام التواصل'!$B$6:$B$505,A148,'أرقام التواصل'!$C$6:$C$505,1))=0),"missing primary contact in أرقام التواصل; ","")&amp;IF(OR(B148="to_candidate",AV148="proposed_name"),IF(AW148="","missing proposed_move_reason; ","")&amp;IF(AX148="","missing proposed_name_key; ",""),"")))))</f>
        <v/>
      </c>
    </row>
    <row r="149" spans="1:53">
      <c r="A149" s="11"/>
      <c r="B149" s="12"/>
      <c r="C149" s="13"/>
      <c r="D149" s="12"/>
      <c r="E149" s="12"/>
      <c r="F149" s="12"/>
      <c r="G149" s="12"/>
      <c r="H149" s="12"/>
      <c r="I149" s="12"/>
      <c r="J149" s="12"/>
      <c r="K149" s="12" t="str">
        <f t="shared" si="3"/>
        <v/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 t="str">
        <f t="shared" si="4"/>
        <v/>
      </c>
      <c r="V149" s="12"/>
      <c r="W149" s="14"/>
      <c r="X149" s="14"/>
      <c r="Y149" s="13"/>
      <c r="Z149" s="12"/>
      <c r="AA149" s="12"/>
      <c r="AB149" s="12"/>
      <c r="AC149" s="12"/>
      <c r="AD149" s="15"/>
      <c r="AE149" s="12"/>
      <c r="AF149" s="13"/>
      <c r="AG149" s="12"/>
      <c r="AH149" s="12"/>
      <c r="AI149" s="15"/>
      <c r="AJ149" s="12"/>
      <c r="AK149" s="12"/>
      <c r="AL149" s="12"/>
      <c r="AM149" s="12"/>
      <c r="AN149" s="12"/>
      <c r="AO149" s="12"/>
      <c r="AP149" s="12"/>
      <c r="AQ149" s="15"/>
      <c r="AR149" s="12"/>
      <c r="AS149" s="12"/>
      <c r="AT149" s="12"/>
      <c r="AU149" s="12"/>
      <c r="AV149" s="12"/>
      <c r="AW149" s="12"/>
      <c r="AX149" s="13"/>
      <c r="AY149" s="12"/>
      <c r="AZ149" s="12" t="str">
        <f>IF(AND(A149="",B149="",E149="",G149="",I149="",AV149="",AX149=""),"",IF(OR(B149="skip",AV149="skip"),"SKIP",IF(OR(B149="to_candidate",AV149="proposed_name"),IF(OR(A149="",AW149="",AX149="",COUNTIF($A$6:$A$505,A149)&gt;1),"REVIEW","TO_PROPOSED"),IF(OR(B149="",A149="",E149="",G149="",I149="",U149="",AV149="",COUNTIF($A$6:$A$505,A149)&gt;1,(COUNTIFS('أرقام التواصل'!$A$6:$A$505,"client",'أرقام التواصل'!$B$6:$B$505,A149,'أرقام التواصل'!$I$6:$I$505,"TRUE")+COUNTIFS('أرقام التواصل'!$A$6:$A$505,"client",'أرقام التواصل'!$B$6:$B$505,A149,'أرقام التواصل'!$C$6:$C$505,1))=0),"REVIEW","READY"))))</f>
        <v/>
      </c>
      <c r="BA149" s="16" t="str">
        <f>IF(AZ149="","",IF(OR(AZ149="READY",AZ149="TO_PROPOSED"),"",IF(AZ149="SKIP","Skipped by decision",TRIM(IF(B149="","missing import_action; ","")&amp;IF(A149="","missing migration_customer_key; ","")&amp;IF(AND(A149&lt;&gt;"",COUNTIF($A$6:$A$505,A149)&gt;1),"duplicate migration_customer_key; ","")&amp;IF(AND(NOT(OR(B149="to_candidate",AV149="proposed_name")),E149=""),"missing branch_id; ","")&amp;IF(AND(NOT(OR(B149="to_candidate",AV149="proposed_name")),G149=""),"missing first_name; ","")&amp;IF(AND(NOT(OR(B149="to_candidate",AV149="proposed_name")),I149=""),"missing last_name; ","")&amp;IF(AND(NOT(OR(B149="to_candidate",AV149="proposed_name")),U149=""),"missing final_geo_unit_id; ","")&amp;IF(AV149="","missing final_destination; ","")&amp;IF(AND(NOT(OR(B149="to_candidate",AV149="proposed_name")),(COUNTIFS('أرقام التواصل'!$A$6:$A$505,"client",'أرقام التواصل'!$B$6:$B$505,A149,'أرقام التواصل'!$I$6:$I$505,"TRUE")+COUNTIFS('أرقام التواصل'!$A$6:$A$505,"client",'أرقام التواصل'!$B$6:$B$505,A149,'أرقام التواصل'!$C$6:$C$505,1))=0),"missing primary contact in أرقام التواصل; ","")&amp;IF(OR(B149="to_candidate",AV149="proposed_name"),IF(AW149="","missing proposed_move_reason; ","")&amp;IF(AX149="","missing proposed_name_key; ",""),"")))))</f>
        <v/>
      </c>
    </row>
    <row r="150" spans="1:53">
      <c r="A150" s="11"/>
      <c r="B150" s="12"/>
      <c r="C150" s="13"/>
      <c r="D150" s="12"/>
      <c r="E150" s="12"/>
      <c r="F150" s="12"/>
      <c r="G150" s="12"/>
      <c r="H150" s="12"/>
      <c r="I150" s="12"/>
      <c r="J150" s="12"/>
      <c r="K150" s="12" t="str">
        <f t="shared" si="3"/>
        <v/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 t="str">
        <f t="shared" si="4"/>
        <v/>
      </c>
      <c r="V150" s="12"/>
      <c r="W150" s="14"/>
      <c r="X150" s="14"/>
      <c r="Y150" s="13"/>
      <c r="Z150" s="12"/>
      <c r="AA150" s="12"/>
      <c r="AB150" s="12"/>
      <c r="AC150" s="12"/>
      <c r="AD150" s="15"/>
      <c r="AE150" s="12"/>
      <c r="AF150" s="13"/>
      <c r="AG150" s="12"/>
      <c r="AH150" s="12"/>
      <c r="AI150" s="15"/>
      <c r="AJ150" s="12"/>
      <c r="AK150" s="12"/>
      <c r="AL150" s="12"/>
      <c r="AM150" s="12"/>
      <c r="AN150" s="12"/>
      <c r="AO150" s="12"/>
      <c r="AP150" s="12"/>
      <c r="AQ150" s="15"/>
      <c r="AR150" s="12"/>
      <c r="AS150" s="12"/>
      <c r="AT150" s="12"/>
      <c r="AU150" s="12"/>
      <c r="AV150" s="12"/>
      <c r="AW150" s="12"/>
      <c r="AX150" s="13"/>
      <c r="AY150" s="12"/>
      <c r="AZ150" s="12" t="str">
        <f>IF(AND(A150="",B150="",E150="",G150="",I150="",AV150="",AX150=""),"",IF(OR(B150="skip",AV150="skip"),"SKIP",IF(OR(B150="to_candidate",AV150="proposed_name"),IF(OR(A150="",AW150="",AX150="",COUNTIF($A$6:$A$505,A150)&gt;1),"REVIEW","TO_PROPOSED"),IF(OR(B150="",A150="",E150="",G150="",I150="",U150="",AV150="",COUNTIF($A$6:$A$505,A150)&gt;1,(COUNTIFS('أرقام التواصل'!$A$6:$A$505,"client",'أرقام التواصل'!$B$6:$B$505,A150,'أرقام التواصل'!$I$6:$I$505,"TRUE")+COUNTIFS('أرقام التواصل'!$A$6:$A$505,"client",'أرقام التواصل'!$B$6:$B$505,A150,'أرقام التواصل'!$C$6:$C$505,1))=0),"REVIEW","READY"))))</f>
        <v/>
      </c>
      <c r="BA150" s="16" t="str">
        <f>IF(AZ150="","",IF(OR(AZ150="READY",AZ150="TO_PROPOSED"),"",IF(AZ150="SKIP","Skipped by decision",TRIM(IF(B150="","missing import_action; ","")&amp;IF(A150="","missing migration_customer_key; ","")&amp;IF(AND(A150&lt;&gt;"",COUNTIF($A$6:$A$505,A150)&gt;1),"duplicate migration_customer_key; ","")&amp;IF(AND(NOT(OR(B150="to_candidate",AV150="proposed_name")),E150=""),"missing branch_id; ","")&amp;IF(AND(NOT(OR(B150="to_candidate",AV150="proposed_name")),G150=""),"missing first_name; ","")&amp;IF(AND(NOT(OR(B150="to_candidate",AV150="proposed_name")),I150=""),"missing last_name; ","")&amp;IF(AND(NOT(OR(B150="to_candidate",AV150="proposed_name")),U150=""),"missing final_geo_unit_id; ","")&amp;IF(AV150="","missing final_destination; ","")&amp;IF(AND(NOT(OR(B150="to_candidate",AV150="proposed_name")),(COUNTIFS('أرقام التواصل'!$A$6:$A$505,"client",'أرقام التواصل'!$B$6:$B$505,A150,'أرقام التواصل'!$I$6:$I$505,"TRUE")+COUNTIFS('أرقام التواصل'!$A$6:$A$505,"client",'أرقام التواصل'!$B$6:$B$505,A150,'أرقام التواصل'!$C$6:$C$505,1))=0),"missing primary contact in أرقام التواصل; ","")&amp;IF(OR(B150="to_candidate",AV150="proposed_name"),IF(AW150="","missing proposed_move_reason; ","")&amp;IF(AX150="","missing proposed_name_key; ",""),"")))))</f>
        <v/>
      </c>
    </row>
    <row r="151" spans="1:53">
      <c r="A151" s="11"/>
      <c r="B151" s="12"/>
      <c r="C151" s="13"/>
      <c r="D151" s="12"/>
      <c r="E151" s="12"/>
      <c r="F151" s="12"/>
      <c r="G151" s="12"/>
      <c r="H151" s="12"/>
      <c r="I151" s="12"/>
      <c r="J151" s="12"/>
      <c r="K151" s="12" t="str">
        <f t="shared" si="3"/>
        <v/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 t="str">
        <f t="shared" si="4"/>
        <v/>
      </c>
      <c r="V151" s="12"/>
      <c r="W151" s="14"/>
      <c r="X151" s="14"/>
      <c r="Y151" s="13"/>
      <c r="Z151" s="12"/>
      <c r="AA151" s="12"/>
      <c r="AB151" s="12"/>
      <c r="AC151" s="12"/>
      <c r="AD151" s="15"/>
      <c r="AE151" s="12"/>
      <c r="AF151" s="13"/>
      <c r="AG151" s="12"/>
      <c r="AH151" s="12"/>
      <c r="AI151" s="15"/>
      <c r="AJ151" s="12"/>
      <c r="AK151" s="12"/>
      <c r="AL151" s="12"/>
      <c r="AM151" s="12"/>
      <c r="AN151" s="12"/>
      <c r="AO151" s="12"/>
      <c r="AP151" s="12"/>
      <c r="AQ151" s="15"/>
      <c r="AR151" s="12"/>
      <c r="AS151" s="12"/>
      <c r="AT151" s="12"/>
      <c r="AU151" s="12"/>
      <c r="AV151" s="12"/>
      <c r="AW151" s="12"/>
      <c r="AX151" s="13"/>
      <c r="AY151" s="12"/>
      <c r="AZ151" s="12" t="str">
        <f>IF(AND(A151="",B151="",E151="",G151="",I151="",AV151="",AX151=""),"",IF(OR(B151="skip",AV151="skip"),"SKIP",IF(OR(B151="to_candidate",AV151="proposed_name"),IF(OR(A151="",AW151="",AX151="",COUNTIF($A$6:$A$505,A151)&gt;1),"REVIEW","TO_PROPOSED"),IF(OR(B151="",A151="",E151="",G151="",I151="",U151="",AV151="",COUNTIF($A$6:$A$505,A151)&gt;1,(COUNTIFS('أرقام التواصل'!$A$6:$A$505,"client",'أرقام التواصل'!$B$6:$B$505,A151,'أرقام التواصل'!$I$6:$I$505,"TRUE")+COUNTIFS('أرقام التواصل'!$A$6:$A$505,"client",'أرقام التواصل'!$B$6:$B$505,A151,'أرقام التواصل'!$C$6:$C$505,1))=0),"REVIEW","READY"))))</f>
        <v/>
      </c>
      <c r="BA151" s="16" t="str">
        <f>IF(AZ151="","",IF(OR(AZ151="READY",AZ151="TO_PROPOSED"),"",IF(AZ151="SKIP","Skipped by decision",TRIM(IF(B151="","missing import_action; ","")&amp;IF(A151="","missing migration_customer_key; ","")&amp;IF(AND(A151&lt;&gt;"",COUNTIF($A$6:$A$505,A151)&gt;1),"duplicate migration_customer_key; ","")&amp;IF(AND(NOT(OR(B151="to_candidate",AV151="proposed_name")),E151=""),"missing branch_id; ","")&amp;IF(AND(NOT(OR(B151="to_candidate",AV151="proposed_name")),G151=""),"missing first_name; ","")&amp;IF(AND(NOT(OR(B151="to_candidate",AV151="proposed_name")),I151=""),"missing last_name; ","")&amp;IF(AND(NOT(OR(B151="to_candidate",AV151="proposed_name")),U151=""),"missing final_geo_unit_id; ","")&amp;IF(AV151="","missing final_destination; ","")&amp;IF(AND(NOT(OR(B151="to_candidate",AV151="proposed_name")),(COUNTIFS('أرقام التواصل'!$A$6:$A$505,"client",'أرقام التواصل'!$B$6:$B$505,A151,'أرقام التواصل'!$I$6:$I$505,"TRUE")+COUNTIFS('أرقام التواصل'!$A$6:$A$505,"client",'أرقام التواصل'!$B$6:$B$505,A151,'أرقام التواصل'!$C$6:$C$505,1))=0),"missing primary contact in أرقام التواصل; ","")&amp;IF(OR(B151="to_candidate",AV151="proposed_name"),IF(AW151="","missing proposed_move_reason; ","")&amp;IF(AX151="","missing proposed_name_key; ",""),"")))))</f>
        <v/>
      </c>
    </row>
    <row r="152" spans="1:53">
      <c r="A152" s="11"/>
      <c r="B152" s="12"/>
      <c r="C152" s="13"/>
      <c r="D152" s="12"/>
      <c r="E152" s="12"/>
      <c r="F152" s="12"/>
      <c r="G152" s="12"/>
      <c r="H152" s="12"/>
      <c r="I152" s="12"/>
      <c r="J152" s="12"/>
      <c r="K152" s="12" t="str">
        <f t="shared" si="3"/>
        <v/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 t="str">
        <f t="shared" si="4"/>
        <v/>
      </c>
      <c r="V152" s="12"/>
      <c r="W152" s="14"/>
      <c r="X152" s="14"/>
      <c r="Y152" s="13"/>
      <c r="Z152" s="12"/>
      <c r="AA152" s="12"/>
      <c r="AB152" s="12"/>
      <c r="AC152" s="12"/>
      <c r="AD152" s="15"/>
      <c r="AE152" s="12"/>
      <c r="AF152" s="13"/>
      <c r="AG152" s="12"/>
      <c r="AH152" s="12"/>
      <c r="AI152" s="15"/>
      <c r="AJ152" s="12"/>
      <c r="AK152" s="12"/>
      <c r="AL152" s="12"/>
      <c r="AM152" s="12"/>
      <c r="AN152" s="12"/>
      <c r="AO152" s="12"/>
      <c r="AP152" s="12"/>
      <c r="AQ152" s="15"/>
      <c r="AR152" s="12"/>
      <c r="AS152" s="12"/>
      <c r="AT152" s="12"/>
      <c r="AU152" s="12"/>
      <c r="AV152" s="12"/>
      <c r="AW152" s="12"/>
      <c r="AX152" s="13"/>
      <c r="AY152" s="12"/>
      <c r="AZ152" s="12" t="str">
        <f>IF(AND(A152="",B152="",E152="",G152="",I152="",AV152="",AX152=""),"",IF(OR(B152="skip",AV152="skip"),"SKIP",IF(OR(B152="to_candidate",AV152="proposed_name"),IF(OR(A152="",AW152="",AX152="",COUNTIF($A$6:$A$505,A152)&gt;1),"REVIEW","TO_PROPOSED"),IF(OR(B152="",A152="",E152="",G152="",I152="",U152="",AV152="",COUNTIF($A$6:$A$505,A152)&gt;1,(COUNTIFS('أرقام التواصل'!$A$6:$A$505,"client",'أرقام التواصل'!$B$6:$B$505,A152,'أرقام التواصل'!$I$6:$I$505,"TRUE")+COUNTIFS('أرقام التواصل'!$A$6:$A$505,"client",'أرقام التواصل'!$B$6:$B$505,A152,'أرقام التواصل'!$C$6:$C$505,1))=0),"REVIEW","READY"))))</f>
        <v/>
      </c>
      <c r="BA152" s="16" t="str">
        <f>IF(AZ152="","",IF(OR(AZ152="READY",AZ152="TO_PROPOSED"),"",IF(AZ152="SKIP","Skipped by decision",TRIM(IF(B152="","missing import_action; ","")&amp;IF(A152="","missing migration_customer_key; ","")&amp;IF(AND(A152&lt;&gt;"",COUNTIF($A$6:$A$505,A152)&gt;1),"duplicate migration_customer_key; ","")&amp;IF(AND(NOT(OR(B152="to_candidate",AV152="proposed_name")),E152=""),"missing branch_id; ","")&amp;IF(AND(NOT(OR(B152="to_candidate",AV152="proposed_name")),G152=""),"missing first_name; ","")&amp;IF(AND(NOT(OR(B152="to_candidate",AV152="proposed_name")),I152=""),"missing last_name; ","")&amp;IF(AND(NOT(OR(B152="to_candidate",AV152="proposed_name")),U152=""),"missing final_geo_unit_id; ","")&amp;IF(AV152="","missing final_destination; ","")&amp;IF(AND(NOT(OR(B152="to_candidate",AV152="proposed_name")),(COUNTIFS('أرقام التواصل'!$A$6:$A$505,"client",'أرقام التواصل'!$B$6:$B$505,A152,'أرقام التواصل'!$I$6:$I$505,"TRUE")+COUNTIFS('أرقام التواصل'!$A$6:$A$505,"client",'أرقام التواصل'!$B$6:$B$505,A152,'أرقام التواصل'!$C$6:$C$505,1))=0),"missing primary contact in أرقام التواصل; ","")&amp;IF(OR(B152="to_candidate",AV152="proposed_name"),IF(AW152="","missing proposed_move_reason; ","")&amp;IF(AX152="","missing proposed_name_key; ",""),"")))))</f>
        <v/>
      </c>
    </row>
    <row r="153" spans="1:53">
      <c r="A153" s="11"/>
      <c r="B153" s="12"/>
      <c r="C153" s="13"/>
      <c r="D153" s="12"/>
      <c r="E153" s="12"/>
      <c r="F153" s="12"/>
      <c r="G153" s="12"/>
      <c r="H153" s="12"/>
      <c r="I153" s="12"/>
      <c r="J153" s="12"/>
      <c r="K153" s="12" t="str">
        <f t="shared" si="3"/>
        <v/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 t="str">
        <f t="shared" si="4"/>
        <v/>
      </c>
      <c r="V153" s="12"/>
      <c r="W153" s="14"/>
      <c r="X153" s="14"/>
      <c r="Y153" s="13"/>
      <c r="Z153" s="12"/>
      <c r="AA153" s="12"/>
      <c r="AB153" s="12"/>
      <c r="AC153" s="12"/>
      <c r="AD153" s="15"/>
      <c r="AE153" s="12"/>
      <c r="AF153" s="13"/>
      <c r="AG153" s="12"/>
      <c r="AH153" s="12"/>
      <c r="AI153" s="15"/>
      <c r="AJ153" s="12"/>
      <c r="AK153" s="12"/>
      <c r="AL153" s="12"/>
      <c r="AM153" s="12"/>
      <c r="AN153" s="12"/>
      <c r="AO153" s="12"/>
      <c r="AP153" s="12"/>
      <c r="AQ153" s="15"/>
      <c r="AR153" s="12"/>
      <c r="AS153" s="12"/>
      <c r="AT153" s="12"/>
      <c r="AU153" s="12"/>
      <c r="AV153" s="12"/>
      <c r="AW153" s="12"/>
      <c r="AX153" s="13"/>
      <c r="AY153" s="12"/>
      <c r="AZ153" s="12" t="str">
        <f>IF(AND(A153="",B153="",E153="",G153="",I153="",AV153="",AX153=""),"",IF(OR(B153="skip",AV153="skip"),"SKIP",IF(OR(B153="to_candidate",AV153="proposed_name"),IF(OR(A153="",AW153="",AX153="",COUNTIF($A$6:$A$505,A153)&gt;1),"REVIEW","TO_PROPOSED"),IF(OR(B153="",A153="",E153="",G153="",I153="",U153="",AV153="",COUNTIF($A$6:$A$505,A153)&gt;1,(COUNTIFS('أرقام التواصل'!$A$6:$A$505,"client",'أرقام التواصل'!$B$6:$B$505,A153,'أرقام التواصل'!$I$6:$I$505,"TRUE")+COUNTIFS('أرقام التواصل'!$A$6:$A$505,"client",'أرقام التواصل'!$B$6:$B$505,A153,'أرقام التواصل'!$C$6:$C$505,1))=0),"REVIEW","READY"))))</f>
        <v/>
      </c>
      <c r="BA153" s="16" t="str">
        <f>IF(AZ153="","",IF(OR(AZ153="READY",AZ153="TO_PROPOSED"),"",IF(AZ153="SKIP","Skipped by decision",TRIM(IF(B153="","missing import_action; ","")&amp;IF(A153="","missing migration_customer_key; ","")&amp;IF(AND(A153&lt;&gt;"",COUNTIF($A$6:$A$505,A153)&gt;1),"duplicate migration_customer_key; ","")&amp;IF(AND(NOT(OR(B153="to_candidate",AV153="proposed_name")),E153=""),"missing branch_id; ","")&amp;IF(AND(NOT(OR(B153="to_candidate",AV153="proposed_name")),G153=""),"missing first_name; ","")&amp;IF(AND(NOT(OR(B153="to_candidate",AV153="proposed_name")),I153=""),"missing last_name; ","")&amp;IF(AND(NOT(OR(B153="to_candidate",AV153="proposed_name")),U153=""),"missing final_geo_unit_id; ","")&amp;IF(AV153="","missing final_destination; ","")&amp;IF(AND(NOT(OR(B153="to_candidate",AV153="proposed_name")),(COUNTIFS('أرقام التواصل'!$A$6:$A$505,"client",'أرقام التواصل'!$B$6:$B$505,A153,'أرقام التواصل'!$I$6:$I$505,"TRUE")+COUNTIFS('أرقام التواصل'!$A$6:$A$505,"client",'أرقام التواصل'!$B$6:$B$505,A153,'أرقام التواصل'!$C$6:$C$505,1))=0),"missing primary contact in أرقام التواصل; ","")&amp;IF(OR(B153="to_candidate",AV153="proposed_name"),IF(AW153="","missing proposed_move_reason; ","")&amp;IF(AX153="","missing proposed_name_key; ",""),"")))))</f>
        <v/>
      </c>
    </row>
    <row r="154" spans="1:53">
      <c r="A154" s="11"/>
      <c r="B154" s="12"/>
      <c r="C154" s="13"/>
      <c r="D154" s="12"/>
      <c r="E154" s="12"/>
      <c r="F154" s="12"/>
      <c r="G154" s="12"/>
      <c r="H154" s="12"/>
      <c r="I154" s="12"/>
      <c r="J154" s="12"/>
      <c r="K154" s="12" t="str">
        <f t="shared" si="3"/>
        <v/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 t="str">
        <f t="shared" si="4"/>
        <v/>
      </c>
      <c r="V154" s="12"/>
      <c r="W154" s="14"/>
      <c r="X154" s="14"/>
      <c r="Y154" s="13"/>
      <c r="Z154" s="12"/>
      <c r="AA154" s="12"/>
      <c r="AB154" s="12"/>
      <c r="AC154" s="12"/>
      <c r="AD154" s="15"/>
      <c r="AE154" s="12"/>
      <c r="AF154" s="13"/>
      <c r="AG154" s="12"/>
      <c r="AH154" s="12"/>
      <c r="AI154" s="15"/>
      <c r="AJ154" s="12"/>
      <c r="AK154" s="12"/>
      <c r="AL154" s="12"/>
      <c r="AM154" s="12"/>
      <c r="AN154" s="12"/>
      <c r="AO154" s="12"/>
      <c r="AP154" s="12"/>
      <c r="AQ154" s="15"/>
      <c r="AR154" s="12"/>
      <c r="AS154" s="12"/>
      <c r="AT154" s="12"/>
      <c r="AU154" s="12"/>
      <c r="AV154" s="12"/>
      <c r="AW154" s="12"/>
      <c r="AX154" s="13"/>
      <c r="AY154" s="12"/>
      <c r="AZ154" s="12" t="str">
        <f>IF(AND(A154="",B154="",E154="",G154="",I154="",AV154="",AX154=""),"",IF(OR(B154="skip",AV154="skip"),"SKIP",IF(OR(B154="to_candidate",AV154="proposed_name"),IF(OR(A154="",AW154="",AX154="",COUNTIF($A$6:$A$505,A154)&gt;1),"REVIEW","TO_PROPOSED"),IF(OR(B154="",A154="",E154="",G154="",I154="",U154="",AV154="",COUNTIF($A$6:$A$505,A154)&gt;1,(COUNTIFS('أرقام التواصل'!$A$6:$A$505,"client",'أرقام التواصل'!$B$6:$B$505,A154,'أرقام التواصل'!$I$6:$I$505,"TRUE")+COUNTIFS('أرقام التواصل'!$A$6:$A$505,"client",'أرقام التواصل'!$B$6:$B$505,A154,'أرقام التواصل'!$C$6:$C$505,1))=0),"REVIEW","READY"))))</f>
        <v/>
      </c>
      <c r="BA154" s="16" t="str">
        <f>IF(AZ154="","",IF(OR(AZ154="READY",AZ154="TO_PROPOSED"),"",IF(AZ154="SKIP","Skipped by decision",TRIM(IF(B154="","missing import_action; ","")&amp;IF(A154="","missing migration_customer_key; ","")&amp;IF(AND(A154&lt;&gt;"",COUNTIF($A$6:$A$505,A154)&gt;1),"duplicate migration_customer_key; ","")&amp;IF(AND(NOT(OR(B154="to_candidate",AV154="proposed_name")),E154=""),"missing branch_id; ","")&amp;IF(AND(NOT(OR(B154="to_candidate",AV154="proposed_name")),G154=""),"missing first_name; ","")&amp;IF(AND(NOT(OR(B154="to_candidate",AV154="proposed_name")),I154=""),"missing last_name; ","")&amp;IF(AND(NOT(OR(B154="to_candidate",AV154="proposed_name")),U154=""),"missing final_geo_unit_id; ","")&amp;IF(AV154="","missing final_destination; ","")&amp;IF(AND(NOT(OR(B154="to_candidate",AV154="proposed_name")),(COUNTIFS('أرقام التواصل'!$A$6:$A$505,"client",'أرقام التواصل'!$B$6:$B$505,A154,'أرقام التواصل'!$I$6:$I$505,"TRUE")+COUNTIFS('أرقام التواصل'!$A$6:$A$505,"client",'أرقام التواصل'!$B$6:$B$505,A154,'أرقام التواصل'!$C$6:$C$505,1))=0),"missing primary contact in أرقام التواصل; ","")&amp;IF(OR(B154="to_candidate",AV154="proposed_name"),IF(AW154="","missing proposed_move_reason; ","")&amp;IF(AX154="","missing proposed_name_key; ",""),"")))))</f>
        <v/>
      </c>
    </row>
    <row r="155" spans="1:53">
      <c r="A155" s="11"/>
      <c r="B155" s="12"/>
      <c r="C155" s="13"/>
      <c r="D155" s="12"/>
      <c r="E155" s="12"/>
      <c r="F155" s="12"/>
      <c r="G155" s="12"/>
      <c r="H155" s="12"/>
      <c r="I155" s="12"/>
      <c r="J155" s="12"/>
      <c r="K155" s="12" t="str">
        <f t="shared" si="3"/>
        <v/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 t="str">
        <f t="shared" si="4"/>
        <v/>
      </c>
      <c r="V155" s="12"/>
      <c r="W155" s="14"/>
      <c r="X155" s="14"/>
      <c r="Y155" s="13"/>
      <c r="Z155" s="12"/>
      <c r="AA155" s="12"/>
      <c r="AB155" s="12"/>
      <c r="AC155" s="12"/>
      <c r="AD155" s="15"/>
      <c r="AE155" s="12"/>
      <c r="AF155" s="13"/>
      <c r="AG155" s="12"/>
      <c r="AH155" s="12"/>
      <c r="AI155" s="15"/>
      <c r="AJ155" s="12"/>
      <c r="AK155" s="12"/>
      <c r="AL155" s="12"/>
      <c r="AM155" s="12"/>
      <c r="AN155" s="12"/>
      <c r="AO155" s="12"/>
      <c r="AP155" s="12"/>
      <c r="AQ155" s="15"/>
      <c r="AR155" s="12"/>
      <c r="AS155" s="12"/>
      <c r="AT155" s="12"/>
      <c r="AU155" s="12"/>
      <c r="AV155" s="12"/>
      <c r="AW155" s="12"/>
      <c r="AX155" s="13"/>
      <c r="AY155" s="12"/>
      <c r="AZ155" s="12" t="str">
        <f>IF(AND(A155="",B155="",E155="",G155="",I155="",AV155="",AX155=""),"",IF(OR(B155="skip",AV155="skip"),"SKIP",IF(OR(B155="to_candidate",AV155="proposed_name"),IF(OR(A155="",AW155="",AX155="",COUNTIF($A$6:$A$505,A155)&gt;1),"REVIEW","TO_PROPOSED"),IF(OR(B155="",A155="",E155="",G155="",I155="",U155="",AV155="",COUNTIF($A$6:$A$505,A155)&gt;1,(COUNTIFS('أرقام التواصل'!$A$6:$A$505,"client",'أرقام التواصل'!$B$6:$B$505,A155,'أرقام التواصل'!$I$6:$I$505,"TRUE")+COUNTIFS('أرقام التواصل'!$A$6:$A$505,"client",'أرقام التواصل'!$B$6:$B$505,A155,'أرقام التواصل'!$C$6:$C$505,1))=0),"REVIEW","READY"))))</f>
        <v/>
      </c>
      <c r="BA155" s="16" t="str">
        <f>IF(AZ155="","",IF(OR(AZ155="READY",AZ155="TO_PROPOSED"),"",IF(AZ155="SKIP","Skipped by decision",TRIM(IF(B155="","missing import_action; ","")&amp;IF(A155="","missing migration_customer_key; ","")&amp;IF(AND(A155&lt;&gt;"",COUNTIF($A$6:$A$505,A155)&gt;1),"duplicate migration_customer_key; ","")&amp;IF(AND(NOT(OR(B155="to_candidate",AV155="proposed_name")),E155=""),"missing branch_id; ","")&amp;IF(AND(NOT(OR(B155="to_candidate",AV155="proposed_name")),G155=""),"missing first_name; ","")&amp;IF(AND(NOT(OR(B155="to_candidate",AV155="proposed_name")),I155=""),"missing last_name; ","")&amp;IF(AND(NOT(OR(B155="to_candidate",AV155="proposed_name")),U155=""),"missing final_geo_unit_id; ","")&amp;IF(AV155="","missing final_destination; ","")&amp;IF(AND(NOT(OR(B155="to_candidate",AV155="proposed_name")),(COUNTIFS('أرقام التواصل'!$A$6:$A$505,"client",'أرقام التواصل'!$B$6:$B$505,A155,'أرقام التواصل'!$I$6:$I$505,"TRUE")+COUNTIFS('أرقام التواصل'!$A$6:$A$505,"client",'أرقام التواصل'!$B$6:$B$505,A155,'أرقام التواصل'!$C$6:$C$505,1))=0),"missing primary contact in أرقام التواصل; ","")&amp;IF(OR(B155="to_candidate",AV155="proposed_name"),IF(AW155="","missing proposed_move_reason; ","")&amp;IF(AX155="","missing proposed_name_key; ",""),"")))))</f>
        <v/>
      </c>
    </row>
    <row r="156" spans="1:53">
      <c r="A156" s="11"/>
      <c r="B156" s="12"/>
      <c r="C156" s="13"/>
      <c r="D156" s="12"/>
      <c r="E156" s="12"/>
      <c r="F156" s="12"/>
      <c r="G156" s="12"/>
      <c r="H156" s="12"/>
      <c r="I156" s="12"/>
      <c r="J156" s="12"/>
      <c r="K156" s="12" t="str">
        <f t="shared" si="3"/>
        <v/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 t="str">
        <f t="shared" si="4"/>
        <v/>
      </c>
      <c r="V156" s="12"/>
      <c r="W156" s="14"/>
      <c r="X156" s="14"/>
      <c r="Y156" s="13"/>
      <c r="Z156" s="12"/>
      <c r="AA156" s="12"/>
      <c r="AB156" s="12"/>
      <c r="AC156" s="12"/>
      <c r="AD156" s="15"/>
      <c r="AE156" s="12"/>
      <c r="AF156" s="13"/>
      <c r="AG156" s="12"/>
      <c r="AH156" s="12"/>
      <c r="AI156" s="15"/>
      <c r="AJ156" s="12"/>
      <c r="AK156" s="12"/>
      <c r="AL156" s="12"/>
      <c r="AM156" s="12"/>
      <c r="AN156" s="12"/>
      <c r="AO156" s="12"/>
      <c r="AP156" s="12"/>
      <c r="AQ156" s="15"/>
      <c r="AR156" s="12"/>
      <c r="AS156" s="12"/>
      <c r="AT156" s="12"/>
      <c r="AU156" s="12"/>
      <c r="AV156" s="12"/>
      <c r="AW156" s="12"/>
      <c r="AX156" s="13"/>
      <c r="AY156" s="12"/>
      <c r="AZ156" s="12" t="str">
        <f>IF(AND(A156="",B156="",E156="",G156="",I156="",AV156="",AX156=""),"",IF(OR(B156="skip",AV156="skip"),"SKIP",IF(OR(B156="to_candidate",AV156="proposed_name"),IF(OR(A156="",AW156="",AX156="",COUNTIF($A$6:$A$505,A156)&gt;1),"REVIEW","TO_PROPOSED"),IF(OR(B156="",A156="",E156="",G156="",I156="",U156="",AV156="",COUNTIF($A$6:$A$505,A156)&gt;1,(COUNTIFS('أرقام التواصل'!$A$6:$A$505,"client",'أرقام التواصل'!$B$6:$B$505,A156,'أرقام التواصل'!$I$6:$I$505,"TRUE")+COUNTIFS('أرقام التواصل'!$A$6:$A$505,"client",'أرقام التواصل'!$B$6:$B$505,A156,'أرقام التواصل'!$C$6:$C$505,1))=0),"REVIEW","READY"))))</f>
        <v/>
      </c>
      <c r="BA156" s="16" t="str">
        <f>IF(AZ156="","",IF(OR(AZ156="READY",AZ156="TO_PROPOSED"),"",IF(AZ156="SKIP","Skipped by decision",TRIM(IF(B156="","missing import_action; ","")&amp;IF(A156="","missing migration_customer_key; ","")&amp;IF(AND(A156&lt;&gt;"",COUNTIF($A$6:$A$505,A156)&gt;1),"duplicate migration_customer_key; ","")&amp;IF(AND(NOT(OR(B156="to_candidate",AV156="proposed_name")),E156=""),"missing branch_id; ","")&amp;IF(AND(NOT(OR(B156="to_candidate",AV156="proposed_name")),G156=""),"missing first_name; ","")&amp;IF(AND(NOT(OR(B156="to_candidate",AV156="proposed_name")),I156=""),"missing last_name; ","")&amp;IF(AND(NOT(OR(B156="to_candidate",AV156="proposed_name")),U156=""),"missing final_geo_unit_id; ","")&amp;IF(AV156="","missing final_destination; ","")&amp;IF(AND(NOT(OR(B156="to_candidate",AV156="proposed_name")),(COUNTIFS('أرقام التواصل'!$A$6:$A$505,"client",'أرقام التواصل'!$B$6:$B$505,A156,'أرقام التواصل'!$I$6:$I$505,"TRUE")+COUNTIFS('أرقام التواصل'!$A$6:$A$505,"client",'أرقام التواصل'!$B$6:$B$505,A156,'أرقام التواصل'!$C$6:$C$505,1))=0),"missing primary contact in أرقام التواصل; ","")&amp;IF(OR(B156="to_candidate",AV156="proposed_name"),IF(AW156="","missing proposed_move_reason; ","")&amp;IF(AX156="","missing proposed_name_key; ",""),"")))))</f>
        <v/>
      </c>
    </row>
    <row r="157" spans="1:53">
      <c r="A157" s="11"/>
      <c r="B157" s="12"/>
      <c r="C157" s="13"/>
      <c r="D157" s="12"/>
      <c r="E157" s="12"/>
      <c r="F157" s="12"/>
      <c r="G157" s="12"/>
      <c r="H157" s="12"/>
      <c r="I157" s="12"/>
      <c r="J157" s="12"/>
      <c r="K157" s="12" t="str">
        <f t="shared" si="3"/>
        <v/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 t="str">
        <f t="shared" si="4"/>
        <v/>
      </c>
      <c r="V157" s="12"/>
      <c r="W157" s="14"/>
      <c r="X157" s="14"/>
      <c r="Y157" s="13"/>
      <c r="Z157" s="12"/>
      <c r="AA157" s="12"/>
      <c r="AB157" s="12"/>
      <c r="AC157" s="12"/>
      <c r="AD157" s="15"/>
      <c r="AE157" s="12"/>
      <c r="AF157" s="13"/>
      <c r="AG157" s="12"/>
      <c r="AH157" s="12"/>
      <c r="AI157" s="15"/>
      <c r="AJ157" s="12"/>
      <c r="AK157" s="12"/>
      <c r="AL157" s="12"/>
      <c r="AM157" s="12"/>
      <c r="AN157" s="12"/>
      <c r="AO157" s="12"/>
      <c r="AP157" s="12"/>
      <c r="AQ157" s="15"/>
      <c r="AR157" s="12"/>
      <c r="AS157" s="12"/>
      <c r="AT157" s="12"/>
      <c r="AU157" s="12"/>
      <c r="AV157" s="12"/>
      <c r="AW157" s="12"/>
      <c r="AX157" s="13"/>
      <c r="AY157" s="12"/>
      <c r="AZ157" s="12" t="str">
        <f>IF(AND(A157="",B157="",E157="",G157="",I157="",AV157="",AX157=""),"",IF(OR(B157="skip",AV157="skip"),"SKIP",IF(OR(B157="to_candidate",AV157="proposed_name"),IF(OR(A157="",AW157="",AX157="",COUNTIF($A$6:$A$505,A157)&gt;1),"REVIEW","TO_PROPOSED"),IF(OR(B157="",A157="",E157="",G157="",I157="",U157="",AV157="",COUNTIF($A$6:$A$505,A157)&gt;1,(COUNTIFS('أرقام التواصل'!$A$6:$A$505,"client",'أرقام التواصل'!$B$6:$B$505,A157,'أرقام التواصل'!$I$6:$I$505,"TRUE")+COUNTIFS('أرقام التواصل'!$A$6:$A$505,"client",'أرقام التواصل'!$B$6:$B$505,A157,'أرقام التواصل'!$C$6:$C$505,1))=0),"REVIEW","READY"))))</f>
        <v/>
      </c>
      <c r="BA157" s="16" t="str">
        <f>IF(AZ157="","",IF(OR(AZ157="READY",AZ157="TO_PROPOSED"),"",IF(AZ157="SKIP","Skipped by decision",TRIM(IF(B157="","missing import_action; ","")&amp;IF(A157="","missing migration_customer_key; ","")&amp;IF(AND(A157&lt;&gt;"",COUNTIF($A$6:$A$505,A157)&gt;1),"duplicate migration_customer_key; ","")&amp;IF(AND(NOT(OR(B157="to_candidate",AV157="proposed_name")),E157=""),"missing branch_id; ","")&amp;IF(AND(NOT(OR(B157="to_candidate",AV157="proposed_name")),G157=""),"missing first_name; ","")&amp;IF(AND(NOT(OR(B157="to_candidate",AV157="proposed_name")),I157=""),"missing last_name; ","")&amp;IF(AND(NOT(OR(B157="to_candidate",AV157="proposed_name")),U157=""),"missing final_geo_unit_id; ","")&amp;IF(AV157="","missing final_destination; ","")&amp;IF(AND(NOT(OR(B157="to_candidate",AV157="proposed_name")),(COUNTIFS('أرقام التواصل'!$A$6:$A$505,"client",'أرقام التواصل'!$B$6:$B$505,A157,'أرقام التواصل'!$I$6:$I$505,"TRUE")+COUNTIFS('أرقام التواصل'!$A$6:$A$505,"client",'أرقام التواصل'!$B$6:$B$505,A157,'أرقام التواصل'!$C$6:$C$505,1))=0),"missing primary contact in أرقام التواصل; ","")&amp;IF(OR(B157="to_candidate",AV157="proposed_name"),IF(AW157="","missing proposed_move_reason; ","")&amp;IF(AX157="","missing proposed_name_key; ",""),"")))))</f>
        <v/>
      </c>
    </row>
    <row r="158" spans="1:53">
      <c r="A158" s="11"/>
      <c r="B158" s="12"/>
      <c r="C158" s="13"/>
      <c r="D158" s="12"/>
      <c r="E158" s="12"/>
      <c r="F158" s="12"/>
      <c r="G158" s="12"/>
      <c r="H158" s="12"/>
      <c r="I158" s="12"/>
      <c r="J158" s="12"/>
      <c r="K158" s="12" t="str">
        <f t="shared" si="3"/>
        <v/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 t="str">
        <f t="shared" si="4"/>
        <v/>
      </c>
      <c r="V158" s="12"/>
      <c r="W158" s="14"/>
      <c r="X158" s="14"/>
      <c r="Y158" s="13"/>
      <c r="Z158" s="12"/>
      <c r="AA158" s="12"/>
      <c r="AB158" s="12"/>
      <c r="AC158" s="12"/>
      <c r="AD158" s="15"/>
      <c r="AE158" s="12"/>
      <c r="AF158" s="13"/>
      <c r="AG158" s="12"/>
      <c r="AH158" s="12"/>
      <c r="AI158" s="15"/>
      <c r="AJ158" s="12"/>
      <c r="AK158" s="12"/>
      <c r="AL158" s="12"/>
      <c r="AM158" s="12"/>
      <c r="AN158" s="12"/>
      <c r="AO158" s="12"/>
      <c r="AP158" s="12"/>
      <c r="AQ158" s="15"/>
      <c r="AR158" s="12"/>
      <c r="AS158" s="12"/>
      <c r="AT158" s="12"/>
      <c r="AU158" s="12"/>
      <c r="AV158" s="12"/>
      <c r="AW158" s="12"/>
      <c r="AX158" s="13"/>
      <c r="AY158" s="12"/>
      <c r="AZ158" s="12" t="str">
        <f>IF(AND(A158="",B158="",E158="",G158="",I158="",AV158="",AX158=""),"",IF(OR(B158="skip",AV158="skip"),"SKIP",IF(OR(B158="to_candidate",AV158="proposed_name"),IF(OR(A158="",AW158="",AX158="",COUNTIF($A$6:$A$505,A158)&gt;1),"REVIEW","TO_PROPOSED"),IF(OR(B158="",A158="",E158="",G158="",I158="",U158="",AV158="",COUNTIF($A$6:$A$505,A158)&gt;1,(COUNTIFS('أرقام التواصل'!$A$6:$A$505,"client",'أرقام التواصل'!$B$6:$B$505,A158,'أرقام التواصل'!$I$6:$I$505,"TRUE")+COUNTIFS('أرقام التواصل'!$A$6:$A$505,"client",'أرقام التواصل'!$B$6:$B$505,A158,'أرقام التواصل'!$C$6:$C$505,1))=0),"REVIEW","READY"))))</f>
        <v/>
      </c>
      <c r="BA158" s="16" t="str">
        <f>IF(AZ158="","",IF(OR(AZ158="READY",AZ158="TO_PROPOSED"),"",IF(AZ158="SKIP","Skipped by decision",TRIM(IF(B158="","missing import_action; ","")&amp;IF(A158="","missing migration_customer_key; ","")&amp;IF(AND(A158&lt;&gt;"",COUNTIF($A$6:$A$505,A158)&gt;1),"duplicate migration_customer_key; ","")&amp;IF(AND(NOT(OR(B158="to_candidate",AV158="proposed_name")),E158=""),"missing branch_id; ","")&amp;IF(AND(NOT(OR(B158="to_candidate",AV158="proposed_name")),G158=""),"missing first_name; ","")&amp;IF(AND(NOT(OR(B158="to_candidate",AV158="proposed_name")),I158=""),"missing last_name; ","")&amp;IF(AND(NOT(OR(B158="to_candidate",AV158="proposed_name")),U158=""),"missing final_geo_unit_id; ","")&amp;IF(AV158="","missing final_destination; ","")&amp;IF(AND(NOT(OR(B158="to_candidate",AV158="proposed_name")),(COUNTIFS('أرقام التواصل'!$A$6:$A$505,"client",'أرقام التواصل'!$B$6:$B$505,A158,'أرقام التواصل'!$I$6:$I$505,"TRUE")+COUNTIFS('أرقام التواصل'!$A$6:$A$505,"client",'أرقام التواصل'!$B$6:$B$505,A158,'أرقام التواصل'!$C$6:$C$505,1))=0),"missing primary contact in أرقام التواصل; ","")&amp;IF(OR(B158="to_candidate",AV158="proposed_name"),IF(AW158="","missing proposed_move_reason; ","")&amp;IF(AX158="","missing proposed_name_key; ",""),"")))))</f>
        <v/>
      </c>
    </row>
    <row r="159" spans="1:53">
      <c r="A159" s="11"/>
      <c r="B159" s="12"/>
      <c r="C159" s="13"/>
      <c r="D159" s="12"/>
      <c r="E159" s="12"/>
      <c r="F159" s="12"/>
      <c r="G159" s="12"/>
      <c r="H159" s="12"/>
      <c r="I159" s="12"/>
      <c r="J159" s="12"/>
      <c r="K159" s="12" t="str">
        <f t="shared" si="3"/>
        <v/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 t="str">
        <f t="shared" si="4"/>
        <v/>
      </c>
      <c r="V159" s="12"/>
      <c r="W159" s="14"/>
      <c r="X159" s="14"/>
      <c r="Y159" s="13"/>
      <c r="Z159" s="12"/>
      <c r="AA159" s="12"/>
      <c r="AB159" s="12"/>
      <c r="AC159" s="12"/>
      <c r="AD159" s="15"/>
      <c r="AE159" s="12"/>
      <c r="AF159" s="13"/>
      <c r="AG159" s="12"/>
      <c r="AH159" s="12"/>
      <c r="AI159" s="15"/>
      <c r="AJ159" s="12"/>
      <c r="AK159" s="12"/>
      <c r="AL159" s="12"/>
      <c r="AM159" s="12"/>
      <c r="AN159" s="12"/>
      <c r="AO159" s="12"/>
      <c r="AP159" s="12"/>
      <c r="AQ159" s="15"/>
      <c r="AR159" s="12"/>
      <c r="AS159" s="12"/>
      <c r="AT159" s="12"/>
      <c r="AU159" s="12"/>
      <c r="AV159" s="12"/>
      <c r="AW159" s="12"/>
      <c r="AX159" s="13"/>
      <c r="AY159" s="12"/>
      <c r="AZ159" s="12" t="str">
        <f>IF(AND(A159="",B159="",E159="",G159="",I159="",AV159="",AX159=""),"",IF(OR(B159="skip",AV159="skip"),"SKIP",IF(OR(B159="to_candidate",AV159="proposed_name"),IF(OR(A159="",AW159="",AX159="",COUNTIF($A$6:$A$505,A159)&gt;1),"REVIEW","TO_PROPOSED"),IF(OR(B159="",A159="",E159="",G159="",I159="",U159="",AV159="",COUNTIF($A$6:$A$505,A159)&gt;1,(COUNTIFS('أرقام التواصل'!$A$6:$A$505,"client",'أرقام التواصل'!$B$6:$B$505,A159,'أرقام التواصل'!$I$6:$I$505,"TRUE")+COUNTIFS('أرقام التواصل'!$A$6:$A$505,"client",'أرقام التواصل'!$B$6:$B$505,A159,'أرقام التواصل'!$C$6:$C$505,1))=0),"REVIEW","READY"))))</f>
        <v/>
      </c>
      <c r="BA159" s="16" t="str">
        <f>IF(AZ159="","",IF(OR(AZ159="READY",AZ159="TO_PROPOSED"),"",IF(AZ159="SKIP","Skipped by decision",TRIM(IF(B159="","missing import_action; ","")&amp;IF(A159="","missing migration_customer_key; ","")&amp;IF(AND(A159&lt;&gt;"",COUNTIF($A$6:$A$505,A159)&gt;1),"duplicate migration_customer_key; ","")&amp;IF(AND(NOT(OR(B159="to_candidate",AV159="proposed_name")),E159=""),"missing branch_id; ","")&amp;IF(AND(NOT(OR(B159="to_candidate",AV159="proposed_name")),G159=""),"missing first_name; ","")&amp;IF(AND(NOT(OR(B159="to_candidate",AV159="proposed_name")),I159=""),"missing last_name; ","")&amp;IF(AND(NOT(OR(B159="to_candidate",AV159="proposed_name")),U159=""),"missing final_geo_unit_id; ","")&amp;IF(AV159="","missing final_destination; ","")&amp;IF(AND(NOT(OR(B159="to_candidate",AV159="proposed_name")),(COUNTIFS('أرقام التواصل'!$A$6:$A$505,"client",'أرقام التواصل'!$B$6:$B$505,A159,'أرقام التواصل'!$I$6:$I$505,"TRUE")+COUNTIFS('أرقام التواصل'!$A$6:$A$505,"client",'أرقام التواصل'!$B$6:$B$505,A159,'أرقام التواصل'!$C$6:$C$505,1))=0),"missing primary contact in أرقام التواصل; ","")&amp;IF(OR(B159="to_candidate",AV159="proposed_name"),IF(AW159="","missing proposed_move_reason; ","")&amp;IF(AX159="","missing proposed_name_key; ",""),"")))))</f>
        <v/>
      </c>
    </row>
    <row r="160" spans="1:53">
      <c r="A160" s="11"/>
      <c r="B160" s="12"/>
      <c r="C160" s="13"/>
      <c r="D160" s="12"/>
      <c r="E160" s="12"/>
      <c r="F160" s="12"/>
      <c r="G160" s="12"/>
      <c r="H160" s="12"/>
      <c r="I160" s="12"/>
      <c r="J160" s="12"/>
      <c r="K160" s="12" t="str">
        <f t="shared" si="3"/>
        <v/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 t="str">
        <f t="shared" si="4"/>
        <v/>
      </c>
      <c r="V160" s="12"/>
      <c r="W160" s="14"/>
      <c r="X160" s="14"/>
      <c r="Y160" s="13"/>
      <c r="Z160" s="12"/>
      <c r="AA160" s="12"/>
      <c r="AB160" s="12"/>
      <c r="AC160" s="12"/>
      <c r="AD160" s="15"/>
      <c r="AE160" s="12"/>
      <c r="AF160" s="13"/>
      <c r="AG160" s="12"/>
      <c r="AH160" s="12"/>
      <c r="AI160" s="15"/>
      <c r="AJ160" s="12"/>
      <c r="AK160" s="12"/>
      <c r="AL160" s="12"/>
      <c r="AM160" s="12"/>
      <c r="AN160" s="12"/>
      <c r="AO160" s="12"/>
      <c r="AP160" s="12"/>
      <c r="AQ160" s="15"/>
      <c r="AR160" s="12"/>
      <c r="AS160" s="12"/>
      <c r="AT160" s="12"/>
      <c r="AU160" s="12"/>
      <c r="AV160" s="12"/>
      <c r="AW160" s="12"/>
      <c r="AX160" s="13"/>
      <c r="AY160" s="12"/>
      <c r="AZ160" s="12" t="str">
        <f>IF(AND(A160="",B160="",E160="",G160="",I160="",AV160="",AX160=""),"",IF(OR(B160="skip",AV160="skip"),"SKIP",IF(OR(B160="to_candidate",AV160="proposed_name"),IF(OR(A160="",AW160="",AX160="",COUNTIF($A$6:$A$505,A160)&gt;1),"REVIEW","TO_PROPOSED"),IF(OR(B160="",A160="",E160="",G160="",I160="",U160="",AV160="",COUNTIF($A$6:$A$505,A160)&gt;1,(COUNTIFS('أرقام التواصل'!$A$6:$A$505,"client",'أرقام التواصل'!$B$6:$B$505,A160,'أرقام التواصل'!$I$6:$I$505,"TRUE")+COUNTIFS('أرقام التواصل'!$A$6:$A$505,"client",'أرقام التواصل'!$B$6:$B$505,A160,'أرقام التواصل'!$C$6:$C$505,1))=0),"REVIEW","READY"))))</f>
        <v/>
      </c>
      <c r="BA160" s="16" t="str">
        <f>IF(AZ160="","",IF(OR(AZ160="READY",AZ160="TO_PROPOSED"),"",IF(AZ160="SKIP","Skipped by decision",TRIM(IF(B160="","missing import_action; ","")&amp;IF(A160="","missing migration_customer_key; ","")&amp;IF(AND(A160&lt;&gt;"",COUNTIF($A$6:$A$505,A160)&gt;1),"duplicate migration_customer_key; ","")&amp;IF(AND(NOT(OR(B160="to_candidate",AV160="proposed_name")),E160=""),"missing branch_id; ","")&amp;IF(AND(NOT(OR(B160="to_candidate",AV160="proposed_name")),G160=""),"missing first_name; ","")&amp;IF(AND(NOT(OR(B160="to_candidate",AV160="proposed_name")),I160=""),"missing last_name; ","")&amp;IF(AND(NOT(OR(B160="to_candidate",AV160="proposed_name")),U160=""),"missing final_geo_unit_id; ","")&amp;IF(AV160="","missing final_destination; ","")&amp;IF(AND(NOT(OR(B160="to_candidate",AV160="proposed_name")),(COUNTIFS('أرقام التواصل'!$A$6:$A$505,"client",'أرقام التواصل'!$B$6:$B$505,A160,'أرقام التواصل'!$I$6:$I$505,"TRUE")+COUNTIFS('أرقام التواصل'!$A$6:$A$505,"client",'أرقام التواصل'!$B$6:$B$505,A160,'أرقام التواصل'!$C$6:$C$505,1))=0),"missing primary contact in أرقام التواصل; ","")&amp;IF(OR(B160="to_candidate",AV160="proposed_name"),IF(AW160="","missing proposed_move_reason; ","")&amp;IF(AX160="","missing proposed_name_key; ",""),"")))))</f>
        <v/>
      </c>
    </row>
    <row r="161" spans="1:53">
      <c r="A161" s="11"/>
      <c r="B161" s="12"/>
      <c r="C161" s="13"/>
      <c r="D161" s="12"/>
      <c r="E161" s="12"/>
      <c r="F161" s="12"/>
      <c r="G161" s="12"/>
      <c r="H161" s="12"/>
      <c r="I161" s="12"/>
      <c r="J161" s="12"/>
      <c r="K161" s="12" t="str">
        <f t="shared" si="3"/>
        <v/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 t="str">
        <f t="shared" si="4"/>
        <v/>
      </c>
      <c r="V161" s="12"/>
      <c r="W161" s="14"/>
      <c r="X161" s="14"/>
      <c r="Y161" s="13"/>
      <c r="Z161" s="12"/>
      <c r="AA161" s="12"/>
      <c r="AB161" s="12"/>
      <c r="AC161" s="12"/>
      <c r="AD161" s="15"/>
      <c r="AE161" s="12"/>
      <c r="AF161" s="13"/>
      <c r="AG161" s="12"/>
      <c r="AH161" s="12"/>
      <c r="AI161" s="15"/>
      <c r="AJ161" s="12"/>
      <c r="AK161" s="12"/>
      <c r="AL161" s="12"/>
      <c r="AM161" s="12"/>
      <c r="AN161" s="12"/>
      <c r="AO161" s="12"/>
      <c r="AP161" s="12"/>
      <c r="AQ161" s="15"/>
      <c r="AR161" s="12"/>
      <c r="AS161" s="12"/>
      <c r="AT161" s="12"/>
      <c r="AU161" s="12"/>
      <c r="AV161" s="12"/>
      <c r="AW161" s="12"/>
      <c r="AX161" s="13"/>
      <c r="AY161" s="12"/>
      <c r="AZ161" s="12" t="str">
        <f>IF(AND(A161="",B161="",E161="",G161="",I161="",AV161="",AX161=""),"",IF(OR(B161="skip",AV161="skip"),"SKIP",IF(OR(B161="to_candidate",AV161="proposed_name"),IF(OR(A161="",AW161="",AX161="",COUNTIF($A$6:$A$505,A161)&gt;1),"REVIEW","TO_PROPOSED"),IF(OR(B161="",A161="",E161="",G161="",I161="",U161="",AV161="",COUNTIF($A$6:$A$505,A161)&gt;1,(COUNTIFS('أرقام التواصل'!$A$6:$A$505,"client",'أرقام التواصل'!$B$6:$B$505,A161,'أرقام التواصل'!$I$6:$I$505,"TRUE")+COUNTIFS('أرقام التواصل'!$A$6:$A$505,"client",'أرقام التواصل'!$B$6:$B$505,A161,'أرقام التواصل'!$C$6:$C$505,1))=0),"REVIEW","READY"))))</f>
        <v/>
      </c>
      <c r="BA161" s="16" t="str">
        <f>IF(AZ161="","",IF(OR(AZ161="READY",AZ161="TO_PROPOSED"),"",IF(AZ161="SKIP","Skipped by decision",TRIM(IF(B161="","missing import_action; ","")&amp;IF(A161="","missing migration_customer_key; ","")&amp;IF(AND(A161&lt;&gt;"",COUNTIF($A$6:$A$505,A161)&gt;1),"duplicate migration_customer_key; ","")&amp;IF(AND(NOT(OR(B161="to_candidate",AV161="proposed_name")),E161=""),"missing branch_id; ","")&amp;IF(AND(NOT(OR(B161="to_candidate",AV161="proposed_name")),G161=""),"missing first_name; ","")&amp;IF(AND(NOT(OR(B161="to_candidate",AV161="proposed_name")),I161=""),"missing last_name; ","")&amp;IF(AND(NOT(OR(B161="to_candidate",AV161="proposed_name")),U161=""),"missing final_geo_unit_id; ","")&amp;IF(AV161="","missing final_destination; ","")&amp;IF(AND(NOT(OR(B161="to_candidate",AV161="proposed_name")),(COUNTIFS('أرقام التواصل'!$A$6:$A$505,"client",'أرقام التواصل'!$B$6:$B$505,A161,'أرقام التواصل'!$I$6:$I$505,"TRUE")+COUNTIFS('أرقام التواصل'!$A$6:$A$505,"client",'أرقام التواصل'!$B$6:$B$505,A161,'أرقام التواصل'!$C$6:$C$505,1))=0),"missing primary contact in أرقام التواصل; ","")&amp;IF(OR(B161="to_candidate",AV161="proposed_name"),IF(AW161="","missing proposed_move_reason; ","")&amp;IF(AX161="","missing proposed_name_key; ",""),"")))))</f>
        <v/>
      </c>
    </row>
    <row r="162" spans="1:53">
      <c r="A162" s="11"/>
      <c r="B162" s="12"/>
      <c r="C162" s="13"/>
      <c r="D162" s="12"/>
      <c r="E162" s="12"/>
      <c r="F162" s="12"/>
      <c r="G162" s="12"/>
      <c r="H162" s="12"/>
      <c r="I162" s="12"/>
      <c r="J162" s="12"/>
      <c r="K162" s="12" t="str">
        <f t="shared" si="3"/>
        <v/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 t="str">
        <f t="shared" si="4"/>
        <v/>
      </c>
      <c r="V162" s="12"/>
      <c r="W162" s="14"/>
      <c r="X162" s="14"/>
      <c r="Y162" s="13"/>
      <c r="Z162" s="12"/>
      <c r="AA162" s="12"/>
      <c r="AB162" s="12"/>
      <c r="AC162" s="12"/>
      <c r="AD162" s="15"/>
      <c r="AE162" s="12"/>
      <c r="AF162" s="13"/>
      <c r="AG162" s="12"/>
      <c r="AH162" s="12"/>
      <c r="AI162" s="15"/>
      <c r="AJ162" s="12"/>
      <c r="AK162" s="12"/>
      <c r="AL162" s="12"/>
      <c r="AM162" s="12"/>
      <c r="AN162" s="12"/>
      <c r="AO162" s="12"/>
      <c r="AP162" s="12"/>
      <c r="AQ162" s="15"/>
      <c r="AR162" s="12"/>
      <c r="AS162" s="12"/>
      <c r="AT162" s="12"/>
      <c r="AU162" s="12"/>
      <c r="AV162" s="12"/>
      <c r="AW162" s="12"/>
      <c r="AX162" s="13"/>
      <c r="AY162" s="12"/>
      <c r="AZ162" s="12" t="str">
        <f>IF(AND(A162="",B162="",E162="",G162="",I162="",AV162="",AX162=""),"",IF(OR(B162="skip",AV162="skip"),"SKIP",IF(OR(B162="to_candidate",AV162="proposed_name"),IF(OR(A162="",AW162="",AX162="",COUNTIF($A$6:$A$505,A162)&gt;1),"REVIEW","TO_PROPOSED"),IF(OR(B162="",A162="",E162="",G162="",I162="",U162="",AV162="",COUNTIF($A$6:$A$505,A162)&gt;1,(COUNTIFS('أرقام التواصل'!$A$6:$A$505,"client",'أرقام التواصل'!$B$6:$B$505,A162,'أرقام التواصل'!$I$6:$I$505,"TRUE")+COUNTIFS('أرقام التواصل'!$A$6:$A$505,"client",'أرقام التواصل'!$B$6:$B$505,A162,'أرقام التواصل'!$C$6:$C$505,1))=0),"REVIEW","READY"))))</f>
        <v/>
      </c>
      <c r="BA162" s="16" t="str">
        <f>IF(AZ162="","",IF(OR(AZ162="READY",AZ162="TO_PROPOSED"),"",IF(AZ162="SKIP","Skipped by decision",TRIM(IF(B162="","missing import_action; ","")&amp;IF(A162="","missing migration_customer_key; ","")&amp;IF(AND(A162&lt;&gt;"",COUNTIF($A$6:$A$505,A162)&gt;1),"duplicate migration_customer_key; ","")&amp;IF(AND(NOT(OR(B162="to_candidate",AV162="proposed_name")),E162=""),"missing branch_id; ","")&amp;IF(AND(NOT(OR(B162="to_candidate",AV162="proposed_name")),G162=""),"missing first_name; ","")&amp;IF(AND(NOT(OR(B162="to_candidate",AV162="proposed_name")),I162=""),"missing last_name; ","")&amp;IF(AND(NOT(OR(B162="to_candidate",AV162="proposed_name")),U162=""),"missing final_geo_unit_id; ","")&amp;IF(AV162="","missing final_destination; ","")&amp;IF(AND(NOT(OR(B162="to_candidate",AV162="proposed_name")),(COUNTIFS('أرقام التواصل'!$A$6:$A$505,"client",'أرقام التواصل'!$B$6:$B$505,A162,'أرقام التواصل'!$I$6:$I$505,"TRUE")+COUNTIFS('أرقام التواصل'!$A$6:$A$505,"client",'أرقام التواصل'!$B$6:$B$505,A162,'أرقام التواصل'!$C$6:$C$505,1))=0),"missing primary contact in أرقام التواصل; ","")&amp;IF(OR(B162="to_candidate",AV162="proposed_name"),IF(AW162="","missing proposed_move_reason; ","")&amp;IF(AX162="","missing proposed_name_key; ",""),"")))))</f>
        <v/>
      </c>
    </row>
    <row r="163" spans="1:53">
      <c r="A163" s="11"/>
      <c r="B163" s="12"/>
      <c r="C163" s="13"/>
      <c r="D163" s="12"/>
      <c r="E163" s="12"/>
      <c r="F163" s="12"/>
      <c r="G163" s="12"/>
      <c r="H163" s="12"/>
      <c r="I163" s="12"/>
      <c r="J163" s="12"/>
      <c r="K163" s="12" t="str">
        <f t="shared" si="3"/>
        <v/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 t="str">
        <f t="shared" si="4"/>
        <v/>
      </c>
      <c r="V163" s="12"/>
      <c r="W163" s="14"/>
      <c r="X163" s="14"/>
      <c r="Y163" s="13"/>
      <c r="Z163" s="12"/>
      <c r="AA163" s="12"/>
      <c r="AB163" s="12"/>
      <c r="AC163" s="12"/>
      <c r="AD163" s="15"/>
      <c r="AE163" s="12"/>
      <c r="AF163" s="13"/>
      <c r="AG163" s="12"/>
      <c r="AH163" s="12"/>
      <c r="AI163" s="15"/>
      <c r="AJ163" s="12"/>
      <c r="AK163" s="12"/>
      <c r="AL163" s="12"/>
      <c r="AM163" s="12"/>
      <c r="AN163" s="12"/>
      <c r="AO163" s="12"/>
      <c r="AP163" s="12"/>
      <c r="AQ163" s="15"/>
      <c r="AR163" s="12"/>
      <c r="AS163" s="12"/>
      <c r="AT163" s="12"/>
      <c r="AU163" s="12"/>
      <c r="AV163" s="12"/>
      <c r="AW163" s="12"/>
      <c r="AX163" s="13"/>
      <c r="AY163" s="12"/>
      <c r="AZ163" s="12" t="str">
        <f>IF(AND(A163="",B163="",E163="",G163="",I163="",AV163="",AX163=""),"",IF(OR(B163="skip",AV163="skip"),"SKIP",IF(OR(B163="to_candidate",AV163="proposed_name"),IF(OR(A163="",AW163="",AX163="",COUNTIF($A$6:$A$505,A163)&gt;1),"REVIEW","TO_PROPOSED"),IF(OR(B163="",A163="",E163="",G163="",I163="",U163="",AV163="",COUNTIF($A$6:$A$505,A163)&gt;1,(COUNTIFS('أرقام التواصل'!$A$6:$A$505,"client",'أرقام التواصل'!$B$6:$B$505,A163,'أرقام التواصل'!$I$6:$I$505,"TRUE")+COUNTIFS('أرقام التواصل'!$A$6:$A$505,"client",'أرقام التواصل'!$B$6:$B$505,A163,'أرقام التواصل'!$C$6:$C$505,1))=0),"REVIEW","READY"))))</f>
        <v/>
      </c>
      <c r="BA163" s="16" t="str">
        <f>IF(AZ163="","",IF(OR(AZ163="READY",AZ163="TO_PROPOSED"),"",IF(AZ163="SKIP","Skipped by decision",TRIM(IF(B163="","missing import_action; ","")&amp;IF(A163="","missing migration_customer_key; ","")&amp;IF(AND(A163&lt;&gt;"",COUNTIF($A$6:$A$505,A163)&gt;1),"duplicate migration_customer_key; ","")&amp;IF(AND(NOT(OR(B163="to_candidate",AV163="proposed_name")),E163=""),"missing branch_id; ","")&amp;IF(AND(NOT(OR(B163="to_candidate",AV163="proposed_name")),G163=""),"missing first_name; ","")&amp;IF(AND(NOT(OR(B163="to_candidate",AV163="proposed_name")),I163=""),"missing last_name; ","")&amp;IF(AND(NOT(OR(B163="to_candidate",AV163="proposed_name")),U163=""),"missing final_geo_unit_id; ","")&amp;IF(AV163="","missing final_destination; ","")&amp;IF(AND(NOT(OR(B163="to_candidate",AV163="proposed_name")),(COUNTIFS('أرقام التواصل'!$A$6:$A$505,"client",'أرقام التواصل'!$B$6:$B$505,A163,'أرقام التواصل'!$I$6:$I$505,"TRUE")+COUNTIFS('أرقام التواصل'!$A$6:$A$505,"client",'أرقام التواصل'!$B$6:$B$505,A163,'أرقام التواصل'!$C$6:$C$505,1))=0),"missing primary contact in أرقام التواصل; ","")&amp;IF(OR(B163="to_candidate",AV163="proposed_name"),IF(AW163="","missing proposed_move_reason; ","")&amp;IF(AX163="","missing proposed_name_key; ",""),"")))))</f>
        <v/>
      </c>
    </row>
    <row r="164" spans="1:53">
      <c r="A164" s="11"/>
      <c r="B164" s="12"/>
      <c r="C164" s="13"/>
      <c r="D164" s="12"/>
      <c r="E164" s="12"/>
      <c r="F164" s="12"/>
      <c r="G164" s="12"/>
      <c r="H164" s="12"/>
      <c r="I164" s="12"/>
      <c r="J164" s="12"/>
      <c r="K164" s="12" t="str">
        <f t="shared" si="3"/>
        <v/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 t="str">
        <f t="shared" si="4"/>
        <v/>
      </c>
      <c r="V164" s="12"/>
      <c r="W164" s="14"/>
      <c r="X164" s="14"/>
      <c r="Y164" s="13"/>
      <c r="Z164" s="12"/>
      <c r="AA164" s="12"/>
      <c r="AB164" s="12"/>
      <c r="AC164" s="12"/>
      <c r="AD164" s="15"/>
      <c r="AE164" s="12"/>
      <c r="AF164" s="13"/>
      <c r="AG164" s="12"/>
      <c r="AH164" s="12"/>
      <c r="AI164" s="15"/>
      <c r="AJ164" s="12"/>
      <c r="AK164" s="12"/>
      <c r="AL164" s="12"/>
      <c r="AM164" s="12"/>
      <c r="AN164" s="12"/>
      <c r="AO164" s="12"/>
      <c r="AP164" s="12"/>
      <c r="AQ164" s="15"/>
      <c r="AR164" s="12"/>
      <c r="AS164" s="12"/>
      <c r="AT164" s="12"/>
      <c r="AU164" s="12"/>
      <c r="AV164" s="12"/>
      <c r="AW164" s="12"/>
      <c r="AX164" s="13"/>
      <c r="AY164" s="12"/>
      <c r="AZ164" s="12" t="str">
        <f>IF(AND(A164="",B164="",E164="",G164="",I164="",AV164="",AX164=""),"",IF(OR(B164="skip",AV164="skip"),"SKIP",IF(OR(B164="to_candidate",AV164="proposed_name"),IF(OR(A164="",AW164="",AX164="",COUNTIF($A$6:$A$505,A164)&gt;1),"REVIEW","TO_PROPOSED"),IF(OR(B164="",A164="",E164="",G164="",I164="",U164="",AV164="",COUNTIF($A$6:$A$505,A164)&gt;1,(COUNTIFS('أرقام التواصل'!$A$6:$A$505,"client",'أرقام التواصل'!$B$6:$B$505,A164,'أرقام التواصل'!$I$6:$I$505,"TRUE")+COUNTIFS('أرقام التواصل'!$A$6:$A$505,"client",'أرقام التواصل'!$B$6:$B$505,A164,'أرقام التواصل'!$C$6:$C$505,1))=0),"REVIEW","READY"))))</f>
        <v/>
      </c>
      <c r="BA164" s="16" t="str">
        <f>IF(AZ164="","",IF(OR(AZ164="READY",AZ164="TO_PROPOSED"),"",IF(AZ164="SKIP","Skipped by decision",TRIM(IF(B164="","missing import_action; ","")&amp;IF(A164="","missing migration_customer_key; ","")&amp;IF(AND(A164&lt;&gt;"",COUNTIF($A$6:$A$505,A164)&gt;1),"duplicate migration_customer_key; ","")&amp;IF(AND(NOT(OR(B164="to_candidate",AV164="proposed_name")),E164=""),"missing branch_id; ","")&amp;IF(AND(NOT(OR(B164="to_candidate",AV164="proposed_name")),G164=""),"missing first_name; ","")&amp;IF(AND(NOT(OR(B164="to_candidate",AV164="proposed_name")),I164=""),"missing last_name; ","")&amp;IF(AND(NOT(OR(B164="to_candidate",AV164="proposed_name")),U164=""),"missing final_geo_unit_id; ","")&amp;IF(AV164="","missing final_destination; ","")&amp;IF(AND(NOT(OR(B164="to_candidate",AV164="proposed_name")),(COUNTIFS('أرقام التواصل'!$A$6:$A$505,"client",'أرقام التواصل'!$B$6:$B$505,A164,'أرقام التواصل'!$I$6:$I$505,"TRUE")+COUNTIFS('أرقام التواصل'!$A$6:$A$505,"client",'أرقام التواصل'!$B$6:$B$505,A164,'أرقام التواصل'!$C$6:$C$505,1))=0),"missing primary contact in أرقام التواصل; ","")&amp;IF(OR(B164="to_candidate",AV164="proposed_name"),IF(AW164="","missing proposed_move_reason; ","")&amp;IF(AX164="","missing proposed_name_key; ",""),"")))))</f>
        <v/>
      </c>
    </row>
    <row r="165" spans="1:53">
      <c r="A165" s="11"/>
      <c r="B165" s="12"/>
      <c r="C165" s="13"/>
      <c r="D165" s="12"/>
      <c r="E165" s="12"/>
      <c r="F165" s="12"/>
      <c r="G165" s="12"/>
      <c r="H165" s="12"/>
      <c r="I165" s="12"/>
      <c r="J165" s="12"/>
      <c r="K165" s="12" t="str">
        <f t="shared" si="3"/>
        <v/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 t="str">
        <f t="shared" si="4"/>
        <v/>
      </c>
      <c r="V165" s="12"/>
      <c r="W165" s="14"/>
      <c r="X165" s="14"/>
      <c r="Y165" s="13"/>
      <c r="Z165" s="12"/>
      <c r="AA165" s="12"/>
      <c r="AB165" s="12"/>
      <c r="AC165" s="12"/>
      <c r="AD165" s="15"/>
      <c r="AE165" s="12"/>
      <c r="AF165" s="13"/>
      <c r="AG165" s="12"/>
      <c r="AH165" s="12"/>
      <c r="AI165" s="15"/>
      <c r="AJ165" s="12"/>
      <c r="AK165" s="12"/>
      <c r="AL165" s="12"/>
      <c r="AM165" s="12"/>
      <c r="AN165" s="12"/>
      <c r="AO165" s="12"/>
      <c r="AP165" s="12"/>
      <c r="AQ165" s="15"/>
      <c r="AR165" s="12"/>
      <c r="AS165" s="12"/>
      <c r="AT165" s="12"/>
      <c r="AU165" s="12"/>
      <c r="AV165" s="12"/>
      <c r="AW165" s="12"/>
      <c r="AX165" s="13"/>
      <c r="AY165" s="12"/>
      <c r="AZ165" s="12" t="str">
        <f>IF(AND(A165="",B165="",E165="",G165="",I165="",AV165="",AX165=""),"",IF(OR(B165="skip",AV165="skip"),"SKIP",IF(OR(B165="to_candidate",AV165="proposed_name"),IF(OR(A165="",AW165="",AX165="",COUNTIF($A$6:$A$505,A165)&gt;1),"REVIEW","TO_PROPOSED"),IF(OR(B165="",A165="",E165="",G165="",I165="",U165="",AV165="",COUNTIF($A$6:$A$505,A165)&gt;1,(COUNTIFS('أرقام التواصل'!$A$6:$A$505,"client",'أرقام التواصل'!$B$6:$B$505,A165,'أرقام التواصل'!$I$6:$I$505,"TRUE")+COUNTIFS('أرقام التواصل'!$A$6:$A$505,"client",'أرقام التواصل'!$B$6:$B$505,A165,'أرقام التواصل'!$C$6:$C$505,1))=0),"REVIEW","READY"))))</f>
        <v/>
      </c>
      <c r="BA165" s="16" t="str">
        <f>IF(AZ165="","",IF(OR(AZ165="READY",AZ165="TO_PROPOSED"),"",IF(AZ165="SKIP","Skipped by decision",TRIM(IF(B165="","missing import_action; ","")&amp;IF(A165="","missing migration_customer_key; ","")&amp;IF(AND(A165&lt;&gt;"",COUNTIF($A$6:$A$505,A165)&gt;1),"duplicate migration_customer_key; ","")&amp;IF(AND(NOT(OR(B165="to_candidate",AV165="proposed_name")),E165=""),"missing branch_id; ","")&amp;IF(AND(NOT(OR(B165="to_candidate",AV165="proposed_name")),G165=""),"missing first_name; ","")&amp;IF(AND(NOT(OR(B165="to_candidate",AV165="proposed_name")),I165=""),"missing last_name; ","")&amp;IF(AND(NOT(OR(B165="to_candidate",AV165="proposed_name")),U165=""),"missing final_geo_unit_id; ","")&amp;IF(AV165="","missing final_destination; ","")&amp;IF(AND(NOT(OR(B165="to_candidate",AV165="proposed_name")),(COUNTIFS('أرقام التواصل'!$A$6:$A$505,"client",'أرقام التواصل'!$B$6:$B$505,A165,'أرقام التواصل'!$I$6:$I$505,"TRUE")+COUNTIFS('أرقام التواصل'!$A$6:$A$505,"client",'أرقام التواصل'!$B$6:$B$505,A165,'أرقام التواصل'!$C$6:$C$505,1))=0),"missing primary contact in أرقام التواصل; ","")&amp;IF(OR(B165="to_candidate",AV165="proposed_name"),IF(AW165="","missing proposed_move_reason; ","")&amp;IF(AX165="","missing proposed_name_key; ",""),"")))))</f>
        <v/>
      </c>
    </row>
    <row r="166" spans="1:53">
      <c r="A166" s="11"/>
      <c r="B166" s="12"/>
      <c r="C166" s="13"/>
      <c r="D166" s="12"/>
      <c r="E166" s="12"/>
      <c r="F166" s="12"/>
      <c r="G166" s="12"/>
      <c r="H166" s="12"/>
      <c r="I166" s="12"/>
      <c r="J166" s="12"/>
      <c r="K166" s="12" t="str">
        <f t="shared" si="3"/>
        <v/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 t="str">
        <f t="shared" si="4"/>
        <v/>
      </c>
      <c r="V166" s="12"/>
      <c r="W166" s="14"/>
      <c r="X166" s="14"/>
      <c r="Y166" s="13"/>
      <c r="Z166" s="12"/>
      <c r="AA166" s="12"/>
      <c r="AB166" s="12"/>
      <c r="AC166" s="12"/>
      <c r="AD166" s="15"/>
      <c r="AE166" s="12"/>
      <c r="AF166" s="13"/>
      <c r="AG166" s="12"/>
      <c r="AH166" s="12"/>
      <c r="AI166" s="15"/>
      <c r="AJ166" s="12"/>
      <c r="AK166" s="12"/>
      <c r="AL166" s="12"/>
      <c r="AM166" s="12"/>
      <c r="AN166" s="12"/>
      <c r="AO166" s="12"/>
      <c r="AP166" s="12"/>
      <c r="AQ166" s="15"/>
      <c r="AR166" s="12"/>
      <c r="AS166" s="12"/>
      <c r="AT166" s="12"/>
      <c r="AU166" s="12"/>
      <c r="AV166" s="12"/>
      <c r="AW166" s="12"/>
      <c r="AX166" s="13"/>
      <c r="AY166" s="12"/>
      <c r="AZ166" s="12" t="str">
        <f>IF(AND(A166="",B166="",E166="",G166="",I166="",AV166="",AX166=""),"",IF(OR(B166="skip",AV166="skip"),"SKIP",IF(OR(B166="to_candidate",AV166="proposed_name"),IF(OR(A166="",AW166="",AX166="",COUNTIF($A$6:$A$505,A166)&gt;1),"REVIEW","TO_PROPOSED"),IF(OR(B166="",A166="",E166="",G166="",I166="",U166="",AV166="",COUNTIF($A$6:$A$505,A166)&gt;1,(COUNTIFS('أرقام التواصل'!$A$6:$A$505,"client",'أرقام التواصل'!$B$6:$B$505,A166,'أرقام التواصل'!$I$6:$I$505,"TRUE")+COUNTIFS('أرقام التواصل'!$A$6:$A$505,"client",'أرقام التواصل'!$B$6:$B$505,A166,'أرقام التواصل'!$C$6:$C$505,1))=0),"REVIEW","READY"))))</f>
        <v/>
      </c>
      <c r="BA166" s="16" t="str">
        <f>IF(AZ166="","",IF(OR(AZ166="READY",AZ166="TO_PROPOSED"),"",IF(AZ166="SKIP","Skipped by decision",TRIM(IF(B166="","missing import_action; ","")&amp;IF(A166="","missing migration_customer_key; ","")&amp;IF(AND(A166&lt;&gt;"",COUNTIF($A$6:$A$505,A166)&gt;1),"duplicate migration_customer_key; ","")&amp;IF(AND(NOT(OR(B166="to_candidate",AV166="proposed_name")),E166=""),"missing branch_id; ","")&amp;IF(AND(NOT(OR(B166="to_candidate",AV166="proposed_name")),G166=""),"missing first_name; ","")&amp;IF(AND(NOT(OR(B166="to_candidate",AV166="proposed_name")),I166=""),"missing last_name; ","")&amp;IF(AND(NOT(OR(B166="to_candidate",AV166="proposed_name")),U166=""),"missing final_geo_unit_id; ","")&amp;IF(AV166="","missing final_destination; ","")&amp;IF(AND(NOT(OR(B166="to_candidate",AV166="proposed_name")),(COUNTIFS('أرقام التواصل'!$A$6:$A$505,"client",'أرقام التواصل'!$B$6:$B$505,A166,'أرقام التواصل'!$I$6:$I$505,"TRUE")+COUNTIFS('أرقام التواصل'!$A$6:$A$505,"client",'أرقام التواصل'!$B$6:$B$505,A166,'أرقام التواصل'!$C$6:$C$505,1))=0),"missing primary contact in أرقام التواصل; ","")&amp;IF(OR(B166="to_candidate",AV166="proposed_name"),IF(AW166="","missing proposed_move_reason; ","")&amp;IF(AX166="","missing proposed_name_key; ",""),"")))))</f>
        <v/>
      </c>
    </row>
    <row r="167" spans="1:53">
      <c r="A167" s="11"/>
      <c r="B167" s="12"/>
      <c r="C167" s="13"/>
      <c r="D167" s="12"/>
      <c r="E167" s="12"/>
      <c r="F167" s="12"/>
      <c r="G167" s="12"/>
      <c r="H167" s="12"/>
      <c r="I167" s="12"/>
      <c r="J167" s="12"/>
      <c r="K167" s="12" t="str">
        <f t="shared" si="3"/>
        <v/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 t="str">
        <f t="shared" si="4"/>
        <v/>
      </c>
      <c r="V167" s="12"/>
      <c r="W167" s="14"/>
      <c r="X167" s="14"/>
      <c r="Y167" s="13"/>
      <c r="Z167" s="12"/>
      <c r="AA167" s="12"/>
      <c r="AB167" s="12"/>
      <c r="AC167" s="12"/>
      <c r="AD167" s="15"/>
      <c r="AE167" s="12"/>
      <c r="AF167" s="13"/>
      <c r="AG167" s="12"/>
      <c r="AH167" s="12"/>
      <c r="AI167" s="15"/>
      <c r="AJ167" s="12"/>
      <c r="AK167" s="12"/>
      <c r="AL167" s="12"/>
      <c r="AM167" s="12"/>
      <c r="AN167" s="12"/>
      <c r="AO167" s="12"/>
      <c r="AP167" s="12"/>
      <c r="AQ167" s="15"/>
      <c r="AR167" s="12"/>
      <c r="AS167" s="12"/>
      <c r="AT167" s="12"/>
      <c r="AU167" s="12"/>
      <c r="AV167" s="12"/>
      <c r="AW167" s="12"/>
      <c r="AX167" s="13"/>
      <c r="AY167" s="12"/>
      <c r="AZ167" s="12" t="str">
        <f>IF(AND(A167="",B167="",E167="",G167="",I167="",AV167="",AX167=""),"",IF(OR(B167="skip",AV167="skip"),"SKIP",IF(OR(B167="to_candidate",AV167="proposed_name"),IF(OR(A167="",AW167="",AX167="",COUNTIF($A$6:$A$505,A167)&gt;1),"REVIEW","TO_PROPOSED"),IF(OR(B167="",A167="",E167="",G167="",I167="",U167="",AV167="",COUNTIF($A$6:$A$505,A167)&gt;1,(COUNTIFS('أرقام التواصل'!$A$6:$A$505,"client",'أرقام التواصل'!$B$6:$B$505,A167,'أرقام التواصل'!$I$6:$I$505,"TRUE")+COUNTIFS('أرقام التواصل'!$A$6:$A$505,"client",'أرقام التواصل'!$B$6:$B$505,A167,'أرقام التواصل'!$C$6:$C$505,1))=0),"REVIEW","READY"))))</f>
        <v/>
      </c>
      <c r="BA167" s="16" t="str">
        <f>IF(AZ167="","",IF(OR(AZ167="READY",AZ167="TO_PROPOSED"),"",IF(AZ167="SKIP","Skipped by decision",TRIM(IF(B167="","missing import_action; ","")&amp;IF(A167="","missing migration_customer_key; ","")&amp;IF(AND(A167&lt;&gt;"",COUNTIF($A$6:$A$505,A167)&gt;1),"duplicate migration_customer_key; ","")&amp;IF(AND(NOT(OR(B167="to_candidate",AV167="proposed_name")),E167=""),"missing branch_id; ","")&amp;IF(AND(NOT(OR(B167="to_candidate",AV167="proposed_name")),G167=""),"missing first_name; ","")&amp;IF(AND(NOT(OR(B167="to_candidate",AV167="proposed_name")),I167=""),"missing last_name; ","")&amp;IF(AND(NOT(OR(B167="to_candidate",AV167="proposed_name")),U167=""),"missing final_geo_unit_id; ","")&amp;IF(AV167="","missing final_destination; ","")&amp;IF(AND(NOT(OR(B167="to_candidate",AV167="proposed_name")),(COUNTIFS('أرقام التواصل'!$A$6:$A$505,"client",'أرقام التواصل'!$B$6:$B$505,A167,'أرقام التواصل'!$I$6:$I$505,"TRUE")+COUNTIFS('أرقام التواصل'!$A$6:$A$505,"client",'أرقام التواصل'!$B$6:$B$505,A167,'أرقام التواصل'!$C$6:$C$505,1))=0),"missing primary contact in أرقام التواصل; ","")&amp;IF(OR(B167="to_candidate",AV167="proposed_name"),IF(AW167="","missing proposed_move_reason; ","")&amp;IF(AX167="","missing proposed_name_key; ",""),"")))))</f>
        <v/>
      </c>
    </row>
    <row r="168" spans="1:53">
      <c r="A168" s="11"/>
      <c r="B168" s="12"/>
      <c r="C168" s="13"/>
      <c r="D168" s="12"/>
      <c r="E168" s="12"/>
      <c r="F168" s="12"/>
      <c r="G168" s="12"/>
      <c r="H168" s="12"/>
      <c r="I168" s="12"/>
      <c r="J168" s="12"/>
      <c r="K168" s="12" t="str">
        <f t="shared" si="3"/>
        <v/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 t="str">
        <f t="shared" si="4"/>
        <v/>
      </c>
      <c r="V168" s="12"/>
      <c r="W168" s="14"/>
      <c r="X168" s="14"/>
      <c r="Y168" s="13"/>
      <c r="Z168" s="12"/>
      <c r="AA168" s="12"/>
      <c r="AB168" s="12"/>
      <c r="AC168" s="12"/>
      <c r="AD168" s="15"/>
      <c r="AE168" s="12"/>
      <c r="AF168" s="13"/>
      <c r="AG168" s="12"/>
      <c r="AH168" s="12"/>
      <c r="AI168" s="15"/>
      <c r="AJ168" s="12"/>
      <c r="AK168" s="12"/>
      <c r="AL168" s="12"/>
      <c r="AM168" s="12"/>
      <c r="AN168" s="12"/>
      <c r="AO168" s="12"/>
      <c r="AP168" s="12"/>
      <c r="AQ168" s="15"/>
      <c r="AR168" s="12"/>
      <c r="AS168" s="12"/>
      <c r="AT168" s="12"/>
      <c r="AU168" s="12"/>
      <c r="AV168" s="12"/>
      <c r="AW168" s="12"/>
      <c r="AX168" s="13"/>
      <c r="AY168" s="12"/>
      <c r="AZ168" s="12" t="str">
        <f>IF(AND(A168="",B168="",E168="",G168="",I168="",AV168="",AX168=""),"",IF(OR(B168="skip",AV168="skip"),"SKIP",IF(OR(B168="to_candidate",AV168="proposed_name"),IF(OR(A168="",AW168="",AX168="",COUNTIF($A$6:$A$505,A168)&gt;1),"REVIEW","TO_PROPOSED"),IF(OR(B168="",A168="",E168="",G168="",I168="",U168="",AV168="",COUNTIF($A$6:$A$505,A168)&gt;1,(COUNTIFS('أرقام التواصل'!$A$6:$A$505,"client",'أرقام التواصل'!$B$6:$B$505,A168,'أرقام التواصل'!$I$6:$I$505,"TRUE")+COUNTIFS('أرقام التواصل'!$A$6:$A$505,"client",'أرقام التواصل'!$B$6:$B$505,A168,'أرقام التواصل'!$C$6:$C$505,1))=0),"REVIEW","READY"))))</f>
        <v/>
      </c>
      <c r="BA168" s="16" t="str">
        <f>IF(AZ168="","",IF(OR(AZ168="READY",AZ168="TO_PROPOSED"),"",IF(AZ168="SKIP","Skipped by decision",TRIM(IF(B168="","missing import_action; ","")&amp;IF(A168="","missing migration_customer_key; ","")&amp;IF(AND(A168&lt;&gt;"",COUNTIF($A$6:$A$505,A168)&gt;1),"duplicate migration_customer_key; ","")&amp;IF(AND(NOT(OR(B168="to_candidate",AV168="proposed_name")),E168=""),"missing branch_id; ","")&amp;IF(AND(NOT(OR(B168="to_candidate",AV168="proposed_name")),G168=""),"missing first_name; ","")&amp;IF(AND(NOT(OR(B168="to_candidate",AV168="proposed_name")),I168=""),"missing last_name; ","")&amp;IF(AND(NOT(OR(B168="to_candidate",AV168="proposed_name")),U168=""),"missing final_geo_unit_id; ","")&amp;IF(AV168="","missing final_destination; ","")&amp;IF(AND(NOT(OR(B168="to_candidate",AV168="proposed_name")),(COUNTIFS('أرقام التواصل'!$A$6:$A$505,"client",'أرقام التواصل'!$B$6:$B$505,A168,'أرقام التواصل'!$I$6:$I$505,"TRUE")+COUNTIFS('أرقام التواصل'!$A$6:$A$505,"client",'أرقام التواصل'!$B$6:$B$505,A168,'أرقام التواصل'!$C$6:$C$505,1))=0),"missing primary contact in أرقام التواصل; ","")&amp;IF(OR(B168="to_candidate",AV168="proposed_name"),IF(AW168="","missing proposed_move_reason; ","")&amp;IF(AX168="","missing proposed_name_key; ",""),"")))))</f>
        <v/>
      </c>
    </row>
    <row r="169" spans="1:53">
      <c r="A169" s="11"/>
      <c r="B169" s="12"/>
      <c r="C169" s="13"/>
      <c r="D169" s="12"/>
      <c r="E169" s="12"/>
      <c r="F169" s="12"/>
      <c r="G169" s="12"/>
      <c r="H169" s="12"/>
      <c r="I169" s="12"/>
      <c r="J169" s="12"/>
      <c r="K169" s="12" t="str">
        <f t="shared" si="3"/>
        <v/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 t="str">
        <f t="shared" si="4"/>
        <v/>
      </c>
      <c r="V169" s="12"/>
      <c r="W169" s="14"/>
      <c r="X169" s="14"/>
      <c r="Y169" s="13"/>
      <c r="Z169" s="12"/>
      <c r="AA169" s="12"/>
      <c r="AB169" s="12"/>
      <c r="AC169" s="12"/>
      <c r="AD169" s="15"/>
      <c r="AE169" s="12"/>
      <c r="AF169" s="13"/>
      <c r="AG169" s="12"/>
      <c r="AH169" s="12"/>
      <c r="AI169" s="15"/>
      <c r="AJ169" s="12"/>
      <c r="AK169" s="12"/>
      <c r="AL169" s="12"/>
      <c r="AM169" s="12"/>
      <c r="AN169" s="12"/>
      <c r="AO169" s="12"/>
      <c r="AP169" s="12"/>
      <c r="AQ169" s="15"/>
      <c r="AR169" s="12"/>
      <c r="AS169" s="12"/>
      <c r="AT169" s="12"/>
      <c r="AU169" s="12"/>
      <c r="AV169" s="12"/>
      <c r="AW169" s="12"/>
      <c r="AX169" s="13"/>
      <c r="AY169" s="12"/>
      <c r="AZ169" s="12" t="str">
        <f>IF(AND(A169="",B169="",E169="",G169="",I169="",AV169="",AX169=""),"",IF(OR(B169="skip",AV169="skip"),"SKIP",IF(OR(B169="to_candidate",AV169="proposed_name"),IF(OR(A169="",AW169="",AX169="",COUNTIF($A$6:$A$505,A169)&gt;1),"REVIEW","TO_PROPOSED"),IF(OR(B169="",A169="",E169="",G169="",I169="",U169="",AV169="",COUNTIF($A$6:$A$505,A169)&gt;1,(COUNTIFS('أرقام التواصل'!$A$6:$A$505,"client",'أرقام التواصل'!$B$6:$B$505,A169,'أرقام التواصل'!$I$6:$I$505,"TRUE")+COUNTIFS('أرقام التواصل'!$A$6:$A$505,"client",'أرقام التواصل'!$B$6:$B$505,A169,'أرقام التواصل'!$C$6:$C$505,1))=0),"REVIEW","READY"))))</f>
        <v/>
      </c>
      <c r="BA169" s="16" t="str">
        <f>IF(AZ169="","",IF(OR(AZ169="READY",AZ169="TO_PROPOSED"),"",IF(AZ169="SKIP","Skipped by decision",TRIM(IF(B169="","missing import_action; ","")&amp;IF(A169="","missing migration_customer_key; ","")&amp;IF(AND(A169&lt;&gt;"",COUNTIF($A$6:$A$505,A169)&gt;1),"duplicate migration_customer_key; ","")&amp;IF(AND(NOT(OR(B169="to_candidate",AV169="proposed_name")),E169=""),"missing branch_id; ","")&amp;IF(AND(NOT(OR(B169="to_candidate",AV169="proposed_name")),G169=""),"missing first_name; ","")&amp;IF(AND(NOT(OR(B169="to_candidate",AV169="proposed_name")),I169=""),"missing last_name; ","")&amp;IF(AND(NOT(OR(B169="to_candidate",AV169="proposed_name")),U169=""),"missing final_geo_unit_id; ","")&amp;IF(AV169="","missing final_destination; ","")&amp;IF(AND(NOT(OR(B169="to_candidate",AV169="proposed_name")),(COUNTIFS('أرقام التواصل'!$A$6:$A$505,"client",'أرقام التواصل'!$B$6:$B$505,A169,'أرقام التواصل'!$I$6:$I$505,"TRUE")+COUNTIFS('أرقام التواصل'!$A$6:$A$505,"client",'أرقام التواصل'!$B$6:$B$505,A169,'أرقام التواصل'!$C$6:$C$505,1))=0),"missing primary contact in أرقام التواصل; ","")&amp;IF(OR(B169="to_candidate",AV169="proposed_name"),IF(AW169="","missing proposed_move_reason; ","")&amp;IF(AX169="","missing proposed_name_key; ",""),"")))))</f>
        <v/>
      </c>
    </row>
    <row r="170" spans="1:53">
      <c r="A170" s="11"/>
      <c r="B170" s="12"/>
      <c r="C170" s="13"/>
      <c r="D170" s="12"/>
      <c r="E170" s="12"/>
      <c r="F170" s="12"/>
      <c r="G170" s="12"/>
      <c r="H170" s="12"/>
      <c r="I170" s="12"/>
      <c r="J170" s="12"/>
      <c r="K170" s="12" t="str">
        <f t="shared" si="3"/>
        <v/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 t="str">
        <f t="shared" si="4"/>
        <v/>
      </c>
      <c r="V170" s="12"/>
      <c r="W170" s="14"/>
      <c r="X170" s="14"/>
      <c r="Y170" s="13"/>
      <c r="Z170" s="12"/>
      <c r="AA170" s="12"/>
      <c r="AB170" s="12"/>
      <c r="AC170" s="12"/>
      <c r="AD170" s="15"/>
      <c r="AE170" s="12"/>
      <c r="AF170" s="13"/>
      <c r="AG170" s="12"/>
      <c r="AH170" s="12"/>
      <c r="AI170" s="15"/>
      <c r="AJ170" s="12"/>
      <c r="AK170" s="12"/>
      <c r="AL170" s="12"/>
      <c r="AM170" s="12"/>
      <c r="AN170" s="12"/>
      <c r="AO170" s="12"/>
      <c r="AP170" s="12"/>
      <c r="AQ170" s="15"/>
      <c r="AR170" s="12"/>
      <c r="AS170" s="12"/>
      <c r="AT170" s="12"/>
      <c r="AU170" s="12"/>
      <c r="AV170" s="12"/>
      <c r="AW170" s="12"/>
      <c r="AX170" s="13"/>
      <c r="AY170" s="12"/>
      <c r="AZ170" s="12" t="str">
        <f>IF(AND(A170="",B170="",E170="",G170="",I170="",AV170="",AX170=""),"",IF(OR(B170="skip",AV170="skip"),"SKIP",IF(OR(B170="to_candidate",AV170="proposed_name"),IF(OR(A170="",AW170="",AX170="",COUNTIF($A$6:$A$505,A170)&gt;1),"REVIEW","TO_PROPOSED"),IF(OR(B170="",A170="",E170="",G170="",I170="",U170="",AV170="",COUNTIF($A$6:$A$505,A170)&gt;1,(COUNTIFS('أرقام التواصل'!$A$6:$A$505,"client",'أرقام التواصل'!$B$6:$B$505,A170,'أرقام التواصل'!$I$6:$I$505,"TRUE")+COUNTIFS('أرقام التواصل'!$A$6:$A$505,"client",'أرقام التواصل'!$B$6:$B$505,A170,'أرقام التواصل'!$C$6:$C$505,1))=0),"REVIEW","READY"))))</f>
        <v/>
      </c>
      <c r="BA170" s="16" t="str">
        <f>IF(AZ170="","",IF(OR(AZ170="READY",AZ170="TO_PROPOSED"),"",IF(AZ170="SKIP","Skipped by decision",TRIM(IF(B170="","missing import_action; ","")&amp;IF(A170="","missing migration_customer_key; ","")&amp;IF(AND(A170&lt;&gt;"",COUNTIF($A$6:$A$505,A170)&gt;1),"duplicate migration_customer_key; ","")&amp;IF(AND(NOT(OR(B170="to_candidate",AV170="proposed_name")),E170=""),"missing branch_id; ","")&amp;IF(AND(NOT(OR(B170="to_candidate",AV170="proposed_name")),G170=""),"missing first_name; ","")&amp;IF(AND(NOT(OR(B170="to_candidate",AV170="proposed_name")),I170=""),"missing last_name; ","")&amp;IF(AND(NOT(OR(B170="to_candidate",AV170="proposed_name")),U170=""),"missing final_geo_unit_id; ","")&amp;IF(AV170="","missing final_destination; ","")&amp;IF(AND(NOT(OR(B170="to_candidate",AV170="proposed_name")),(COUNTIFS('أرقام التواصل'!$A$6:$A$505,"client",'أرقام التواصل'!$B$6:$B$505,A170,'أرقام التواصل'!$I$6:$I$505,"TRUE")+COUNTIFS('أرقام التواصل'!$A$6:$A$505,"client",'أرقام التواصل'!$B$6:$B$505,A170,'أرقام التواصل'!$C$6:$C$505,1))=0),"missing primary contact in أرقام التواصل; ","")&amp;IF(OR(B170="to_candidate",AV170="proposed_name"),IF(AW170="","missing proposed_move_reason; ","")&amp;IF(AX170="","missing proposed_name_key; ",""),"")))))</f>
        <v/>
      </c>
    </row>
    <row r="171" spans="1:53">
      <c r="A171" s="11"/>
      <c r="B171" s="12"/>
      <c r="C171" s="13"/>
      <c r="D171" s="12"/>
      <c r="E171" s="12"/>
      <c r="F171" s="12"/>
      <c r="G171" s="12"/>
      <c r="H171" s="12"/>
      <c r="I171" s="12"/>
      <c r="J171" s="12"/>
      <c r="K171" s="12" t="str">
        <f t="shared" si="3"/>
        <v/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 t="str">
        <f t="shared" si="4"/>
        <v/>
      </c>
      <c r="V171" s="12"/>
      <c r="W171" s="14"/>
      <c r="X171" s="14"/>
      <c r="Y171" s="13"/>
      <c r="Z171" s="12"/>
      <c r="AA171" s="12"/>
      <c r="AB171" s="12"/>
      <c r="AC171" s="12"/>
      <c r="AD171" s="15"/>
      <c r="AE171" s="12"/>
      <c r="AF171" s="13"/>
      <c r="AG171" s="12"/>
      <c r="AH171" s="12"/>
      <c r="AI171" s="15"/>
      <c r="AJ171" s="12"/>
      <c r="AK171" s="12"/>
      <c r="AL171" s="12"/>
      <c r="AM171" s="12"/>
      <c r="AN171" s="12"/>
      <c r="AO171" s="12"/>
      <c r="AP171" s="12"/>
      <c r="AQ171" s="15"/>
      <c r="AR171" s="12"/>
      <c r="AS171" s="12"/>
      <c r="AT171" s="12"/>
      <c r="AU171" s="12"/>
      <c r="AV171" s="12"/>
      <c r="AW171" s="12"/>
      <c r="AX171" s="13"/>
      <c r="AY171" s="12"/>
      <c r="AZ171" s="12" t="str">
        <f>IF(AND(A171="",B171="",E171="",G171="",I171="",AV171="",AX171=""),"",IF(OR(B171="skip",AV171="skip"),"SKIP",IF(OR(B171="to_candidate",AV171="proposed_name"),IF(OR(A171="",AW171="",AX171="",COUNTIF($A$6:$A$505,A171)&gt;1),"REVIEW","TO_PROPOSED"),IF(OR(B171="",A171="",E171="",G171="",I171="",U171="",AV171="",COUNTIF($A$6:$A$505,A171)&gt;1,(COUNTIFS('أرقام التواصل'!$A$6:$A$505,"client",'أرقام التواصل'!$B$6:$B$505,A171,'أرقام التواصل'!$I$6:$I$505,"TRUE")+COUNTIFS('أرقام التواصل'!$A$6:$A$505,"client",'أرقام التواصل'!$B$6:$B$505,A171,'أرقام التواصل'!$C$6:$C$505,1))=0),"REVIEW","READY"))))</f>
        <v/>
      </c>
      <c r="BA171" s="16" t="str">
        <f>IF(AZ171="","",IF(OR(AZ171="READY",AZ171="TO_PROPOSED"),"",IF(AZ171="SKIP","Skipped by decision",TRIM(IF(B171="","missing import_action; ","")&amp;IF(A171="","missing migration_customer_key; ","")&amp;IF(AND(A171&lt;&gt;"",COUNTIF($A$6:$A$505,A171)&gt;1),"duplicate migration_customer_key; ","")&amp;IF(AND(NOT(OR(B171="to_candidate",AV171="proposed_name")),E171=""),"missing branch_id; ","")&amp;IF(AND(NOT(OR(B171="to_candidate",AV171="proposed_name")),G171=""),"missing first_name; ","")&amp;IF(AND(NOT(OR(B171="to_candidate",AV171="proposed_name")),I171=""),"missing last_name; ","")&amp;IF(AND(NOT(OR(B171="to_candidate",AV171="proposed_name")),U171=""),"missing final_geo_unit_id; ","")&amp;IF(AV171="","missing final_destination; ","")&amp;IF(AND(NOT(OR(B171="to_candidate",AV171="proposed_name")),(COUNTIFS('أرقام التواصل'!$A$6:$A$505,"client",'أرقام التواصل'!$B$6:$B$505,A171,'أرقام التواصل'!$I$6:$I$505,"TRUE")+COUNTIFS('أرقام التواصل'!$A$6:$A$505,"client",'أرقام التواصل'!$B$6:$B$505,A171,'أرقام التواصل'!$C$6:$C$505,1))=0),"missing primary contact in أرقام التواصل; ","")&amp;IF(OR(B171="to_candidate",AV171="proposed_name"),IF(AW171="","missing proposed_move_reason; ","")&amp;IF(AX171="","missing proposed_name_key; ",""),"")))))</f>
        <v/>
      </c>
    </row>
    <row r="172" spans="1:53">
      <c r="A172" s="11"/>
      <c r="B172" s="12"/>
      <c r="C172" s="13"/>
      <c r="D172" s="12"/>
      <c r="E172" s="12"/>
      <c r="F172" s="12"/>
      <c r="G172" s="12"/>
      <c r="H172" s="12"/>
      <c r="I172" s="12"/>
      <c r="J172" s="12"/>
      <c r="K172" s="12" t="str">
        <f t="shared" si="3"/>
        <v/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 t="str">
        <f t="shared" si="4"/>
        <v/>
      </c>
      <c r="V172" s="12"/>
      <c r="W172" s="14"/>
      <c r="X172" s="14"/>
      <c r="Y172" s="13"/>
      <c r="Z172" s="12"/>
      <c r="AA172" s="12"/>
      <c r="AB172" s="12"/>
      <c r="AC172" s="12"/>
      <c r="AD172" s="15"/>
      <c r="AE172" s="12"/>
      <c r="AF172" s="13"/>
      <c r="AG172" s="12"/>
      <c r="AH172" s="12"/>
      <c r="AI172" s="15"/>
      <c r="AJ172" s="12"/>
      <c r="AK172" s="12"/>
      <c r="AL172" s="12"/>
      <c r="AM172" s="12"/>
      <c r="AN172" s="12"/>
      <c r="AO172" s="12"/>
      <c r="AP172" s="12"/>
      <c r="AQ172" s="15"/>
      <c r="AR172" s="12"/>
      <c r="AS172" s="12"/>
      <c r="AT172" s="12"/>
      <c r="AU172" s="12"/>
      <c r="AV172" s="12"/>
      <c r="AW172" s="12"/>
      <c r="AX172" s="13"/>
      <c r="AY172" s="12"/>
      <c r="AZ172" s="12" t="str">
        <f>IF(AND(A172="",B172="",E172="",G172="",I172="",AV172="",AX172=""),"",IF(OR(B172="skip",AV172="skip"),"SKIP",IF(OR(B172="to_candidate",AV172="proposed_name"),IF(OR(A172="",AW172="",AX172="",COUNTIF($A$6:$A$505,A172)&gt;1),"REVIEW","TO_PROPOSED"),IF(OR(B172="",A172="",E172="",G172="",I172="",U172="",AV172="",COUNTIF($A$6:$A$505,A172)&gt;1,(COUNTIFS('أرقام التواصل'!$A$6:$A$505,"client",'أرقام التواصل'!$B$6:$B$505,A172,'أرقام التواصل'!$I$6:$I$505,"TRUE")+COUNTIFS('أرقام التواصل'!$A$6:$A$505,"client",'أرقام التواصل'!$B$6:$B$505,A172,'أرقام التواصل'!$C$6:$C$505,1))=0),"REVIEW","READY"))))</f>
        <v/>
      </c>
      <c r="BA172" s="16" t="str">
        <f>IF(AZ172="","",IF(OR(AZ172="READY",AZ172="TO_PROPOSED"),"",IF(AZ172="SKIP","Skipped by decision",TRIM(IF(B172="","missing import_action; ","")&amp;IF(A172="","missing migration_customer_key; ","")&amp;IF(AND(A172&lt;&gt;"",COUNTIF($A$6:$A$505,A172)&gt;1),"duplicate migration_customer_key; ","")&amp;IF(AND(NOT(OR(B172="to_candidate",AV172="proposed_name")),E172=""),"missing branch_id; ","")&amp;IF(AND(NOT(OR(B172="to_candidate",AV172="proposed_name")),G172=""),"missing first_name; ","")&amp;IF(AND(NOT(OR(B172="to_candidate",AV172="proposed_name")),I172=""),"missing last_name; ","")&amp;IF(AND(NOT(OR(B172="to_candidate",AV172="proposed_name")),U172=""),"missing final_geo_unit_id; ","")&amp;IF(AV172="","missing final_destination; ","")&amp;IF(AND(NOT(OR(B172="to_candidate",AV172="proposed_name")),(COUNTIFS('أرقام التواصل'!$A$6:$A$505,"client",'أرقام التواصل'!$B$6:$B$505,A172,'أرقام التواصل'!$I$6:$I$505,"TRUE")+COUNTIFS('أرقام التواصل'!$A$6:$A$505,"client",'أرقام التواصل'!$B$6:$B$505,A172,'أرقام التواصل'!$C$6:$C$505,1))=0),"missing primary contact in أرقام التواصل; ","")&amp;IF(OR(B172="to_candidate",AV172="proposed_name"),IF(AW172="","missing proposed_move_reason; ","")&amp;IF(AX172="","missing proposed_name_key; ",""),"")))))</f>
        <v/>
      </c>
    </row>
    <row r="173" spans="1:53">
      <c r="A173" s="11"/>
      <c r="B173" s="12"/>
      <c r="C173" s="13"/>
      <c r="D173" s="12"/>
      <c r="E173" s="12"/>
      <c r="F173" s="12"/>
      <c r="G173" s="12"/>
      <c r="H173" s="12"/>
      <c r="I173" s="12"/>
      <c r="J173" s="12"/>
      <c r="K173" s="12" t="str">
        <f t="shared" si="3"/>
        <v/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 t="str">
        <f t="shared" si="4"/>
        <v/>
      </c>
      <c r="V173" s="12"/>
      <c r="W173" s="14"/>
      <c r="X173" s="14"/>
      <c r="Y173" s="13"/>
      <c r="Z173" s="12"/>
      <c r="AA173" s="12"/>
      <c r="AB173" s="12"/>
      <c r="AC173" s="12"/>
      <c r="AD173" s="15"/>
      <c r="AE173" s="12"/>
      <c r="AF173" s="13"/>
      <c r="AG173" s="12"/>
      <c r="AH173" s="12"/>
      <c r="AI173" s="15"/>
      <c r="AJ173" s="12"/>
      <c r="AK173" s="12"/>
      <c r="AL173" s="12"/>
      <c r="AM173" s="12"/>
      <c r="AN173" s="12"/>
      <c r="AO173" s="12"/>
      <c r="AP173" s="12"/>
      <c r="AQ173" s="15"/>
      <c r="AR173" s="12"/>
      <c r="AS173" s="12"/>
      <c r="AT173" s="12"/>
      <c r="AU173" s="12"/>
      <c r="AV173" s="12"/>
      <c r="AW173" s="12"/>
      <c r="AX173" s="13"/>
      <c r="AY173" s="12"/>
      <c r="AZ173" s="12" t="str">
        <f>IF(AND(A173="",B173="",E173="",G173="",I173="",AV173="",AX173=""),"",IF(OR(B173="skip",AV173="skip"),"SKIP",IF(OR(B173="to_candidate",AV173="proposed_name"),IF(OR(A173="",AW173="",AX173="",COUNTIF($A$6:$A$505,A173)&gt;1),"REVIEW","TO_PROPOSED"),IF(OR(B173="",A173="",E173="",G173="",I173="",U173="",AV173="",COUNTIF($A$6:$A$505,A173)&gt;1,(COUNTIFS('أرقام التواصل'!$A$6:$A$505,"client",'أرقام التواصل'!$B$6:$B$505,A173,'أرقام التواصل'!$I$6:$I$505,"TRUE")+COUNTIFS('أرقام التواصل'!$A$6:$A$505,"client",'أرقام التواصل'!$B$6:$B$505,A173,'أرقام التواصل'!$C$6:$C$505,1))=0),"REVIEW","READY"))))</f>
        <v/>
      </c>
      <c r="BA173" s="16" t="str">
        <f>IF(AZ173="","",IF(OR(AZ173="READY",AZ173="TO_PROPOSED"),"",IF(AZ173="SKIP","Skipped by decision",TRIM(IF(B173="","missing import_action; ","")&amp;IF(A173="","missing migration_customer_key; ","")&amp;IF(AND(A173&lt;&gt;"",COUNTIF($A$6:$A$505,A173)&gt;1),"duplicate migration_customer_key; ","")&amp;IF(AND(NOT(OR(B173="to_candidate",AV173="proposed_name")),E173=""),"missing branch_id; ","")&amp;IF(AND(NOT(OR(B173="to_candidate",AV173="proposed_name")),G173=""),"missing first_name; ","")&amp;IF(AND(NOT(OR(B173="to_candidate",AV173="proposed_name")),I173=""),"missing last_name; ","")&amp;IF(AND(NOT(OR(B173="to_candidate",AV173="proposed_name")),U173=""),"missing final_geo_unit_id; ","")&amp;IF(AV173="","missing final_destination; ","")&amp;IF(AND(NOT(OR(B173="to_candidate",AV173="proposed_name")),(COUNTIFS('أرقام التواصل'!$A$6:$A$505,"client",'أرقام التواصل'!$B$6:$B$505,A173,'أرقام التواصل'!$I$6:$I$505,"TRUE")+COUNTIFS('أرقام التواصل'!$A$6:$A$505,"client",'أرقام التواصل'!$B$6:$B$505,A173,'أرقام التواصل'!$C$6:$C$505,1))=0),"missing primary contact in أرقام التواصل; ","")&amp;IF(OR(B173="to_candidate",AV173="proposed_name"),IF(AW173="","missing proposed_move_reason; ","")&amp;IF(AX173="","missing proposed_name_key; ",""),"")))))</f>
        <v/>
      </c>
    </row>
    <row r="174" spans="1:53">
      <c r="A174" s="11"/>
      <c r="B174" s="12"/>
      <c r="C174" s="13"/>
      <c r="D174" s="12"/>
      <c r="E174" s="12"/>
      <c r="F174" s="12"/>
      <c r="G174" s="12"/>
      <c r="H174" s="12"/>
      <c r="I174" s="12"/>
      <c r="J174" s="12"/>
      <c r="K174" s="12" t="str">
        <f t="shared" si="3"/>
        <v/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 t="str">
        <f t="shared" si="4"/>
        <v/>
      </c>
      <c r="V174" s="12"/>
      <c r="W174" s="14"/>
      <c r="X174" s="14"/>
      <c r="Y174" s="13"/>
      <c r="Z174" s="12"/>
      <c r="AA174" s="12"/>
      <c r="AB174" s="12"/>
      <c r="AC174" s="12"/>
      <c r="AD174" s="15"/>
      <c r="AE174" s="12"/>
      <c r="AF174" s="13"/>
      <c r="AG174" s="12"/>
      <c r="AH174" s="12"/>
      <c r="AI174" s="15"/>
      <c r="AJ174" s="12"/>
      <c r="AK174" s="12"/>
      <c r="AL174" s="12"/>
      <c r="AM174" s="12"/>
      <c r="AN174" s="12"/>
      <c r="AO174" s="12"/>
      <c r="AP174" s="12"/>
      <c r="AQ174" s="15"/>
      <c r="AR174" s="12"/>
      <c r="AS174" s="12"/>
      <c r="AT174" s="12"/>
      <c r="AU174" s="12"/>
      <c r="AV174" s="12"/>
      <c r="AW174" s="12"/>
      <c r="AX174" s="13"/>
      <c r="AY174" s="12"/>
      <c r="AZ174" s="12" t="str">
        <f>IF(AND(A174="",B174="",E174="",G174="",I174="",AV174="",AX174=""),"",IF(OR(B174="skip",AV174="skip"),"SKIP",IF(OR(B174="to_candidate",AV174="proposed_name"),IF(OR(A174="",AW174="",AX174="",COUNTIF($A$6:$A$505,A174)&gt;1),"REVIEW","TO_PROPOSED"),IF(OR(B174="",A174="",E174="",G174="",I174="",U174="",AV174="",COUNTIF($A$6:$A$505,A174)&gt;1,(COUNTIFS('أرقام التواصل'!$A$6:$A$505,"client",'أرقام التواصل'!$B$6:$B$505,A174,'أرقام التواصل'!$I$6:$I$505,"TRUE")+COUNTIFS('أرقام التواصل'!$A$6:$A$505,"client",'أرقام التواصل'!$B$6:$B$505,A174,'أرقام التواصل'!$C$6:$C$505,1))=0),"REVIEW","READY"))))</f>
        <v/>
      </c>
      <c r="BA174" s="16" t="str">
        <f>IF(AZ174="","",IF(OR(AZ174="READY",AZ174="TO_PROPOSED"),"",IF(AZ174="SKIP","Skipped by decision",TRIM(IF(B174="","missing import_action; ","")&amp;IF(A174="","missing migration_customer_key; ","")&amp;IF(AND(A174&lt;&gt;"",COUNTIF($A$6:$A$505,A174)&gt;1),"duplicate migration_customer_key; ","")&amp;IF(AND(NOT(OR(B174="to_candidate",AV174="proposed_name")),E174=""),"missing branch_id; ","")&amp;IF(AND(NOT(OR(B174="to_candidate",AV174="proposed_name")),G174=""),"missing first_name; ","")&amp;IF(AND(NOT(OR(B174="to_candidate",AV174="proposed_name")),I174=""),"missing last_name; ","")&amp;IF(AND(NOT(OR(B174="to_candidate",AV174="proposed_name")),U174=""),"missing final_geo_unit_id; ","")&amp;IF(AV174="","missing final_destination; ","")&amp;IF(AND(NOT(OR(B174="to_candidate",AV174="proposed_name")),(COUNTIFS('أرقام التواصل'!$A$6:$A$505,"client",'أرقام التواصل'!$B$6:$B$505,A174,'أرقام التواصل'!$I$6:$I$505,"TRUE")+COUNTIFS('أرقام التواصل'!$A$6:$A$505,"client",'أرقام التواصل'!$B$6:$B$505,A174,'أرقام التواصل'!$C$6:$C$505,1))=0),"missing primary contact in أرقام التواصل; ","")&amp;IF(OR(B174="to_candidate",AV174="proposed_name"),IF(AW174="","missing proposed_move_reason; ","")&amp;IF(AX174="","missing proposed_name_key; ",""),"")))))</f>
        <v/>
      </c>
    </row>
    <row r="175" spans="1:53">
      <c r="A175" s="11"/>
      <c r="B175" s="12"/>
      <c r="C175" s="13"/>
      <c r="D175" s="12"/>
      <c r="E175" s="12"/>
      <c r="F175" s="12"/>
      <c r="G175" s="12"/>
      <c r="H175" s="12"/>
      <c r="I175" s="12"/>
      <c r="J175" s="12"/>
      <c r="K175" s="12" t="str">
        <f t="shared" si="3"/>
        <v/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 t="str">
        <f t="shared" si="4"/>
        <v/>
      </c>
      <c r="V175" s="12"/>
      <c r="W175" s="14"/>
      <c r="X175" s="14"/>
      <c r="Y175" s="13"/>
      <c r="Z175" s="12"/>
      <c r="AA175" s="12"/>
      <c r="AB175" s="12"/>
      <c r="AC175" s="12"/>
      <c r="AD175" s="15"/>
      <c r="AE175" s="12"/>
      <c r="AF175" s="13"/>
      <c r="AG175" s="12"/>
      <c r="AH175" s="12"/>
      <c r="AI175" s="15"/>
      <c r="AJ175" s="12"/>
      <c r="AK175" s="12"/>
      <c r="AL175" s="12"/>
      <c r="AM175" s="12"/>
      <c r="AN175" s="12"/>
      <c r="AO175" s="12"/>
      <c r="AP175" s="12"/>
      <c r="AQ175" s="15"/>
      <c r="AR175" s="12"/>
      <c r="AS175" s="12"/>
      <c r="AT175" s="12"/>
      <c r="AU175" s="12"/>
      <c r="AV175" s="12"/>
      <c r="AW175" s="12"/>
      <c r="AX175" s="13"/>
      <c r="AY175" s="12"/>
      <c r="AZ175" s="12" t="str">
        <f>IF(AND(A175="",B175="",E175="",G175="",I175="",AV175="",AX175=""),"",IF(OR(B175="skip",AV175="skip"),"SKIP",IF(OR(B175="to_candidate",AV175="proposed_name"),IF(OR(A175="",AW175="",AX175="",COUNTIF($A$6:$A$505,A175)&gt;1),"REVIEW","TO_PROPOSED"),IF(OR(B175="",A175="",E175="",G175="",I175="",U175="",AV175="",COUNTIF($A$6:$A$505,A175)&gt;1,(COUNTIFS('أرقام التواصل'!$A$6:$A$505,"client",'أرقام التواصل'!$B$6:$B$505,A175,'أرقام التواصل'!$I$6:$I$505,"TRUE")+COUNTIFS('أرقام التواصل'!$A$6:$A$505,"client",'أرقام التواصل'!$B$6:$B$505,A175,'أرقام التواصل'!$C$6:$C$505,1))=0),"REVIEW","READY"))))</f>
        <v/>
      </c>
      <c r="BA175" s="16" t="str">
        <f>IF(AZ175="","",IF(OR(AZ175="READY",AZ175="TO_PROPOSED"),"",IF(AZ175="SKIP","Skipped by decision",TRIM(IF(B175="","missing import_action; ","")&amp;IF(A175="","missing migration_customer_key; ","")&amp;IF(AND(A175&lt;&gt;"",COUNTIF($A$6:$A$505,A175)&gt;1),"duplicate migration_customer_key; ","")&amp;IF(AND(NOT(OR(B175="to_candidate",AV175="proposed_name")),E175=""),"missing branch_id; ","")&amp;IF(AND(NOT(OR(B175="to_candidate",AV175="proposed_name")),G175=""),"missing first_name; ","")&amp;IF(AND(NOT(OR(B175="to_candidate",AV175="proposed_name")),I175=""),"missing last_name; ","")&amp;IF(AND(NOT(OR(B175="to_candidate",AV175="proposed_name")),U175=""),"missing final_geo_unit_id; ","")&amp;IF(AV175="","missing final_destination; ","")&amp;IF(AND(NOT(OR(B175="to_candidate",AV175="proposed_name")),(COUNTIFS('أرقام التواصل'!$A$6:$A$505,"client",'أرقام التواصل'!$B$6:$B$505,A175,'أرقام التواصل'!$I$6:$I$505,"TRUE")+COUNTIFS('أرقام التواصل'!$A$6:$A$505,"client",'أرقام التواصل'!$B$6:$B$505,A175,'أرقام التواصل'!$C$6:$C$505,1))=0),"missing primary contact in أرقام التواصل; ","")&amp;IF(OR(B175="to_candidate",AV175="proposed_name"),IF(AW175="","missing proposed_move_reason; ","")&amp;IF(AX175="","missing proposed_name_key; ",""),"")))))</f>
        <v/>
      </c>
    </row>
    <row r="176" spans="1:53">
      <c r="A176" s="11"/>
      <c r="B176" s="12"/>
      <c r="C176" s="13"/>
      <c r="D176" s="12"/>
      <c r="E176" s="12"/>
      <c r="F176" s="12"/>
      <c r="G176" s="12"/>
      <c r="H176" s="12"/>
      <c r="I176" s="12"/>
      <c r="J176" s="12"/>
      <c r="K176" s="12" t="str">
        <f t="shared" si="3"/>
        <v/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 t="str">
        <f t="shared" si="4"/>
        <v/>
      </c>
      <c r="V176" s="12"/>
      <c r="W176" s="14"/>
      <c r="X176" s="14"/>
      <c r="Y176" s="13"/>
      <c r="Z176" s="12"/>
      <c r="AA176" s="12"/>
      <c r="AB176" s="12"/>
      <c r="AC176" s="12"/>
      <c r="AD176" s="15"/>
      <c r="AE176" s="12"/>
      <c r="AF176" s="13"/>
      <c r="AG176" s="12"/>
      <c r="AH176" s="12"/>
      <c r="AI176" s="15"/>
      <c r="AJ176" s="12"/>
      <c r="AK176" s="12"/>
      <c r="AL176" s="12"/>
      <c r="AM176" s="12"/>
      <c r="AN176" s="12"/>
      <c r="AO176" s="12"/>
      <c r="AP176" s="12"/>
      <c r="AQ176" s="15"/>
      <c r="AR176" s="12"/>
      <c r="AS176" s="12"/>
      <c r="AT176" s="12"/>
      <c r="AU176" s="12"/>
      <c r="AV176" s="12"/>
      <c r="AW176" s="12"/>
      <c r="AX176" s="13"/>
      <c r="AY176" s="12"/>
      <c r="AZ176" s="12" t="str">
        <f>IF(AND(A176="",B176="",E176="",G176="",I176="",AV176="",AX176=""),"",IF(OR(B176="skip",AV176="skip"),"SKIP",IF(OR(B176="to_candidate",AV176="proposed_name"),IF(OR(A176="",AW176="",AX176="",COUNTIF($A$6:$A$505,A176)&gt;1),"REVIEW","TO_PROPOSED"),IF(OR(B176="",A176="",E176="",G176="",I176="",U176="",AV176="",COUNTIF($A$6:$A$505,A176)&gt;1,(COUNTIFS('أرقام التواصل'!$A$6:$A$505,"client",'أرقام التواصل'!$B$6:$B$505,A176,'أرقام التواصل'!$I$6:$I$505,"TRUE")+COUNTIFS('أرقام التواصل'!$A$6:$A$505,"client",'أرقام التواصل'!$B$6:$B$505,A176,'أرقام التواصل'!$C$6:$C$505,1))=0),"REVIEW","READY"))))</f>
        <v/>
      </c>
      <c r="BA176" s="16" t="str">
        <f>IF(AZ176="","",IF(OR(AZ176="READY",AZ176="TO_PROPOSED"),"",IF(AZ176="SKIP","Skipped by decision",TRIM(IF(B176="","missing import_action; ","")&amp;IF(A176="","missing migration_customer_key; ","")&amp;IF(AND(A176&lt;&gt;"",COUNTIF($A$6:$A$505,A176)&gt;1),"duplicate migration_customer_key; ","")&amp;IF(AND(NOT(OR(B176="to_candidate",AV176="proposed_name")),E176=""),"missing branch_id; ","")&amp;IF(AND(NOT(OR(B176="to_candidate",AV176="proposed_name")),G176=""),"missing first_name; ","")&amp;IF(AND(NOT(OR(B176="to_candidate",AV176="proposed_name")),I176=""),"missing last_name; ","")&amp;IF(AND(NOT(OR(B176="to_candidate",AV176="proposed_name")),U176=""),"missing final_geo_unit_id; ","")&amp;IF(AV176="","missing final_destination; ","")&amp;IF(AND(NOT(OR(B176="to_candidate",AV176="proposed_name")),(COUNTIFS('أرقام التواصل'!$A$6:$A$505,"client",'أرقام التواصل'!$B$6:$B$505,A176,'أرقام التواصل'!$I$6:$I$505,"TRUE")+COUNTIFS('أرقام التواصل'!$A$6:$A$505,"client",'أرقام التواصل'!$B$6:$B$505,A176,'أرقام التواصل'!$C$6:$C$505,1))=0),"missing primary contact in أرقام التواصل; ","")&amp;IF(OR(B176="to_candidate",AV176="proposed_name"),IF(AW176="","missing proposed_move_reason; ","")&amp;IF(AX176="","missing proposed_name_key; ",""),"")))))</f>
        <v/>
      </c>
    </row>
    <row r="177" spans="1:53">
      <c r="A177" s="11"/>
      <c r="B177" s="12"/>
      <c r="C177" s="13"/>
      <c r="D177" s="12"/>
      <c r="E177" s="12"/>
      <c r="F177" s="12"/>
      <c r="G177" s="12"/>
      <c r="H177" s="12"/>
      <c r="I177" s="12"/>
      <c r="J177" s="12"/>
      <c r="K177" s="12" t="str">
        <f t="shared" si="3"/>
        <v/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 t="str">
        <f t="shared" si="4"/>
        <v/>
      </c>
      <c r="V177" s="12"/>
      <c r="W177" s="14"/>
      <c r="X177" s="14"/>
      <c r="Y177" s="13"/>
      <c r="Z177" s="12"/>
      <c r="AA177" s="12"/>
      <c r="AB177" s="12"/>
      <c r="AC177" s="12"/>
      <c r="AD177" s="15"/>
      <c r="AE177" s="12"/>
      <c r="AF177" s="13"/>
      <c r="AG177" s="12"/>
      <c r="AH177" s="12"/>
      <c r="AI177" s="15"/>
      <c r="AJ177" s="12"/>
      <c r="AK177" s="12"/>
      <c r="AL177" s="12"/>
      <c r="AM177" s="12"/>
      <c r="AN177" s="12"/>
      <c r="AO177" s="12"/>
      <c r="AP177" s="12"/>
      <c r="AQ177" s="15"/>
      <c r="AR177" s="12"/>
      <c r="AS177" s="12"/>
      <c r="AT177" s="12"/>
      <c r="AU177" s="12"/>
      <c r="AV177" s="12"/>
      <c r="AW177" s="12"/>
      <c r="AX177" s="13"/>
      <c r="AY177" s="12"/>
      <c r="AZ177" s="12" t="str">
        <f>IF(AND(A177="",B177="",E177="",G177="",I177="",AV177="",AX177=""),"",IF(OR(B177="skip",AV177="skip"),"SKIP",IF(OR(B177="to_candidate",AV177="proposed_name"),IF(OR(A177="",AW177="",AX177="",COUNTIF($A$6:$A$505,A177)&gt;1),"REVIEW","TO_PROPOSED"),IF(OR(B177="",A177="",E177="",G177="",I177="",U177="",AV177="",COUNTIF($A$6:$A$505,A177)&gt;1,(COUNTIFS('أرقام التواصل'!$A$6:$A$505,"client",'أرقام التواصل'!$B$6:$B$505,A177,'أرقام التواصل'!$I$6:$I$505,"TRUE")+COUNTIFS('أرقام التواصل'!$A$6:$A$505,"client",'أرقام التواصل'!$B$6:$B$505,A177,'أرقام التواصل'!$C$6:$C$505,1))=0),"REVIEW","READY"))))</f>
        <v/>
      </c>
      <c r="BA177" s="16" t="str">
        <f>IF(AZ177="","",IF(OR(AZ177="READY",AZ177="TO_PROPOSED"),"",IF(AZ177="SKIP","Skipped by decision",TRIM(IF(B177="","missing import_action; ","")&amp;IF(A177="","missing migration_customer_key; ","")&amp;IF(AND(A177&lt;&gt;"",COUNTIF($A$6:$A$505,A177)&gt;1),"duplicate migration_customer_key; ","")&amp;IF(AND(NOT(OR(B177="to_candidate",AV177="proposed_name")),E177=""),"missing branch_id; ","")&amp;IF(AND(NOT(OR(B177="to_candidate",AV177="proposed_name")),G177=""),"missing first_name; ","")&amp;IF(AND(NOT(OR(B177="to_candidate",AV177="proposed_name")),I177=""),"missing last_name; ","")&amp;IF(AND(NOT(OR(B177="to_candidate",AV177="proposed_name")),U177=""),"missing final_geo_unit_id; ","")&amp;IF(AV177="","missing final_destination; ","")&amp;IF(AND(NOT(OR(B177="to_candidate",AV177="proposed_name")),(COUNTIFS('أرقام التواصل'!$A$6:$A$505,"client",'أرقام التواصل'!$B$6:$B$505,A177,'أرقام التواصل'!$I$6:$I$505,"TRUE")+COUNTIFS('أرقام التواصل'!$A$6:$A$505,"client",'أرقام التواصل'!$B$6:$B$505,A177,'أرقام التواصل'!$C$6:$C$505,1))=0),"missing primary contact in أرقام التواصل; ","")&amp;IF(OR(B177="to_candidate",AV177="proposed_name"),IF(AW177="","missing proposed_move_reason; ","")&amp;IF(AX177="","missing proposed_name_key; ",""),"")))))</f>
        <v/>
      </c>
    </row>
    <row r="178" spans="1:53">
      <c r="A178" s="11"/>
      <c r="B178" s="12"/>
      <c r="C178" s="13"/>
      <c r="D178" s="12"/>
      <c r="E178" s="12"/>
      <c r="F178" s="12"/>
      <c r="G178" s="12"/>
      <c r="H178" s="12"/>
      <c r="I178" s="12"/>
      <c r="J178" s="12"/>
      <c r="K178" s="12" t="str">
        <f t="shared" si="3"/>
        <v/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 t="str">
        <f t="shared" si="4"/>
        <v/>
      </c>
      <c r="V178" s="12"/>
      <c r="W178" s="14"/>
      <c r="X178" s="14"/>
      <c r="Y178" s="13"/>
      <c r="Z178" s="12"/>
      <c r="AA178" s="12"/>
      <c r="AB178" s="12"/>
      <c r="AC178" s="12"/>
      <c r="AD178" s="15"/>
      <c r="AE178" s="12"/>
      <c r="AF178" s="13"/>
      <c r="AG178" s="12"/>
      <c r="AH178" s="12"/>
      <c r="AI178" s="15"/>
      <c r="AJ178" s="12"/>
      <c r="AK178" s="12"/>
      <c r="AL178" s="12"/>
      <c r="AM178" s="12"/>
      <c r="AN178" s="12"/>
      <c r="AO178" s="12"/>
      <c r="AP178" s="12"/>
      <c r="AQ178" s="15"/>
      <c r="AR178" s="12"/>
      <c r="AS178" s="12"/>
      <c r="AT178" s="12"/>
      <c r="AU178" s="12"/>
      <c r="AV178" s="12"/>
      <c r="AW178" s="12"/>
      <c r="AX178" s="13"/>
      <c r="AY178" s="12"/>
      <c r="AZ178" s="12" t="str">
        <f>IF(AND(A178="",B178="",E178="",G178="",I178="",AV178="",AX178=""),"",IF(OR(B178="skip",AV178="skip"),"SKIP",IF(OR(B178="to_candidate",AV178="proposed_name"),IF(OR(A178="",AW178="",AX178="",COUNTIF($A$6:$A$505,A178)&gt;1),"REVIEW","TO_PROPOSED"),IF(OR(B178="",A178="",E178="",G178="",I178="",U178="",AV178="",COUNTIF($A$6:$A$505,A178)&gt;1,(COUNTIFS('أرقام التواصل'!$A$6:$A$505,"client",'أرقام التواصل'!$B$6:$B$505,A178,'أرقام التواصل'!$I$6:$I$505,"TRUE")+COUNTIFS('أرقام التواصل'!$A$6:$A$505,"client",'أرقام التواصل'!$B$6:$B$505,A178,'أرقام التواصل'!$C$6:$C$505,1))=0),"REVIEW","READY"))))</f>
        <v/>
      </c>
      <c r="BA178" s="16" t="str">
        <f>IF(AZ178="","",IF(OR(AZ178="READY",AZ178="TO_PROPOSED"),"",IF(AZ178="SKIP","Skipped by decision",TRIM(IF(B178="","missing import_action; ","")&amp;IF(A178="","missing migration_customer_key; ","")&amp;IF(AND(A178&lt;&gt;"",COUNTIF($A$6:$A$505,A178)&gt;1),"duplicate migration_customer_key; ","")&amp;IF(AND(NOT(OR(B178="to_candidate",AV178="proposed_name")),E178=""),"missing branch_id; ","")&amp;IF(AND(NOT(OR(B178="to_candidate",AV178="proposed_name")),G178=""),"missing first_name; ","")&amp;IF(AND(NOT(OR(B178="to_candidate",AV178="proposed_name")),I178=""),"missing last_name; ","")&amp;IF(AND(NOT(OR(B178="to_candidate",AV178="proposed_name")),U178=""),"missing final_geo_unit_id; ","")&amp;IF(AV178="","missing final_destination; ","")&amp;IF(AND(NOT(OR(B178="to_candidate",AV178="proposed_name")),(COUNTIFS('أرقام التواصل'!$A$6:$A$505,"client",'أرقام التواصل'!$B$6:$B$505,A178,'أرقام التواصل'!$I$6:$I$505,"TRUE")+COUNTIFS('أرقام التواصل'!$A$6:$A$505,"client",'أرقام التواصل'!$B$6:$B$505,A178,'أرقام التواصل'!$C$6:$C$505,1))=0),"missing primary contact in أرقام التواصل; ","")&amp;IF(OR(B178="to_candidate",AV178="proposed_name"),IF(AW178="","missing proposed_move_reason; ","")&amp;IF(AX178="","missing proposed_name_key; ",""),"")))))</f>
        <v/>
      </c>
    </row>
    <row r="179" spans="1:53">
      <c r="A179" s="11"/>
      <c r="B179" s="12"/>
      <c r="C179" s="13"/>
      <c r="D179" s="12"/>
      <c r="E179" s="12"/>
      <c r="F179" s="12"/>
      <c r="G179" s="12"/>
      <c r="H179" s="12"/>
      <c r="I179" s="12"/>
      <c r="J179" s="12"/>
      <c r="K179" s="12" t="str">
        <f t="shared" si="3"/>
        <v/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 t="str">
        <f t="shared" si="4"/>
        <v/>
      </c>
      <c r="V179" s="12"/>
      <c r="W179" s="14"/>
      <c r="X179" s="14"/>
      <c r="Y179" s="13"/>
      <c r="Z179" s="12"/>
      <c r="AA179" s="12"/>
      <c r="AB179" s="12"/>
      <c r="AC179" s="12"/>
      <c r="AD179" s="15"/>
      <c r="AE179" s="12"/>
      <c r="AF179" s="13"/>
      <c r="AG179" s="12"/>
      <c r="AH179" s="12"/>
      <c r="AI179" s="15"/>
      <c r="AJ179" s="12"/>
      <c r="AK179" s="12"/>
      <c r="AL179" s="12"/>
      <c r="AM179" s="12"/>
      <c r="AN179" s="12"/>
      <c r="AO179" s="12"/>
      <c r="AP179" s="12"/>
      <c r="AQ179" s="15"/>
      <c r="AR179" s="12"/>
      <c r="AS179" s="12"/>
      <c r="AT179" s="12"/>
      <c r="AU179" s="12"/>
      <c r="AV179" s="12"/>
      <c r="AW179" s="12"/>
      <c r="AX179" s="13"/>
      <c r="AY179" s="12"/>
      <c r="AZ179" s="12" t="str">
        <f>IF(AND(A179="",B179="",E179="",G179="",I179="",AV179="",AX179=""),"",IF(OR(B179="skip",AV179="skip"),"SKIP",IF(OR(B179="to_candidate",AV179="proposed_name"),IF(OR(A179="",AW179="",AX179="",COUNTIF($A$6:$A$505,A179)&gt;1),"REVIEW","TO_PROPOSED"),IF(OR(B179="",A179="",E179="",G179="",I179="",U179="",AV179="",COUNTIF($A$6:$A$505,A179)&gt;1,(COUNTIFS('أرقام التواصل'!$A$6:$A$505,"client",'أرقام التواصل'!$B$6:$B$505,A179,'أرقام التواصل'!$I$6:$I$505,"TRUE")+COUNTIFS('أرقام التواصل'!$A$6:$A$505,"client",'أرقام التواصل'!$B$6:$B$505,A179,'أرقام التواصل'!$C$6:$C$505,1))=0),"REVIEW","READY"))))</f>
        <v/>
      </c>
      <c r="BA179" s="16" t="str">
        <f>IF(AZ179="","",IF(OR(AZ179="READY",AZ179="TO_PROPOSED"),"",IF(AZ179="SKIP","Skipped by decision",TRIM(IF(B179="","missing import_action; ","")&amp;IF(A179="","missing migration_customer_key; ","")&amp;IF(AND(A179&lt;&gt;"",COUNTIF($A$6:$A$505,A179)&gt;1),"duplicate migration_customer_key; ","")&amp;IF(AND(NOT(OR(B179="to_candidate",AV179="proposed_name")),E179=""),"missing branch_id; ","")&amp;IF(AND(NOT(OR(B179="to_candidate",AV179="proposed_name")),G179=""),"missing first_name; ","")&amp;IF(AND(NOT(OR(B179="to_candidate",AV179="proposed_name")),I179=""),"missing last_name; ","")&amp;IF(AND(NOT(OR(B179="to_candidate",AV179="proposed_name")),U179=""),"missing final_geo_unit_id; ","")&amp;IF(AV179="","missing final_destination; ","")&amp;IF(AND(NOT(OR(B179="to_candidate",AV179="proposed_name")),(COUNTIFS('أرقام التواصل'!$A$6:$A$505,"client",'أرقام التواصل'!$B$6:$B$505,A179,'أرقام التواصل'!$I$6:$I$505,"TRUE")+COUNTIFS('أرقام التواصل'!$A$6:$A$505,"client",'أرقام التواصل'!$B$6:$B$505,A179,'أرقام التواصل'!$C$6:$C$505,1))=0),"missing primary contact in أرقام التواصل; ","")&amp;IF(OR(B179="to_candidate",AV179="proposed_name"),IF(AW179="","missing proposed_move_reason; ","")&amp;IF(AX179="","missing proposed_name_key; ",""),"")))))</f>
        <v/>
      </c>
    </row>
    <row r="180" spans="1:53">
      <c r="A180" s="11"/>
      <c r="B180" s="12"/>
      <c r="C180" s="13"/>
      <c r="D180" s="12"/>
      <c r="E180" s="12"/>
      <c r="F180" s="12"/>
      <c r="G180" s="12"/>
      <c r="H180" s="12"/>
      <c r="I180" s="12"/>
      <c r="J180" s="12"/>
      <c r="K180" s="12" t="str">
        <f t="shared" si="3"/>
        <v/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 t="str">
        <f t="shared" si="4"/>
        <v/>
      </c>
      <c r="V180" s="12"/>
      <c r="W180" s="14"/>
      <c r="X180" s="14"/>
      <c r="Y180" s="13"/>
      <c r="Z180" s="12"/>
      <c r="AA180" s="12"/>
      <c r="AB180" s="12"/>
      <c r="AC180" s="12"/>
      <c r="AD180" s="15"/>
      <c r="AE180" s="12"/>
      <c r="AF180" s="13"/>
      <c r="AG180" s="12"/>
      <c r="AH180" s="12"/>
      <c r="AI180" s="15"/>
      <c r="AJ180" s="12"/>
      <c r="AK180" s="12"/>
      <c r="AL180" s="12"/>
      <c r="AM180" s="12"/>
      <c r="AN180" s="12"/>
      <c r="AO180" s="12"/>
      <c r="AP180" s="12"/>
      <c r="AQ180" s="15"/>
      <c r="AR180" s="12"/>
      <c r="AS180" s="12"/>
      <c r="AT180" s="12"/>
      <c r="AU180" s="12"/>
      <c r="AV180" s="12"/>
      <c r="AW180" s="12"/>
      <c r="AX180" s="13"/>
      <c r="AY180" s="12"/>
      <c r="AZ180" s="12" t="str">
        <f>IF(AND(A180="",B180="",E180="",G180="",I180="",AV180="",AX180=""),"",IF(OR(B180="skip",AV180="skip"),"SKIP",IF(OR(B180="to_candidate",AV180="proposed_name"),IF(OR(A180="",AW180="",AX180="",COUNTIF($A$6:$A$505,A180)&gt;1),"REVIEW","TO_PROPOSED"),IF(OR(B180="",A180="",E180="",G180="",I180="",U180="",AV180="",COUNTIF($A$6:$A$505,A180)&gt;1,(COUNTIFS('أرقام التواصل'!$A$6:$A$505,"client",'أرقام التواصل'!$B$6:$B$505,A180,'أرقام التواصل'!$I$6:$I$505,"TRUE")+COUNTIFS('أرقام التواصل'!$A$6:$A$505,"client",'أرقام التواصل'!$B$6:$B$505,A180,'أرقام التواصل'!$C$6:$C$505,1))=0),"REVIEW","READY"))))</f>
        <v/>
      </c>
      <c r="BA180" s="16" t="str">
        <f>IF(AZ180="","",IF(OR(AZ180="READY",AZ180="TO_PROPOSED"),"",IF(AZ180="SKIP","Skipped by decision",TRIM(IF(B180="","missing import_action; ","")&amp;IF(A180="","missing migration_customer_key; ","")&amp;IF(AND(A180&lt;&gt;"",COUNTIF($A$6:$A$505,A180)&gt;1),"duplicate migration_customer_key; ","")&amp;IF(AND(NOT(OR(B180="to_candidate",AV180="proposed_name")),E180=""),"missing branch_id; ","")&amp;IF(AND(NOT(OR(B180="to_candidate",AV180="proposed_name")),G180=""),"missing first_name; ","")&amp;IF(AND(NOT(OR(B180="to_candidate",AV180="proposed_name")),I180=""),"missing last_name; ","")&amp;IF(AND(NOT(OR(B180="to_candidate",AV180="proposed_name")),U180=""),"missing final_geo_unit_id; ","")&amp;IF(AV180="","missing final_destination; ","")&amp;IF(AND(NOT(OR(B180="to_candidate",AV180="proposed_name")),(COUNTIFS('أرقام التواصل'!$A$6:$A$505,"client",'أرقام التواصل'!$B$6:$B$505,A180,'أرقام التواصل'!$I$6:$I$505,"TRUE")+COUNTIFS('أرقام التواصل'!$A$6:$A$505,"client",'أرقام التواصل'!$B$6:$B$505,A180,'أرقام التواصل'!$C$6:$C$505,1))=0),"missing primary contact in أرقام التواصل; ","")&amp;IF(OR(B180="to_candidate",AV180="proposed_name"),IF(AW180="","missing proposed_move_reason; ","")&amp;IF(AX180="","missing proposed_name_key; ",""),"")))))</f>
        <v/>
      </c>
    </row>
    <row r="181" spans="1:53">
      <c r="A181" s="11"/>
      <c r="B181" s="12"/>
      <c r="C181" s="13"/>
      <c r="D181" s="12"/>
      <c r="E181" s="12"/>
      <c r="F181" s="12"/>
      <c r="G181" s="12"/>
      <c r="H181" s="12"/>
      <c r="I181" s="12"/>
      <c r="J181" s="12"/>
      <c r="K181" s="12" t="str">
        <f t="shared" si="3"/>
        <v/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 t="str">
        <f t="shared" si="4"/>
        <v/>
      </c>
      <c r="V181" s="12"/>
      <c r="W181" s="14"/>
      <c r="X181" s="14"/>
      <c r="Y181" s="13"/>
      <c r="Z181" s="12"/>
      <c r="AA181" s="12"/>
      <c r="AB181" s="12"/>
      <c r="AC181" s="12"/>
      <c r="AD181" s="15"/>
      <c r="AE181" s="12"/>
      <c r="AF181" s="13"/>
      <c r="AG181" s="12"/>
      <c r="AH181" s="12"/>
      <c r="AI181" s="15"/>
      <c r="AJ181" s="12"/>
      <c r="AK181" s="12"/>
      <c r="AL181" s="12"/>
      <c r="AM181" s="12"/>
      <c r="AN181" s="12"/>
      <c r="AO181" s="12"/>
      <c r="AP181" s="12"/>
      <c r="AQ181" s="15"/>
      <c r="AR181" s="12"/>
      <c r="AS181" s="12"/>
      <c r="AT181" s="12"/>
      <c r="AU181" s="12"/>
      <c r="AV181" s="12"/>
      <c r="AW181" s="12"/>
      <c r="AX181" s="13"/>
      <c r="AY181" s="12"/>
      <c r="AZ181" s="12" t="str">
        <f>IF(AND(A181="",B181="",E181="",G181="",I181="",AV181="",AX181=""),"",IF(OR(B181="skip",AV181="skip"),"SKIP",IF(OR(B181="to_candidate",AV181="proposed_name"),IF(OR(A181="",AW181="",AX181="",COUNTIF($A$6:$A$505,A181)&gt;1),"REVIEW","TO_PROPOSED"),IF(OR(B181="",A181="",E181="",G181="",I181="",U181="",AV181="",COUNTIF($A$6:$A$505,A181)&gt;1,(COUNTIFS('أرقام التواصل'!$A$6:$A$505,"client",'أرقام التواصل'!$B$6:$B$505,A181,'أرقام التواصل'!$I$6:$I$505,"TRUE")+COUNTIFS('أرقام التواصل'!$A$6:$A$505,"client",'أرقام التواصل'!$B$6:$B$505,A181,'أرقام التواصل'!$C$6:$C$505,1))=0),"REVIEW","READY"))))</f>
        <v/>
      </c>
      <c r="BA181" s="16" t="str">
        <f>IF(AZ181="","",IF(OR(AZ181="READY",AZ181="TO_PROPOSED"),"",IF(AZ181="SKIP","Skipped by decision",TRIM(IF(B181="","missing import_action; ","")&amp;IF(A181="","missing migration_customer_key; ","")&amp;IF(AND(A181&lt;&gt;"",COUNTIF($A$6:$A$505,A181)&gt;1),"duplicate migration_customer_key; ","")&amp;IF(AND(NOT(OR(B181="to_candidate",AV181="proposed_name")),E181=""),"missing branch_id; ","")&amp;IF(AND(NOT(OR(B181="to_candidate",AV181="proposed_name")),G181=""),"missing first_name; ","")&amp;IF(AND(NOT(OR(B181="to_candidate",AV181="proposed_name")),I181=""),"missing last_name; ","")&amp;IF(AND(NOT(OR(B181="to_candidate",AV181="proposed_name")),U181=""),"missing final_geo_unit_id; ","")&amp;IF(AV181="","missing final_destination; ","")&amp;IF(AND(NOT(OR(B181="to_candidate",AV181="proposed_name")),(COUNTIFS('أرقام التواصل'!$A$6:$A$505,"client",'أرقام التواصل'!$B$6:$B$505,A181,'أرقام التواصل'!$I$6:$I$505,"TRUE")+COUNTIFS('أرقام التواصل'!$A$6:$A$505,"client",'أرقام التواصل'!$B$6:$B$505,A181,'أرقام التواصل'!$C$6:$C$505,1))=0),"missing primary contact in أرقام التواصل; ","")&amp;IF(OR(B181="to_candidate",AV181="proposed_name"),IF(AW181="","missing proposed_move_reason; ","")&amp;IF(AX181="","missing proposed_name_key; ",""),"")))))</f>
        <v/>
      </c>
    </row>
    <row r="182" spans="1:53">
      <c r="A182" s="11"/>
      <c r="B182" s="12"/>
      <c r="C182" s="13"/>
      <c r="D182" s="12"/>
      <c r="E182" s="12"/>
      <c r="F182" s="12"/>
      <c r="G182" s="12"/>
      <c r="H182" s="12"/>
      <c r="I182" s="12"/>
      <c r="J182" s="12"/>
      <c r="K182" s="12" t="str">
        <f t="shared" si="3"/>
        <v/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 t="str">
        <f t="shared" si="4"/>
        <v/>
      </c>
      <c r="V182" s="12"/>
      <c r="W182" s="14"/>
      <c r="X182" s="14"/>
      <c r="Y182" s="13"/>
      <c r="Z182" s="12"/>
      <c r="AA182" s="12"/>
      <c r="AB182" s="12"/>
      <c r="AC182" s="12"/>
      <c r="AD182" s="15"/>
      <c r="AE182" s="12"/>
      <c r="AF182" s="13"/>
      <c r="AG182" s="12"/>
      <c r="AH182" s="12"/>
      <c r="AI182" s="15"/>
      <c r="AJ182" s="12"/>
      <c r="AK182" s="12"/>
      <c r="AL182" s="12"/>
      <c r="AM182" s="12"/>
      <c r="AN182" s="12"/>
      <c r="AO182" s="12"/>
      <c r="AP182" s="12"/>
      <c r="AQ182" s="15"/>
      <c r="AR182" s="12"/>
      <c r="AS182" s="12"/>
      <c r="AT182" s="12"/>
      <c r="AU182" s="12"/>
      <c r="AV182" s="12"/>
      <c r="AW182" s="12"/>
      <c r="AX182" s="13"/>
      <c r="AY182" s="12"/>
      <c r="AZ182" s="12" t="str">
        <f>IF(AND(A182="",B182="",E182="",G182="",I182="",AV182="",AX182=""),"",IF(OR(B182="skip",AV182="skip"),"SKIP",IF(OR(B182="to_candidate",AV182="proposed_name"),IF(OR(A182="",AW182="",AX182="",COUNTIF($A$6:$A$505,A182)&gt;1),"REVIEW","TO_PROPOSED"),IF(OR(B182="",A182="",E182="",G182="",I182="",U182="",AV182="",COUNTIF($A$6:$A$505,A182)&gt;1,(COUNTIFS('أرقام التواصل'!$A$6:$A$505,"client",'أرقام التواصل'!$B$6:$B$505,A182,'أرقام التواصل'!$I$6:$I$505,"TRUE")+COUNTIFS('أرقام التواصل'!$A$6:$A$505,"client",'أرقام التواصل'!$B$6:$B$505,A182,'أرقام التواصل'!$C$6:$C$505,1))=0),"REVIEW","READY"))))</f>
        <v/>
      </c>
      <c r="BA182" s="16" t="str">
        <f>IF(AZ182="","",IF(OR(AZ182="READY",AZ182="TO_PROPOSED"),"",IF(AZ182="SKIP","Skipped by decision",TRIM(IF(B182="","missing import_action; ","")&amp;IF(A182="","missing migration_customer_key; ","")&amp;IF(AND(A182&lt;&gt;"",COUNTIF($A$6:$A$505,A182)&gt;1),"duplicate migration_customer_key; ","")&amp;IF(AND(NOT(OR(B182="to_candidate",AV182="proposed_name")),E182=""),"missing branch_id; ","")&amp;IF(AND(NOT(OR(B182="to_candidate",AV182="proposed_name")),G182=""),"missing first_name; ","")&amp;IF(AND(NOT(OR(B182="to_candidate",AV182="proposed_name")),I182=""),"missing last_name; ","")&amp;IF(AND(NOT(OR(B182="to_candidate",AV182="proposed_name")),U182=""),"missing final_geo_unit_id; ","")&amp;IF(AV182="","missing final_destination; ","")&amp;IF(AND(NOT(OR(B182="to_candidate",AV182="proposed_name")),(COUNTIFS('أرقام التواصل'!$A$6:$A$505,"client",'أرقام التواصل'!$B$6:$B$505,A182,'أرقام التواصل'!$I$6:$I$505,"TRUE")+COUNTIFS('أرقام التواصل'!$A$6:$A$505,"client",'أرقام التواصل'!$B$6:$B$505,A182,'أرقام التواصل'!$C$6:$C$505,1))=0),"missing primary contact in أرقام التواصل; ","")&amp;IF(OR(B182="to_candidate",AV182="proposed_name"),IF(AW182="","missing proposed_move_reason; ","")&amp;IF(AX182="","missing proposed_name_key; ",""),"")))))</f>
        <v/>
      </c>
    </row>
    <row r="183" spans="1:53">
      <c r="A183" s="11"/>
      <c r="B183" s="12"/>
      <c r="C183" s="13"/>
      <c r="D183" s="12"/>
      <c r="E183" s="12"/>
      <c r="F183" s="12"/>
      <c r="G183" s="12"/>
      <c r="H183" s="12"/>
      <c r="I183" s="12"/>
      <c r="J183" s="12"/>
      <c r="K183" s="12" t="str">
        <f t="shared" si="3"/>
        <v/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 t="str">
        <f t="shared" si="4"/>
        <v/>
      </c>
      <c r="V183" s="12"/>
      <c r="W183" s="14"/>
      <c r="X183" s="14"/>
      <c r="Y183" s="13"/>
      <c r="Z183" s="12"/>
      <c r="AA183" s="12"/>
      <c r="AB183" s="12"/>
      <c r="AC183" s="12"/>
      <c r="AD183" s="15"/>
      <c r="AE183" s="12"/>
      <c r="AF183" s="13"/>
      <c r="AG183" s="12"/>
      <c r="AH183" s="12"/>
      <c r="AI183" s="15"/>
      <c r="AJ183" s="12"/>
      <c r="AK183" s="12"/>
      <c r="AL183" s="12"/>
      <c r="AM183" s="12"/>
      <c r="AN183" s="12"/>
      <c r="AO183" s="12"/>
      <c r="AP183" s="12"/>
      <c r="AQ183" s="15"/>
      <c r="AR183" s="12"/>
      <c r="AS183" s="12"/>
      <c r="AT183" s="12"/>
      <c r="AU183" s="12"/>
      <c r="AV183" s="12"/>
      <c r="AW183" s="12"/>
      <c r="AX183" s="13"/>
      <c r="AY183" s="12"/>
      <c r="AZ183" s="12" t="str">
        <f>IF(AND(A183="",B183="",E183="",G183="",I183="",AV183="",AX183=""),"",IF(OR(B183="skip",AV183="skip"),"SKIP",IF(OR(B183="to_candidate",AV183="proposed_name"),IF(OR(A183="",AW183="",AX183="",COUNTIF($A$6:$A$505,A183)&gt;1),"REVIEW","TO_PROPOSED"),IF(OR(B183="",A183="",E183="",G183="",I183="",U183="",AV183="",COUNTIF($A$6:$A$505,A183)&gt;1,(COUNTIFS('أرقام التواصل'!$A$6:$A$505,"client",'أرقام التواصل'!$B$6:$B$505,A183,'أرقام التواصل'!$I$6:$I$505,"TRUE")+COUNTIFS('أرقام التواصل'!$A$6:$A$505,"client",'أرقام التواصل'!$B$6:$B$505,A183,'أرقام التواصل'!$C$6:$C$505,1))=0),"REVIEW","READY"))))</f>
        <v/>
      </c>
      <c r="BA183" s="16" t="str">
        <f>IF(AZ183="","",IF(OR(AZ183="READY",AZ183="TO_PROPOSED"),"",IF(AZ183="SKIP","Skipped by decision",TRIM(IF(B183="","missing import_action; ","")&amp;IF(A183="","missing migration_customer_key; ","")&amp;IF(AND(A183&lt;&gt;"",COUNTIF($A$6:$A$505,A183)&gt;1),"duplicate migration_customer_key; ","")&amp;IF(AND(NOT(OR(B183="to_candidate",AV183="proposed_name")),E183=""),"missing branch_id; ","")&amp;IF(AND(NOT(OR(B183="to_candidate",AV183="proposed_name")),G183=""),"missing first_name; ","")&amp;IF(AND(NOT(OR(B183="to_candidate",AV183="proposed_name")),I183=""),"missing last_name; ","")&amp;IF(AND(NOT(OR(B183="to_candidate",AV183="proposed_name")),U183=""),"missing final_geo_unit_id; ","")&amp;IF(AV183="","missing final_destination; ","")&amp;IF(AND(NOT(OR(B183="to_candidate",AV183="proposed_name")),(COUNTIFS('أرقام التواصل'!$A$6:$A$505,"client",'أرقام التواصل'!$B$6:$B$505,A183,'أرقام التواصل'!$I$6:$I$505,"TRUE")+COUNTIFS('أرقام التواصل'!$A$6:$A$505,"client",'أرقام التواصل'!$B$6:$B$505,A183,'أرقام التواصل'!$C$6:$C$505,1))=0),"missing primary contact in أرقام التواصل; ","")&amp;IF(OR(B183="to_candidate",AV183="proposed_name"),IF(AW183="","missing proposed_move_reason; ","")&amp;IF(AX183="","missing proposed_name_key; ",""),"")))))</f>
        <v/>
      </c>
    </row>
    <row r="184" spans="1:53">
      <c r="A184" s="11"/>
      <c r="B184" s="12"/>
      <c r="C184" s="13"/>
      <c r="D184" s="12"/>
      <c r="E184" s="12"/>
      <c r="F184" s="12"/>
      <c r="G184" s="12"/>
      <c r="H184" s="12"/>
      <c r="I184" s="12"/>
      <c r="J184" s="12"/>
      <c r="K184" s="12" t="str">
        <f t="shared" si="3"/>
        <v/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 t="str">
        <f t="shared" si="4"/>
        <v/>
      </c>
      <c r="V184" s="12"/>
      <c r="W184" s="14"/>
      <c r="X184" s="14"/>
      <c r="Y184" s="13"/>
      <c r="Z184" s="12"/>
      <c r="AA184" s="12"/>
      <c r="AB184" s="12"/>
      <c r="AC184" s="12"/>
      <c r="AD184" s="15"/>
      <c r="AE184" s="12"/>
      <c r="AF184" s="13"/>
      <c r="AG184" s="12"/>
      <c r="AH184" s="12"/>
      <c r="AI184" s="15"/>
      <c r="AJ184" s="12"/>
      <c r="AK184" s="12"/>
      <c r="AL184" s="12"/>
      <c r="AM184" s="12"/>
      <c r="AN184" s="12"/>
      <c r="AO184" s="12"/>
      <c r="AP184" s="12"/>
      <c r="AQ184" s="15"/>
      <c r="AR184" s="12"/>
      <c r="AS184" s="12"/>
      <c r="AT184" s="12"/>
      <c r="AU184" s="12"/>
      <c r="AV184" s="12"/>
      <c r="AW184" s="12"/>
      <c r="AX184" s="13"/>
      <c r="AY184" s="12"/>
      <c r="AZ184" s="12" t="str">
        <f>IF(AND(A184="",B184="",E184="",G184="",I184="",AV184="",AX184=""),"",IF(OR(B184="skip",AV184="skip"),"SKIP",IF(OR(B184="to_candidate",AV184="proposed_name"),IF(OR(A184="",AW184="",AX184="",COUNTIF($A$6:$A$505,A184)&gt;1),"REVIEW","TO_PROPOSED"),IF(OR(B184="",A184="",E184="",G184="",I184="",U184="",AV184="",COUNTIF($A$6:$A$505,A184)&gt;1,(COUNTIFS('أرقام التواصل'!$A$6:$A$505,"client",'أرقام التواصل'!$B$6:$B$505,A184,'أرقام التواصل'!$I$6:$I$505,"TRUE")+COUNTIFS('أرقام التواصل'!$A$6:$A$505,"client",'أرقام التواصل'!$B$6:$B$505,A184,'أرقام التواصل'!$C$6:$C$505,1))=0),"REVIEW","READY"))))</f>
        <v/>
      </c>
      <c r="BA184" s="16" t="str">
        <f>IF(AZ184="","",IF(OR(AZ184="READY",AZ184="TO_PROPOSED"),"",IF(AZ184="SKIP","Skipped by decision",TRIM(IF(B184="","missing import_action; ","")&amp;IF(A184="","missing migration_customer_key; ","")&amp;IF(AND(A184&lt;&gt;"",COUNTIF($A$6:$A$505,A184)&gt;1),"duplicate migration_customer_key; ","")&amp;IF(AND(NOT(OR(B184="to_candidate",AV184="proposed_name")),E184=""),"missing branch_id; ","")&amp;IF(AND(NOT(OR(B184="to_candidate",AV184="proposed_name")),G184=""),"missing first_name; ","")&amp;IF(AND(NOT(OR(B184="to_candidate",AV184="proposed_name")),I184=""),"missing last_name; ","")&amp;IF(AND(NOT(OR(B184="to_candidate",AV184="proposed_name")),U184=""),"missing final_geo_unit_id; ","")&amp;IF(AV184="","missing final_destination; ","")&amp;IF(AND(NOT(OR(B184="to_candidate",AV184="proposed_name")),(COUNTIFS('أرقام التواصل'!$A$6:$A$505,"client",'أرقام التواصل'!$B$6:$B$505,A184,'أرقام التواصل'!$I$6:$I$505,"TRUE")+COUNTIFS('أرقام التواصل'!$A$6:$A$505,"client",'أرقام التواصل'!$B$6:$B$505,A184,'أرقام التواصل'!$C$6:$C$505,1))=0),"missing primary contact in أرقام التواصل; ","")&amp;IF(OR(B184="to_candidate",AV184="proposed_name"),IF(AW184="","missing proposed_move_reason; ","")&amp;IF(AX184="","missing proposed_name_key; ",""),"")))))</f>
        <v/>
      </c>
    </row>
    <row r="185" spans="1:53">
      <c r="A185" s="11"/>
      <c r="B185" s="12"/>
      <c r="C185" s="13"/>
      <c r="D185" s="12"/>
      <c r="E185" s="12"/>
      <c r="F185" s="12"/>
      <c r="G185" s="12"/>
      <c r="H185" s="12"/>
      <c r="I185" s="12"/>
      <c r="J185" s="12"/>
      <c r="K185" s="12" t="str">
        <f t="shared" si="3"/>
        <v/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 t="str">
        <f t="shared" si="4"/>
        <v/>
      </c>
      <c r="V185" s="12"/>
      <c r="W185" s="14"/>
      <c r="X185" s="14"/>
      <c r="Y185" s="13"/>
      <c r="Z185" s="12"/>
      <c r="AA185" s="12"/>
      <c r="AB185" s="12"/>
      <c r="AC185" s="12"/>
      <c r="AD185" s="15"/>
      <c r="AE185" s="12"/>
      <c r="AF185" s="13"/>
      <c r="AG185" s="12"/>
      <c r="AH185" s="12"/>
      <c r="AI185" s="15"/>
      <c r="AJ185" s="12"/>
      <c r="AK185" s="12"/>
      <c r="AL185" s="12"/>
      <c r="AM185" s="12"/>
      <c r="AN185" s="12"/>
      <c r="AO185" s="12"/>
      <c r="AP185" s="12"/>
      <c r="AQ185" s="15"/>
      <c r="AR185" s="12"/>
      <c r="AS185" s="12"/>
      <c r="AT185" s="12"/>
      <c r="AU185" s="12"/>
      <c r="AV185" s="12"/>
      <c r="AW185" s="12"/>
      <c r="AX185" s="13"/>
      <c r="AY185" s="12"/>
      <c r="AZ185" s="12" t="str">
        <f>IF(AND(A185="",B185="",E185="",G185="",I185="",AV185="",AX185=""),"",IF(OR(B185="skip",AV185="skip"),"SKIP",IF(OR(B185="to_candidate",AV185="proposed_name"),IF(OR(A185="",AW185="",AX185="",COUNTIF($A$6:$A$505,A185)&gt;1),"REVIEW","TO_PROPOSED"),IF(OR(B185="",A185="",E185="",G185="",I185="",U185="",AV185="",COUNTIF($A$6:$A$505,A185)&gt;1,(COUNTIFS('أرقام التواصل'!$A$6:$A$505,"client",'أرقام التواصل'!$B$6:$B$505,A185,'أرقام التواصل'!$I$6:$I$505,"TRUE")+COUNTIFS('أرقام التواصل'!$A$6:$A$505,"client",'أرقام التواصل'!$B$6:$B$505,A185,'أرقام التواصل'!$C$6:$C$505,1))=0),"REVIEW","READY"))))</f>
        <v/>
      </c>
      <c r="BA185" s="16" t="str">
        <f>IF(AZ185="","",IF(OR(AZ185="READY",AZ185="TO_PROPOSED"),"",IF(AZ185="SKIP","Skipped by decision",TRIM(IF(B185="","missing import_action; ","")&amp;IF(A185="","missing migration_customer_key; ","")&amp;IF(AND(A185&lt;&gt;"",COUNTIF($A$6:$A$505,A185)&gt;1),"duplicate migration_customer_key; ","")&amp;IF(AND(NOT(OR(B185="to_candidate",AV185="proposed_name")),E185=""),"missing branch_id; ","")&amp;IF(AND(NOT(OR(B185="to_candidate",AV185="proposed_name")),G185=""),"missing first_name; ","")&amp;IF(AND(NOT(OR(B185="to_candidate",AV185="proposed_name")),I185=""),"missing last_name; ","")&amp;IF(AND(NOT(OR(B185="to_candidate",AV185="proposed_name")),U185=""),"missing final_geo_unit_id; ","")&amp;IF(AV185="","missing final_destination; ","")&amp;IF(AND(NOT(OR(B185="to_candidate",AV185="proposed_name")),(COUNTIFS('أرقام التواصل'!$A$6:$A$505,"client",'أرقام التواصل'!$B$6:$B$505,A185,'أرقام التواصل'!$I$6:$I$505,"TRUE")+COUNTIFS('أرقام التواصل'!$A$6:$A$505,"client",'أرقام التواصل'!$B$6:$B$505,A185,'أرقام التواصل'!$C$6:$C$505,1))=0),"missing primary contact in أرقام التواصل; ","")&amp;IF(OR(B185="to_candidate",AV185="proposed_name"),IF(AW185="","missing proposed_move_reason; ","")&amp;IF(AX185="","missing proposed_name_key; ",""),"")))))</f>
        <v/>
      </c>
    </row>
    <row r="186" spans="1:53">
      <c r="A186" s="11"/>
      <c r="B186" s="12"/>
      <c r="C186" s="13"/>
      <c r="D186" s="12"/>
      <c r="E186" s="12"/>
      <c r="F186" s="12"/>
      <c r="G186" s="12"/>
      <c r="H186" s="12"/>
      <c r="I186" s="12"/>
      <c r="J186" s="12"/>
      <c r="K186" s="12" t="str">
        <f t="shared" si="3"/>
        <v/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 t="str">
        <f t="shared" si="4"/>
        <v/>
      </c>
      <c r="V186" s="12"/>
      <c r="W186" s="14"/>
      <c r="X186" s="14"/>
      <c r="Y186" s="13"/>
      <c r="Z186" s="12"/>
      <c r="AA186" s="12"/>
      <c r="AB186" s="12"/>
      <c r="AC186" s="12"/>
      <c r="AD186" s="15"/>
      <c r="AE186" s="12"/>
      <c r="AF186" s="13"/>
      <c r="AG186" s="12"/>
      <c r="AH186" s="12"/>
      <c r="AI186" s="15"/>
      <c r="AJ186" s="12"/>
      <c r="AK186" s="12"/>
      <c r="AL186" s="12"/>
      <c r="AM186" s="12"/>
      <c r="AN186" s="12"/>
      <c r="AO186" s="12"/>
      <c r="AP186" s="12"/>
      <c r="AQ186" s="15"/>
      <c r="AR186" s="12"/>
      <c r="AS186" s="12"/>
      <c r="AT186" s="12"/>
      <c r="AU186" s="12"/>
      <c r="AV186" s="12"/>
      <c r="AW186" s="12"/>
      <c r="AX186" s="13"/>
      <c r="AY186" s="12"/>
      <c r="AZ186" s="12" t="str">
        <f>IF(AND(A186="",B186="",E186="",G186="",I186="",AV186="",AX186=""),"",IF(OR(B186="skip",AV186="skip"),"SKIP",IF(OR(B186="to_candidate",AV186="proposed_name"),IF(OR(A186="",AW186="",AX186="",COUNTIF($A$6:$A$505,A186)&gt;1),"REVIEW","TO_PROPOSED"),IF(OR(B186="",A186="",E186="",G186="",I186="",U186="",AV186="",COUNTIF($A$6:$A$505,A186)&gt;1,(COUNTIFS('أرقام التواصل'!$A$6:$A$505,"client",'أرقام التواصل'!$B$6:$B$505,A186,'أرقام التواصل'!$I$6:$I$505,"TRUE")+COUNTIFS('أرقام التواصل'!$A$6:$A$505,"client",'أرقام التواصل'!$B$6:$B$505,A186,'أرقام التواصل'!$C$6:$C$505,1))=0),"REVIEW","READY"))))</f>
        <v/>
      </c>
      <c r="BA186" s="16" t="str">
        <f>IF(AZ186="","",IF(OR(AZ186="READY",AZ186="TO_PROPOSED"),"",IF(AZ186="SKIP","Skipped by decision",TRIM(IF(B186="","missing import_action; ","")&amp;IF(A186="","missing migration_customer_key; ","")&amp;IF(AND(A186&lt;&gt;"",COUNTIF($A$6:$A$505,A186)&gt;1),"duplicate migration_customer_key; ","")&amp;IF(AND(NOT(OR(B186="to_candidate",AV186="proposed_name")),E186=""),"missing branch_id; ","")&amp;IF(AND(NOT(OR(B186="to_candidate",AV186="proposed_name")),G186=""),"missing first_name; ","")&amp;IF(AND(NOT(OR(B186="to_candidate",AV186="proposed_name")),I186=""),"missing last_name; ","")&amp;IF(AND(NOT(OR(B186="to_candidate",AV186="proposed_name")),U186=""),"missing final_geo_unit_id; ","")&amp;IF(AV186="","missing final_destination; ","")&amp;IF(AND(NOT(OR(B186="to_candidate",AV186="proposed_name")),(COUNTIFS('أرقام التواصل'!$A$6:$A$505,"client",'أرقام التواصل'!$B$6:$B$505,A186,'أرقام التواصل'!$I$6:$I$505,"TRUE")+COUNTIFS('أرقام التواصل'!$A$6:$A$505,"client",'أرقام التواصل'!$B$6:$B$505,A186,'أرقام التواصل'!$C$6:$C$505,1))=0),"missing primary contact in أرقام التواصل; ","")&amp;IF(OR(B186="to_candidate",AV186="proposed_name"),IF(AW186="","missing proposed_move_reason; ","")&amp;IF(AX186="","missing proposed_name_key; ",""),"")))))</f>
        <v/>
      </c>
    </row>
    <row r="187" spans="1:53">
      <c r="A187" s="11"/>
      <c r="B187" s="12"/>
      <c r="C187" s="13"/>
      <c r="D187" s="12"/>
      <c r="E187" s="12"/>
      <c r="F187" s="12"/>
      <c r="G187" s="12"/>
      <c r="H187" s="12"/>
      <c r="I187" s="12"/>
      <c r="J187" s="12"/>
      <c r="K187" s="12" t="str">
        <f t="shared" si="3"/>
        <v/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 t="str">
        <f t="shared" si="4"/>
        <v/>
      </c>
      <c r="V187" s="12"/>
      <c r="W187" s="14"/>
      <c r="X187" s="14"/>
      <c r="Y187" s="13"/>
      <c r="Z187" s="12"/>
      <c r="AA187" s="12"/>
      <c r="AB187" s="12"/>
      <c r="AC187" s="12"/>
      <c r="AD187" s="15"/>
      <c r="AE187" s="12"/>
      <c r="AF187" s="13"/>
      <c r="AG187" s="12"/>
      <c r="AH187" s="12"/>
      <c r="AI187" s="15"/>
      <c r="AJ187" s="12"/>
      <c r="AK187" s="12"/>
      <c r="AL187" s="12"/>
      <c r="AM187" s="12"/>
      <c r="AN187" s="12"/>
      <c r="AO187" s="12"/>
      <c r="AP187" s="12"/>
      <c r="AQ187" s="15"/>
      <c r="AR187" s="12"/>
      <c r="AS187" s="12"/>
      <c r="AT187" s="12"/>
      <c r="AU187" s="12"/>
      <c r="AV187" s="12"/>
      <c r="AW187" s="12"/>
      <c r="AX187" s="13"/>
      <c r="AY187" s="12"/>
      <c r="AZ187" s="12" t="str">
        <f>IF(AND(A187="",B187="",E187="",G187="",I187="",AV187="",AX187=""),"",IF(OR(B187="skip",AV187="skip"),"SKIP",IF(OR(B187="to_candidate",AV187="proposed_name"),IF(OR(A187="",AW187="",AX187="",COUNTIF($A$6:$A$505,A187)&gt;1),"REVIEW","TO_PROPOSED"),IF(OR(B187="",A187="",E187="",G187="",I187="",U187="",AV187="",COUNTIF($A$6:$A$505,A187)&gt;1,(COUNTIFS('أرقام التواصل'!$A$6:$A$505,"client",'أرقام التواصل'!$B$6:$B$505,A187,'أرقام التواصل'!$I$6:$I$505,"TRUE")+COUNTIFS('أرقام التواصل'!$A$6:$A$505,"client",'أرقام التواصل'!$B$6:$B$505,A187,'أرقام التواصل'!$C$6:$C$505,1))=0),"REVIEW","READY"))))</f>
        <v/>
      </c>
      <c r="BA187" s="16" t="str">
        <f>IF(AZ187="","",IF(OR(AZ187="READY",AZ187="TO_PROPOSED"),"",IF(AZ187="SKIP","Skipped by decision",TRIM(IF(B187="","missing import_action; ","")&amp;IF(A187="","missing migration_customer_key; ","")&amp;IF(AND(A187&lt;&gt;"",COUNTIF($A$6:$A$505,A187)&gt;1),"duplicate migration_customer_key; ","")&amp;IF(AND(NOT(OR(B187="to_candidate",AV187="proposed_name")),E187=""),"missing branch_id; ","")&amp;IF(AND(NOT(OR(B187="to_candidate",AV187="proposed_name")),G187=""),"missing first_name; ","")&amp;IF(AND(NOT(OR(B187="to_candidate",AV187="proposed_name")),I187=""),"missing last_name; ","")&amp;IF(AND(NOT(OR(B187="to_candidate",AV187="proposed_name")),U187=""),"missing final_geo_unit_id; ","")&amp;IF(AV187="","missing final_destination; ","")&amp;IF(AND(NOT(OR(B187="to_candidate",AV187="proposed_name")),(COUNTIFS('أرقام التواصل'!$A$6:$A$505,"client",'أرقام التواصل'!$B$6:$B$505,A187,'أرقام التواصل'!$I$6:$I$505,"TRUE")+COUNTIFS('أرقام التواصل'!$A$6:$A$505,"client",'أرقام التواصل'!$B$6:$B$505,A187,'أرقام التواصل'!$C$6:$C$505,1))=0),"missing primary contact in أرقام التواصل; ","")&amp;IF(OR(B187="to_candidate",AV187="proposed_name"),IF(AW187="","missing proposed_move_reason; ","")&amp;IF(AX187="","missing proposed_name_key; ",""),"")))))</f>
        <v/>
      </c>
    </row>
    <row r="188" spans="1:53">
      <c r="A188" s="11"/>
      <c r="B188" s="12"/>
      <c r="C188" s="13"/>
      <c r="D188" s="12"/>
      <c r="E188" s="12"/>
      <c r="F188" s="12"/>
      <c r="G188" s="12"/>
      <c r="H188" s="12"/>
      <c r="I188" s="12"/>
      <c r="J188" s="12"/>
      <c r="K188" s="12" t="str">
        <f t="shared" si="3"/>
        <v/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 t="str">
        <f t="shared" si="4"/>
        <v/>
      </c>
      <c r="V188" s="12"/>
      <c r="W188" s="14"/>
      <c r="X188" s="14"/>
      <c r="Y188" s="13"/>
      <c r="Z188" s="12"/>
      <c r="AA188" s="12"/>
      <c r="AB188" s="12"/>
      <c r="AC188" s="12"/>
      <c r="AD188" s="15"/>
      <c r="AE188" s="12"/>
      <c r="AF188" s="13"/>
      <c r="AG188" s="12"/>
      <c r="AH188" s="12"/>
      <c r="AI188" s="15"/>
      <c r="AJ188" s="12"/>
      <c r="AK188" s="12"/>
      <c r="AL188" s="12"/>
      <c r="AM188" s="12"/>
      <c r="AN188" s="12"/>
      <c r="AO188" s="12"/>
      <c r="AP188" s="12"/>
      <c r="AQ188" s="15"/>
      <c r="AR188" s="12"/>
      <c r="AS188" s="12"/>
      <c r="AT188" s="12"/>
      <c r="AU188" s="12"/>
      <c r="AV188" s="12"/>
      <c r="AW188" s="12"/>
      <c r="AX188" s="13"/>
      <c r="AY188" s="12"/>
      <c r="AZ188" s="12" t="str">
        <f>IF(AND(A188="",B188="",E188="",G188="",I188="",AV188="",AX188=""),"",IF(OR(B188="skip",AV188="skip"),"SKIP",IF(OR(B188="to_candidate",AV188="proposed_name"),IF(OR(A188="",AW188="",AX188="",COUNTIF($A$6:$A$505,A188)&gt;1),"REVIEW","TO_PROPOSED"),IF(OR(B188="",A188="",E188="",G188="",I188="",U188="",AV188="",COUNTIF($A$6:$A$505,A188)&gt;1,(COUNTIFS('أرقام التواصل'!$A$6:$A$505,"client",'أرقام التواصل'!$B$6:$B$505,A188,'أرقام التواصل'!$I$6:$I$505,"TRUE")+COUNTIFS('أرقام التواصل'!$A$6:$A$505,"client",'أرقام التواصل'!$B$6:$B$505,A188,'أرقام التواصل'!$C$6:$C$505,1))=0),"REVIEW","READY"))))</f>
        <v/>
      </c>
      <c r="BA188" s="16" t="str">
        <f>IF(AZ188="","",IF(OR(AZ188="READY",AZ188="TO_PROPOSED"),"",IF(AZ188="SKIP","Skipped by decision",TRIM(IF(B188="","missing import_action; ","")&amp;IF(A188="","missing migration_customer_key; ","")&amp;IF(AND(A188&lt;&gt;"",COUNTIF($A$6:$A$505,A188)&gt;1),"duplicate migration_customer_key; ","")&amp;IF(AND(NOT(OR(B188="to_candidate",AV188="proposed_name")),E188=""),"missing branch_id; ","")&amp;IF(AND(NOT(OR(B188="to_candidate",AV188="proposed_name")),G188=""),"missing first_name; ","")&amp;IF(AND(NOT(OR(B188="to_candidate",AV188="proposed_name")),I188=""),"missing last_name; ","")&amp;IF(AND(NOT(OR(B188="to_candidate",AV188="proposed_name")),U188=""),"missing final_geo_unit_id; ","")&amp;IF(AV188="","missing final_destination; ","")&amp;IF(AND(NOT(OR(B188="to_candidate",AV188="proposed_name")),(COUNTIFS('أرقام التواصل'!$A$6:$A$505,"client",'أرقام التواصل'!$B$6:$B$505,A188,'أرقام التواصل'!$I$6:$I$505,"TRUE")+COUNTIFS('أرقام التواصل'!$A$6:$A$505,"client",'أرقام التواصل'!$B$6:$B$505,A188,'أرقام التواصل'!$C$6:$C$505,1))=0),"missing primary contact in أرقام التواصل; ","")&amp;IF(OR(B188="to_candidate",AV188="proposed_name"),IF(AW188="","missing proposed_move_reason; ","")&amp;IF(AX188="","missing proposed_name_key; ",""),"")))))</f>
        <v/>
      </c>
    </row>
    <row r="189" spans="1:53">
      <c r="A189" s="11"/>
      <c r="B189" s="12"/>
      <c r="C189" s="13"/>
      <c r="D189" s="12"/>
      <c r="E189" s="12"/>
      <c r="F189" s="12"/>
      <c r="G189" s="12"/>
      <c r="H189" s="12"/>
      <c r="I189" s="12"/>
      <c r="J189" s="12"/>
      <c r="K189" s="12" t="str">
        <f t="shared" si="3"/>
        <v/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 t="str">
        <f t="shared" si="4"/>
        <v/>
      </c>
      <c r="V189" s="12"/>
      <c r="W189" s="14"/>
      <c r="X189" s="14"/>
      <c r="Y189" s="13"/>
      <c r="Z189" s="12"/>
      <c r="AA189" s="12"/>
      <c r="AB189" s="12"/>
      <c r="AC189" s="12"/>
      <c r="AD189" s="15"/>
      <c r="AE189" s="12"/>
      <c r="AF189" s="13"/>
      <c r="AG189" s="12"/>
      <c r="AH189" s="12"/>
      <c r="AI189" s="15"/>
      <c r="AJ189" s="12"/>
      <c r="AK189" s="12"/>
      <c r="AL189" s="12"/>
      <c r="AM189" s="12"/>
      <c r="AN189" s="12"/>
      <c r="AO189" s="12"/>
      <c r="AP189" s="12"/>
      <c r="AQ189" s="15"/>
      <c r="AR189" s="12"/>
      <c r="AS189" s="12"/>
      <c r="AT189" s="12"/>
      <c r="AU189" s="12"/>
      <c r="AV189" s="12"/>
      <c r="AW189" s="12"/>
      <c r="AX189" s="13"/>
      <c r="AY189" s="12"/>
      <c r="AZ189" s="12" t="str">
        <f>IF(AND(A189="",B189="",E189="",G189="",I189="",AV189="",AX189=""),"",IF(OR(B189="skip",AV189="skip"),"SKIP",IF(OR(B189="to_candidate",AV189="proposed_name"),IF(OR(A189="",AW189="",AX189="",COUNTIF($A$6:$A$505,A189)&gt;1),"REVIEW","TO_PROPOSED"),IF(OR(B189="",A189="",E189="",G189="",I189="",U189="",AV189="",COUNTIF($A$6:$A$505,A189)&gt;1,(COUNTIFS('أرقام التواصل'!$A$6:$A$505,"client",'أرقام التواصل'!$B$6:$B$505,A189,'أرقام التواصل'!$I$6:$I$505,"TRUE")+COUNTIFS('أرقام التواصل'!$A$6:$A$505,"client",'أرقام التواصل'!$B$6:$B$505,A189,'أرقام التواصل'!$C$6:$C$505,1))=0),"REVIEW","READY"))))</f>
        <v/>
      </c>
      <c r="BA189" s="16" t="str">
        <f>IF(AZ189="","",IF(OR(AZ189="READY",AZ189="TO_PROPOSED"),"",IF(AZ189="SKIP","Skipped by decision",TRIM(IF(B189="","missing import_action; ","")&amp;IF(A189="","missing migration_customer_key; ","")&amp;IF(AND(A189&lt;&gt;"",COUNTIF($A$6:$A$505,A189)&gt;1),"duplicate migration_customer_key; ","")&amp;IF(AND(NOT(OR(B189="to_candidate",AV189="proposed_name")),E189=""),"missing branch_id; ","")&amp;IF(AND(NOT(OR(B189="to_candidate",AV189="proposed_name")),G189=""),"missing first_name; ","")&amp;IF(AND(NOT(OR(B189="to_candidate",AV189="proposed_name")),I189=""),"missing last_name; ","")&amp;IF(AND(NOT(OR(B189="to_candidate",AV189="proposed_name")),U189=""),"missing final_geo_unit_id; ","")&amp;IF(AV189="","missing final_destination; ","")&amp;IF(AND(NOT(OR(B189="to_candidate",AV189="proposed_name")),(COUNTIFS('أرقام التواصل'!$A$6:$A$505,"client",'أرقام التواصل'!$B$6:$B$505,A189,'أرقام التواصل'!$I$6:$I$505,"TRUE")+COUNTIFS('أرقام التواصل'!$A$6:$A$505,"client",'أرقام التواصل'!$B$6:$B$505,A189,'أرقام التواصل'!$C$6:$C$505,1))=0),"missing primary contact in أرقام التواصل; ","")&amp;IF(OR(B189="to_candidate",AV189="proposed_name"),IF(AW189="","missing proposed_move_reason; ","")&amp;IF(AX189="","missing proposed_name_key; ",""),"")))))</f>
        <v/>
      </c>
    </row>
    <row r="190" spans="1:53">
      <c r="A190" s="11"/>
      <c r="B190" s="12"/>
      <c r="C190" s="13"/>
      <c r="D190" s="12"/>
      <c r="E190" s="12"/>
      <c r="F190" s="12"/>
      <c r="G190" s="12"/>
      <c r="H190" s="12"/>
      <c r="I190" s="12"/>
      <c r="J190" s="12"/>
      <c r="K190" s="12" t="str">
        <f t="shared" si="3"/>
        <v/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 t="str">
        <f t="shared" si="4"/>
        <v/>
      </c>
      <c r="V190" s="12"/>
      <c r="W190" s="14"/>
      <c r="X190" s="14"/>
      <c r="Y190" s="13"/>
      <c r="Z190" s="12"/>
      <c r="AA190" s="12"/>
      <c r="AB190" s="12"/>
      <c r="AC190" s="12"/>
      <c r="AD190" s="15"/>
      <c r="AE190" s="12"/>
      <c r="AF190" s="13"/>
      <c r="AG190" s="12"/>
      <c r="AH190" s="12"/>
      <c r="AI190" s="15"/>
      <c r="AJ190" s="12"/>
      <c r="AK190" s="12"/>
      <c r="AL190" s="12"/>
      <c r="AM190" s="12"/>
      <c r="AN190" s="12"/>
      <c r="AO190" s="12"/>
      <c r="AP190" s="12"/>
      <c r="AQ190" s="15"/>
      <c r="AR190" s="12"/>
      <c r="AS190" s="12"/>
      <c r="AT190" s="12"/>
      <c r="AU190" s="12"/>
      <c r="AV190" s="12"/>
      <c r="AW190" s="12"/>
      <c r="AX190" s="13"/>
      <c r="AY190" s="12"/>
      <c r="AZ190" s="12" t="str">
        <f>IF(AND(A190="",B190="",E190="",G190="",I190="",AV190="",AX190=""),"",IF(OR(B190="skip",AV190="skip"),"SKIP",IF(OR(B190="to_candidate",AV190="proposed_name"),IF(OR(A190="",AW190="",AX190="",COUNTIF($A$6:$A$505,A190)&gt;1),"REVIEW","TO_PROPOSED"),IF(OR(B190="",A190="",E190="",G190="",I190="",U190="",AV190="",COUNTIF($A$6:$A$505,A190)&gt;1,(COUNTIFS('أرقام التواصل'!$A$6:$A$505,"client",'أرقام التواصل'!$B$6:$B$505,A190,'أرقام التواصل'!$I$6:$I$505,"TRUE")+COUNTIFS('أرقام التواصل'!$A$6:$A$505,"client",'أرقام التواصل'!$B$6:$B$505,A190,'أرقام التواصل'!$C$6:$C$505,1))=0),"REVIEW","READY"))))</f>
        <v/>
      </c>
      <c r="BA190" s="16" t="str">
        <f>IF(AZ190="","",IF(OR(AZ190="READY",AZ190="TO_PROPOSED"),"",IF(AZ190="SKIP","Skipped by decision",TRIM(IF(B190="","missing import_action; ","")&amp;IF(A190="","missing migration_customer_key; ","")&amp;IF(AND(A190&lt;&gt;"",COUNTIF($A$6:$A$505,A190)&gt;1),"duplicate migration_customer_key; ","")&amp;IF(AND(NOT(OR(B190="to_candidate",AV190="proposed_name")),E190=""),"missing branch_id; ","")&amp;IF(AND(NOT(OR(B190="to_candidate",AV190="proposed_name")),G190=""),"missing first_name; ","")&amp;IF(AND(NOT(OR(B190="to_candidate",AV190="proposed_name")),I190=""),"missing last_name; ","")&amp;IF(AND(NOT(OR(B190="to_candidate",AV190="proposed_name")),U190=""),"missing final_geo_unit_id; ","")&amp;IF(AV190="","missing final_destination; ","")&amp;IF(AND(NOT(OR(B190="to_candidate",AV190="proposed_name")),(COUNTIFS('أرقام التواصل'!$A$6:$A$505,"client",'أرقام التواصل'!$B$6:$B$505,A190,'أرقام التواصل'!$I$6:$I$505,"TRUE")+COUNTIFS('أرقام التواصل'!$A$6:$A$505,"client",'أرقام التواصل'!$B$6:$B$505,A190,'أرقام التواصل'!$C$6:$C$505,1))=0),"missing primary contact in أرقام التواصل; ","")&amp;IF(OR(B190="to_candidate",AV190="proposed_name"),IF(AW190="","missing proposed_move_reason; ","")&amp;IF(AX190="","missing proposed_name_key; ",""),"")))))</f>
        <v/>
      </c>
    </row>
    <row r="191" spans="1:53">
      <c r="A191" s="11"/>
      <c r="B191" s="12"/>
      <c r="C191" s="13"/>
      <c r="D191" s="12"/>
      <c r="E191" s="12"/>
      <c r="F191" s="12"/>
      <c r="G191" s="12"/>
      <c r="H191" s="12"/>
      <c r="I191" s="12"/>
      <c r="J191" s="12"/>
      <c r="K191" s="12" t="str">
        <f t="shared" si="3"/>
        <v/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 t="str">
        <f t="shared" si="4"/>
        <v/>
      </c>
      <c r="V191" s="12"/>
      <c r="W191" s="14"/>
      <c r="X191" s="14"/>
      <c r="Y191" s="13"/>
      <c r="Z191" s="12"/>
      <c r="AA191" s="12"/>
      <c r="AB191" s="12"/>
      <c r="AC191" s="12"/>
      <c r="AD191" s="15"/>
      <c r="AE191" s="12"/>
      <c r="AF191" s="13"/>
      <c r="AG191" s="12"/>
      <c r="AH191" s="12"/>
      <c r="AI191" s="15"/>
      <c r="AJ191" s="12"/>
      <c r="AK191" s="12"/>
      <c r="AL191" s="12"/>
      <c r="AM191" s="12"/>
      <c r="AN191" s="12"/>
      <c r="AO191" s="12"/>
      <c r="AP191" s="12"/>
      <c r="AQ191" s="15"/>
      <c r="AR191" s="12"/>
      <c r="AS191" s="12"/>
      <c r="AT191" s="12"/>
      <c r="AU191" s="12"/>
      <c r="AV191" s="12"/>
      <c r="AW191" s="12"/>
      <c r="AX191" s="13"/>
      <c r="AY191" s="12"/>
      <c r="AZ191" s="12" t="str">
        <f>IF(AND(A191="",B191="",E191="",G191="",I191="",AV191="",AX191=""),"",IF(OR(B191="skip",AV191="skip"),"SKIP",IF(OR(B191="to_candidate",AV191="proposed_name"),IF(OR(A191="",AW191="",AX191="",COUNTIF($A$6:$A$505,A191)&gt;1),"REVIEW","TO_PROPOSED"),IF(OR(B191="",A191="",E191="",G191="",I191="",U191="",AV191="",COUNTIF($A$6:$A$505,A191)&gt;1,(COUNTIFS('أرقام التواصل'!$A$6:$A$505,"client",'أرقام التواصل'!$B$6:$B$505,A191,'أرقام التواصل'!$I$6:$I$505,"TRUE")+COUNTIFS('أرقام التواصل'!$A$6:$A$505,"client",'أرقام التواصل'!$B$6:$B$505,A191,'أرقام التواصل'!$C$6:$C$505,1))=0),"REVIEW","READY"))))</f>
        <v/>
      </c>
      <c r="BA191" s="16" t="str">
        <f>IF(AZ191="","",IF(OR(AZ191="READY",AZ191="TO_PROPOSED"),"",IF(AZ191="SKIP","Skipped by decision",TRIM(IF(B191="","missing import_action; ","")&amp;IF(A191="","missing migration_customer_key; ","")&amp;IF(AND(A191&lt;&gt;"",COUNTIF($A$6:$A$505,A191)&gt;1),"duplicate migration_customer_key; ","")&amp;IF(AND(NOT(OR(B191="to_candidate",AV191="proposed_name")),E191=""),"missing branch_id; ","")&amp;IF(AND(NOT(OR(B191="to_candidate",AV191="proposed_name")),G191=""),"missing first_name; ","")&amp;IF(AND(NOT(OR(B191="to_candidate",AV191="proposed_name")),I191=""),"missing last_name; ","")&amp;IF(AND(NOT(OR(B191="to_candidate",AV191="proposed_name")),U191=""),"missing final_geo_unit_id; ","")&amp;IF(AV191="","missing final_destination; ","")&amp;IF(AND(NOT(OR(B191="to_candidate",AV191="proposed_name")),(COUNTIFS('أرقام التواصل'!$A$6:$A$505,"client",'أرقام التواصل'!$B$6:$B$505,A191,'أرقام التواصل'!$I$6:$I$505,"TRUE")+COUNTIFS('أرقام التواصل'!$A$6:$A$505,"client",'أرقام التواصل'!$B$6:$B$505,A191,'أرقام التواصل'!$C$6:$C$505,1))=0),"missing primary contact in أرقام التواصل; ","")&amp;IF(OR(B191="to_candidate",AV191="proposed_name"),IF(AW191="","missing proposed_move_reason; ","")&amp;IF(AX191="","missing proposed_name_key; ",""),"")))))</f>
        <v/>
      </c>
    </row>
    <row r="192" spans="1:53">
      <c r="A192" s="11"/>
      <c r="B192" s="12"/>
      <c r="C192" s="13"/>
      <c r="D192" s="12"/>
      <c r="E192" s="12"/>
      <c r="F192" s="12"/>
      <c r="G192" s="12"/>
      <c r="H192" s="12"/>
      <c r="I192" s="12"/>
      <c r="J192" s="12"/>
      <c r="K192" s="12" t="str">
        <f t="shared" si="3"/>
        <v/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 t="str">
        <f t="shared" si="4"/>
        <v/>
      </c>
      <c r="V192" s="12"/>
      <c r="W192" s="14"/>
      <c r="X192" s="14"/>
      <c r="Y192" s="13"/>
      <c r="Z192" s="12"/>
      <c r="AA192" s="12"/>
      <c r="AB192" s="12"/>
      <c r="AC192" s="12"/>
      <c r="AD192" s="15"/>
      <c r="AE192" s="12"/>
      <c r="AF192" s="13"/>
      <c r="AG192" s="12"/>
      <c r="AH192" s="12"/>
      <c r="AI192" s="15"/>
      <c r="AJ192" s="12"/>
      <c r="AK192" s="12"/>
      <c r="AL192" s="12"/>
      <c r="AM192" s="12"/>
      <c r="AN192" s="12"/>
      <c r="AO192" s="12"/>
      <c r="AP192" s="12"/>
      <c r="AQ192" s="15"/>
      <c r="AR192" s="12"/>
      <c r="AS192" s="12"/>
      <c r="AT192" s="12"/>
      <c r="AU192" s="12"/>
      <c r="AV192" s="12"/>
      <c r="AW192" s="12"/>
      <c r="AX192" s="13"/>
      <c r="AY192" s="12"/>
      <c r="AZ192" s="12" t="str">
        <f>IF(AND(A192="",B192="",E192="",G192="",I192="",AV192="",AX192=""),"",IF(OR(B192="skip",AV192="skip"),"SKIP",IF(OR(B192="to_candidate",AV192="proposed_name"),IF(OR(A192="",AW192="",AX192="",COUNTIF($A$6:$A$505,A192)&gt;1),"REVIEW","TO_PROPOSED"),IF(OR(B192="",A192="",E192="",G192="",I192="",U192="",AV192="",COUNTIF($A$6:$A$505,A192)&gt;1,(COUNTIFS('أرقام التواصل'!$A$6:$A$505,"client",'أرقام التواصل'!$B$6:$B$505,A192,'أرقام التواصل'!$I$6:$I$505,"TRUE")+COUNTIFS('أرقام التواصل'!$A$6:$A$505,"client",'أرقام التواصل'!$B$6:$B$505,A192,'أرقام التواصل'!$C$6:$C$505,1))=0),"REVIEW","READY"))))</f>
        <v/>
      </c>
      <c r="BA192" s="16" t="str">
        <f>IF(AZ192="","",IF(OR(AZ192="READY",AZ192="TO_PROPOSED"),"",IF(AZ192="SKIP","Skipped by decision",TRIM(IF(B192="","missing import_action; ","")&amp;IF(A192="","missing migration_customer_key; ","")&amp;IF(AND(A192&lt;&gt;"",COUNTIF($A$6:$A$505,A192)&gt;1),"duplicate migration_customer_key; ","")&amp;IF(AND(NOT(OR(B192="to_candidate",AV192="proposed_name")),E192=""),"missing branch_id; ","")&amp;IF(AND(NOT(OR(B192="to_candidate",AV192="proposed_name")),G192=""),"missing first_name; ","")&amp;IF(AND(NOT(OR(B192="to_candidate",AV192="proposed_name")),I192=""),"missing last_name; ","")&amp;IF(AND(NOT(OR(B192="to_candidate",AV192="proposed_name")),U192=""),"missing final_geo_unit_id; ","")&amp;IF(AV192="","missing final_destination; ","")&amp;IF(AND(NOT(OR(B192="to_candidate",AV192="proposed_name")),(COUNTIFS('أرقام التواصل'!$A$6:$A$505,"client",'أرقام التواصل'!$B$6:$B$505,A192,'أرقام التواصل'!$I$6:$I$505,"TRUE")+COUNTIFS('أرقام التواصل'!$A$6:$A$505,"client",'أرقام التواصل'!$B$6:$B$505,A192,'أرقام التواصل'!$C$6:$C$505,1))=0),"missing primary contact in أرقام التواصل; ","")&amp;IF(OR(B192="to_candidate",AV192="proposed_name"),IF(AW192="","missing proposed_move_reason; ","")&amp;IF(AX192="","missing proposed_name_key; ",""),"")))))</f>
        <v/>
      </c>
    </row>
    <row r="193" spans="1:53">
      <c r="A193" s="11"/>
      <c r="B193" s="12"/>
      <c r="C193" s="13"/>
      <c r="D193" s="12"/>
      <c r="E193" s="12"/>
      <c r="F193" s="12"/>
      <c r="G193" s="12"/>
      <c r="H193" s="12"/>
      <c r="I193" s="12"/>
      <c r="J193" s="12"/>
      <c r="K193" s="12" t="str">
        <f t="shared" si="3"/>
        <v/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 t="str">
        <f t="shared" si="4"/>
        <v/>
      </c>
      <c r="V193" s="12"/>
      <c r="W193" s="14"/>
      <c r="X193" s="14"/>
      <c r="Y193" s="13"/>
      <c r="Z193" s="12"/>
      <c r="AA193" s="12"/>
      <c r="AB193" s="12"/>
      <c r="AC193" s="12"/>
      <c r="AD193" s="15"/>
      <c r="AE193" s="12"/>
      <c r="AF193" s="13"/>
      <c r="AG193" s="12"/>
      <c r="AH193" s="12"/>
      <c r="AI193" s="15"/>
      <c r="AJ193" s="12"/>
      <c r="AK193" s="12"/>
      <c r="AL193" s="12"/>
      <c r="AM193" s="12"/>
      <c r="AN193" s="12"/>
      <c r="AO193" s="12"/>
      <c r="AP193" s="12"/>
      <c r="AQ193" s="15"/>
      <c r="AR193" s="12"/>
      <c r="AS193" s="12"/>
      <c r="AT193" s="12"/>
      <c r="AU193" s="12"/>
      <c r="AV193" s="12"/>
      <c r="AW193" s="12"/>
      <c r="AX193" s="13"/>
      <c r="AY193" s="12"/>
      <c r="AZ193" s="12" t="str">
        <f>IF(AND(A193="",B193="",E193="",G193="",I193="",AV193="",AX193=""),"",IF(OR(B193="skip",AV193="skip"),"SKIP",IF(OR(B193="to_candidate",AV193="proposed_name"),IF(OR(A193="",AW193="",AX193="",COUNTIF($A$6:$A$505,A193)&gt;1),"REVIEW","TO_PROPOSED"),IF(OR(B193="",A193="",E193="",G193="",I193="",U193="",AV193="",COUNTIF($A$6:$A$505,A193)&gt;1,(COUNTIFS('أرقام التواصل'!$A$6:$A$505,"client",'أرقام التواصل'!$B$6:$B$505,A193,'أرقام التواصل'!$I$6:$I$505,"TRUE")+COUNTIFS('أرقام التواصل'!$A$6:$A$505,"client",'أرقام التواصل'!$B$6:$B$505,A193,'أرقام التواصل'!$C$6:$C$505,1))=0),"REVIEW","READY"))))</f>
        <v/>
      </c>
      <c r="BA193" s="16" t="str">
        <f>IF(AZ193="","",IF(OR(AZ193="READY",AZ193="TO_PROPOSED"),"",IF(AZ193="SKIP","Skipped by decision",TRIM(IF(B193="","missing import_action; ","")&amp;IF(A193="","missing migration_customer_key; ","")&amp;IF(AND(A193&lt;&gt;"",COUNTIF($A$6:$A$505,A193)&gt;1),"duplicate migration_customer_key; ","")&amp;IF(AND(NOT(OR(B193="to_candidate",AV193="proposed_name")),E193=""),"missing branch_id; ","")&amp;IF(AND(NOT(OR(B193="to_candidate",AV193="proposed_name")),G193=""),"missing first_name; ","")&amp;IF(AND(NOT(OR(B193="to_candidate",AV193="proposed_name")),I193=""),"missing last_name; ","")&amp;IF(AND(NOT(OR(B193="to_candidate",AV193="proposed_name")),U193=""),"missing final_geo_unit_id; ","")&amp;IF(AV193="","missing final_destination; ","")&amp;IF(AND(NOT(OR(B193="to_candidate",AV193="proposed_name")),(COUNTIFS('أرقام التواصل'!$A$6:$A$505,"client",'أرقام التواصل'!$B$6:$B$505,A193,'أرقام التواصل'!$I$6:$I$505,"TRUE")+COUNTIFS('أرقام التواصل'!$A$6:$A$505,"client",'أرقام التواصل'!$B$6:$B$505,A193,'أرقام التواصل'!$C$6:$C$505,1))=0),"missing primary contact in أرقام التواصل; ","")&amp;IF(OR(B193="to_candidate",AV193="proposed_name"),IF(AW193="","missing proposed_move_reason; ","")&amp;IF(AX193="","missing proposed_name_key; ",""),"")))))</f>
        <v/>
      </c>
    </row>
    <row r="194" spans="1:53">
      <c r="A194" s="11"/>
      <c r="B194" s="12"/>
      <c r="C194" s="13"/>
      <c r="D194" s="12"/>
      <c r="E194" s="12"/>
      <c r="F194" s="12"/>
      <c r="G194" s="12"/>
      <c r="H194" s="12"/>
      <c r="I194" s="12"/>
      <c r="J194" s="12"/>
      <c r="K194" s="12" t="str">
        <f t="shared" si="3"/>
        <v/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 t="str">
        <f t="shared" si="4"/>
        <v/>
      </c>
      <c r="V194" s="12"/>
      <c r="W194" s="14"/>
      <c r="X194" s="14"/>
      <c r="Y194" s="13"/>
      <c r="Z194" s="12"/>
      <c r="AA194" s="12"/>
      <c r="AB194" s="12"/>
      <c r="AC194" s="12"/>
      <c r="AD194" s="15"/>
      <c r="AE194" s="12"/>
      <c r="AF194" s="13"/>
      <c r="AG194" s="12"/>
      <c r="AH194" s="12"/>
      <c r="AI194" s="15"/>
      <c r="AJ194" s="12"/>
      <c r="AK194" s="12"/>
      <c r="AL194" s="12"/>
      <c r="AM194" s="12"/>
      <c r="AN194" s="12"/>
      <c r="AO194" s="12"/>
      <c r="AP194" s="12"/>
      <c r="AQ194" s="15"/>
      <c r="AR194" s="12"/>
      <c r="AS194" s="12"/>
      <c r="AT194" s="12"/>
      <c r="AU194" s="12"/>
      <c r="AV194" s="12"/>
      <c r="AW194" s="12"/>
      <c r="AX194" s="13"/>
      <c r="AY194" s="12"/>
      <c r="AZ194" s="12" t="str">
        <f>IF(AND(A194="",B194="",E194="",G194="",I194="",AV194="",AX194=""),"",IF(OR(B194="skip",AV194="skip"),"SKIP",IF(OR(B194="to_candidate",AV194="proposed_name"),IF(OR(A194="",AW194="",AX194="",COUNTIF($A$6:$A$505,A194)&gt;1),"REVIEW","TO_PROPOSED"),IF(OR(B194="",A194="",E194="",G194="",I194="",U194="",AV194="",COUNTIF($A$6:$A$505,A194)&gt;1,(COUNTIFS('أرقام التواصل'!$A$6:$A$505,"client",'أرقام التواصل'!$B$6:$B$505,A194,'أرقام التواصل'!$I$6:$I$505,"TRUE")+COUNTIFS('أرقام التواصل'!$A$6:$A$505,"client",'أرقام التواصل'!$B$6:$B$505,A194,'أرقام التواصل'!$C$6:$C$505,1))=0),"REVIEW","READY"))))</f>
        <v/>
      </c>
      <c r="BA194" s="16" t="str">
        <f>IF(AZ194="","",IF(OR(AZ194="READY",AZ194="TO_PROPOSED"),"",IF(AZ194="SKIP","Skipped by decision",TRIM(IF(B194="","missing import_action; ","")&amp;IF(A194="","missing migration_customer_key; ","")&amp;IF(AND(A194&lt;&gt;"",COUNTIF($A$6:$A$505,A194)&gt;1),"duplicate migration_customer_key; ","")&amp;IF(AND(NOT(OR(B194="to_candidate",AV194="proposed_name")),E194=""),"missing branch_id; ","")&amp;IF(AND(NOT(OR(B194="to_candidate",AV194="proposed_name")),G194=""),"missing first_name; ","")&amp;IF(AND(NOT(OR(B194="to_candidate",AV194="proposed_name")),I194=""),"missing last_name; ","")&amp;IF(AND(NOT(OR(B194="to_candidate",AV194="proposed_name")),U194=""),"missing final_geo_unit_id; ","")&amp;IF(AV194="","missing final_destination; ","")&amp;IF(AND(NOT(OR(B194="to_candidate",AV194="proposed_name")),(COUNTIFS('أرقام التواصل'!$A$6:$A$505,"client",'أرقام التواصل'!$B$6:$B$505,A194,'أرقام التواصل'!$I$6:$I$505,"TRUE")+COUNTIFS('أرقام التواصل'!$A$6:$A$505,"client",'أرقام التواصل'!$B$6:$B$505,A194,'أرقام التواصل'!$C$6:$C$505,1))=0),"missing primary contact in أرقام التواصل; ","")&amp;IF(OR(B194="to_candidate",AV194="proposed_name"),IF(AW194="","missing proposed_move_reason; ","")&amp;IF(AX194="","missing proposed_name_key; ",""),"")))))</f>
        <v/>
      </c>
    </row>
    <row r="195" spans="1:53">
      <c r="A195" s="11"/>
      <c r="B195" s="12"/>
      <c r="C195" s="13"/>
      <c r="D195" s="12"/>
      <c r="E195" s="12"/>
      <c r="F195" s="12"/>
      <c r="G195" s="12"/>
      <c r="H195" s="12"/>
      <c r="I195" s="12"/>
      <c r="J195" s="12"/>
      <c r="K195" s="12" t="str">
        <f t="shared" si="3"/>
        <v/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 t="str">
        <f t="shared" si="4"/>
        <v/>
      </c>
      <c r="V195" s="12"/>
      <c r="W195" s="14"/>
      <c r="X195" s="14"/>
      <c r="Y195" s="13"/>
      <c r="Z195" s="12"/>
      <c r="AA195" s="12"/>
      <c r="AB195" s="12"/>
      <c r="AC195" s="12"/>
      <c r="AD195" s="15"/>
      <c r="AE195" s="12"/>
      <c r="AF195" s="13"/>
      <c r="AG195" s="12"/>
      <c r="AH195" s="12"/>
      <c r="AI195" s="15"/>
      <c r="AJ195" s="12"/>
      <c r="AK195" s="12"/>
      <c r="AL195" s="12"/>
      <c r="AM195" s="12"/>
      <c r="AN195" s="12"/>
      <c r="AO195" s="12"/>
      <c r="AP195" s="12"/>
      <c r="AQ195" s="15"/>
      <c r="AR195" s="12"/>
      <c r="AS195" s="12"/>
      <c r="AT195" s="12"/>
      <c r="AU195" s="12"/>
      <c r="AV195" s="12"/>
      <c r="AW195" s="12"/>
      <c r="AX195" s="13"/>
      <c r="AY195" s="12"/>
      <c r="AZ195" s="12" t="str">
        <f>IF(AND(A195="",B195="",E195="",G195="",I195="",AV195="",AX195=""),"",IF(OR(B195="skip",AV195="skip"),"SKIP",IF(OR(B195="to_candidate",AV195="proposed_name"),IF(OR(A195="",AW195="",AX195="",COUNTIF($A$6:$A$505,A195)&gt;1),"REVIEW","TO_PROPOSED"),IF(OR(B195="",A195="",E195="",G195="",I195="",U195="",AV195="",COUNTIF($A$6:$A$505,A195)&gt;1,(COUNTIFS('أرقام التواصل'!$A$6:$A$505,"client",'أرقام التواصل'!$B$6:$B$505,A195,'أرقام التواصل'!$I$6:$I$505,"TRUE")+COUNTIFS('أرقام التواصل'!$A$6:$A$505,"client",'أرقام التواصل'!$B$6:$B$505,A195,'أرقام التواصل'!$C$6:$C$505,1))=0),"REVIEW","READY"))))</f>
        <v/>
      </c>
      <c r="BA195" s="16" t="str">
        <f>IF(AZ195="","",IF(OR(AZ195="READY",AZ195="TO_PROPOSED"),"",IF(AZ195="SKIP","Skipped by decision",TRIM(IF(B195="","missing import_action; ","")&amp;IF(A195="","missing migration_customer_key; ","")&amp;IF(AND(A195&lt;&gt;"",COUNTIF($A$6:$A$505,A195)&gt;1),"duplicate migration_customer_key; ","")&amp;IF(AND(NOT(OR(B195="to_candidate",AV195="proposed_name")),E195=""),"missing branch_id; ","")&amp;IF(AND(NOT(OR(B195="to_candidate",AV195="proposed_name")),G195=""),"missing first_name; ","")&amp;IF(AND(NOT(OR(B195="to_candidate",AV195="proposed_name")),I195=""),"missing last_name; ","")&amp;IF(AND(NOT(OR(B195="to_candidate",AV195="proposed_name")),U195=""),"missing final_geo_unit_id; ","")&amp;IF(AV195="","missing final_destination; ","")&amp;IF(AND(NOT(OR(B195="to_candidate",AV195="proposed_name")),(COUNTIFS('أرقام التواصل'!$A$6:$A$505,"client",'أرقام التواصل'!$B$6:$B$505,A195,'أرقام التواصل'!$I$6:$I$505,"TRUE")+COUNTIFS('أرقام التواصل'!$A$6:$A$505,"client",'أرقام التواصل'!$B$6:$B$505,A195,'أرقام التواصل'!$C$6:$C$505,1))=0),"missing primary contact in أرقام التواصل; ","")&amp;IF(OR(B195="to_candidate",AV195="proposed_name"),IF(AW195="","missing proposed_move_reason; ","")&amp;IF(AX195="","missing proposed_name_key; ",""),"")))))</f>
        <v/>
      </c>
    </row>
    <row r="196" spans="1:53">
      <c r="A196" s="11"/>
      <c r="B196" s="12"/>
      <c r="C196" s="13"/>
      <c r="D196" s="12"/>
      <c r="E196" s="12"/>
      <c r="F196" s="12"/>
      <c r="G196" s="12"/>
      <c r="H196" s="12"/>
      <c r="I196" s="12"/>
      <c r="J196" s="12"/>
      <c r="K196" s="12" t="str">
        <f t="shared" si="3"/>
        <v/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 t="str">
        <f t="shared" si="4"/>
        <v/>
      </c>
      <c r="V196" s="12"/>
      <c r="W196" s="14"/>
      <c r="X196" s="14"/>
      <c r="Y196" s="13"/>
      <c r="Z196" s="12"/>
      <c r="AA196" s="12"/>
      <c r="AB196" s="12"/>
      <c r="AC196" s="12"/>
      <c r="AD196" s="15"/>
      <c r="AE196" s="12"/>
      <c r="AF196" s="13"/>
      <c r="AG196" s="12"/>
      <c r="AH196" s="12"/>
      <c r="AI196" s="15"/>
      <c r="AJ196" s="12"/>
      <c r="AK196" s="12"/>
      <c r="AL196" s="12"/>
      <c r="AM196" s="12"/>
      <c r="AN196" s="12"/>
      <c r="AO196" s="12"/>
      <c r="AP196" s="12"/>
      <c r="AQ196" s="15"/>
      <c r="AR196" s="12"/>
      <c r="AS196" s="12"/>
      <c r="AT196" s="12"/>
      <c r="AU196" s="12"/>
      <c r="AV196" s="12"/>
      <c r="AW196" s="12"/>
      <c r="AX196" s="13"/>
      <c r="AY196" s="12"/>
      <c r="AZ196" s="12" t="str">
        <f>IF(AND(A196="",B196="",E196="",G196="",I196="",AV196="",AX196=""),"",IF(OR(B196="skip",AV196="skip"),"SKIP",IF(OR(B196="to_candidate",AV196="proposed_name"),IF(OR(A196="",AW196="",AX196="",COUNTIF($A$6:$A$505,A196)&gt;1),"REVIEW","TO_PROPOSED"),IF(OR(B196="",A196="",E196="",G196="",I196="",U196="",AV196="",COUNTIF($A$6:$A$505,A196)&gt;1,(COUNTIFS('أرقام التواصل'!$A$6:$A$505,"client",'أرقام التواصل'!$B$6:$B$505,A196,'أرقام التواصل'!$I$6:$I$505,"TRUE")+COUNTIFS('أرقام التواصل'!$A$6:$A$505,"client",'أرقام التواصل'!$B$6:$B$505,A196,'أرقام التواصل'!$C$6:$C$505,1))=0),"REVIEW","READY"))))</f>
        <v/>
      </c>
      <c r="BA196" s="16" t="str">
        <f>IF(AZ196="","",IF(OR(AZ196="READY",AZ196="TO_PROPOSED"),"",IF(AZ196="SKIP","Skipped by decision",TRIM(IF(B196="","missing import_action; ","")&amp;IF(A196="","missing migration_customer_key; ","")&amp;IF(AND(A196&lt;&gt;"",COUNTIF($A$6:$A$505,A196)&gt;1),"duplicate migration_customer_key; ","")&amp;IF(AND(NOT(OR(B196="to_candidate",AV196="proposed_name")),E196=""),"missing branch_id; ","")&amp;IF(AND(NOT(OR(B196="to_candidate",AV196="proposed_name")),G196=""),"missing first_name; ","")&amp;IF(AND(NOT(OR(B196="to_candidate",AV196="proposed_name")),I196=""),"missing last_name; ","")&amp;IF(AND(NOT(OR(B196="to_candidate",AV196="proposed_name")),U196=""),"missing final_geo_unit_id; ","")&amp;IF(AV196="","missing final_destination; ","")&amp;IF(AND(NOT(OR(B196="to_candidate",AV196="proposed_name")),(COUNTIFS('أرقام التواصل'!$A$6:$A$505,"client",'أرقام التواصل'!$B$6:$B$505,A196,'أرقام التواصل'!$I$6:$I$505,"TRUE")+COUNTIFS('أرقام التواصل'!$A$6:$A$505,"client",'أرقام التواصل'!$B$6:$B$505,A196,'أرقام التواصل'!$C$6:$C$505,1))=0),"missing primary contact in أرقام التواصل; ","")&amp;IF(OR(B196="to_candidate",AV196="proposed_name"),IF(AW196="","missing proposed_move_reason; ","")&amp;IF(AX196="","missing proposed_name_key; ",""),"")))))</f>
        <v/>
      </c>
    </row>
    <row r="197" spans="1:53">
      <c r="A197" s="11"/>
      <c r="B197" s="12"/>
      <c r="C197" s="13"/>
      <c r="D197" s="12"/>
      <c r="E197" s="12"/>
      <c r="F197" s="12"/>
      <c r="G197" s="12"/>
      <c r="H197" s="12"/>
      <c r="I197" s="12"/>
      <c r="J197" s="12"/>
      <c r="K197" s="12" t="str">
        <f t="shared" si="3"/>
        <v/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 t="str">
        <f t="shared" si="4"/>
        <v/>
      </c>
      <c r="V197" s="12"/>
      <c r="W197" s="14"/>
      <c r="X197" s="14"/>
      <c r="Y197" s="13"/>
      <c r="Z197" s="12"/>
      <c r="AA197" s="12"/>
      <c r="AB197" s="12"/>
      <c r="AC197" s="12"/>
      <c r="AD197" s="15"/>
      <c r="AE197" s="12"/>
      <c r="AF197" s="13"/>
      <c r="AG197" s="12"/>
      <c r="AH197" s="12"/>
      <c r="AI197" s="15"/>
      <c r="AJ197" s="12"/>
      <c r="AK197" s="12"/>
      <c r="AL197" s="12"/>
      <c r="AM197" s="12"/>
      <c r="AN197" s="12"/>
      <c r="AO197" s="12"/>
      <c r="AP197" s="12"/>
      <c r="AQ197" s="15"/>
      <c r="AR197" s="12"/>
      <c r="AS197" s="12"/>
      <c r="AT197" s="12"/>
      <c r="AU197" s="12"/>
      <c r="AV197" s="12"/>
      <c r="AW197" s="12"/>
      <c r="AX197" s="13"/>
      <c r="AY197" s="12"/>
      <c r="AZ197" s="12" t="str">
        <f>IF(AND(A197="",B197="",E197="",G197="",I197="",AV197="",AX197=""),"",IF(OR(B197="skip",AV197="skip"),"SKIP",IF(OR(B197="to_candidate",AV197="proposed_name"),IF(OR(A197="",AW197="",AX197="",COUNTIF($A$6:$A$505,A197)&gt;1),"REVIEW","TO_PROPOSED"),IF(OR(B197="",A197="",E197="",G197="",I197="",U197="",AV197="",COUNTIF($A$6:$A$505,A197)&gt;1,(COUNTIFS('أرقام التواصل'!$A$6:$A$505,"client",'أرقام التواصل'!$B$6:$B$505,A197,'أرقام التواصل'!$I$6:$I$505,"TRUE")+COUNTIFS('أرقام التواصل'!$A$6:$A$505,"client",'أرقام التواصل'!$B$6:$B$505,A197,'أرقام التواصل'!$C$6:$C$505,1))=0),"REVIEW","READY"))))</f>
        <v/>
      </c>
      <c r="BA197" s="16" t="str">
        <f>IF(AZ197="","",IF(OR(AZ197="READY",AZ197="TO_PROPOSED"),"",IF(AZ197="SKIP","Skipped by decision",TRIM(IF(B197="","missing import_action; ","")&amp;IF(A197="","missing migration_customer_key; ","")&amp;IF(AND(A197&lt;&gt;"",COUNTIF($A$6:$A$505,A197)&gt;1),"duplicate migration_customer_key; ","")&amp;IF(AND(NOT(OR(B197="to_candidate",AV197="proposed_name")),E197=""),"missing branch_id; ","")&amp;IF(AND(NOT(OR(B197="to_candidate",AV197="proposed_name")),G197=""),"missing first_name; ","")&amp;IF(AND(NOT(OR(B197="to_candidate",AV197="proposed_name")),I197=""),"missing last_name; ","")&amp;IF(AND(NOT(OR(B197="to_candidate",AV197="proposed_name")),U197=""),"missing final_geo_unit_id; ","")&amp;IF(AV197="","missing final_destination; ","")&amp;IF(AND(NOT(OR(B197="to_candidate",AV197="proposed_name")),(COUNTIFS('أرقام التواصل'!$A$6:$A$505,"client",'أرقام التواصل'!$B$6:$B$505,A197,'أرقام التواصل'!$I$6:$I$505,"TRUE")+COUNTIFS('أرقام التواصل'!$A$6:$A$505,"client",'أرقام التواصل'!$B$6:$B$505,A197,'أرقام التواصل'!$C$6:$C$505,1))=0),"missing primary contact in أرقام التواصل; ","")&amp;IF(OR(B197="to_candidate",AV197="proposed_name"),IF(AW197="","missing proposed_move_reason; ","")&amp;IF(AX197="","missing proposed_name_key; ",""),"")))))</f>
        <v/>
      </c>
    </row>
    <row r="198" spans="1:53">
      <c r="A198" s="11"/>
      <c r="B198" s="12"/>
      <c r="C198" s="13"/>
      <c r="D198" s="12"/>
      <c r="E198" s="12"/>
      <c r="F198" s="12"/>
      <c r="G198" s="12"/>
      <c r="H198" s="12"/>
      <c r="I198" s="12"/>
      <c r="J198" s="12"/>
      <c r="K198" s="12" t="str">
        <f t="shared" ref="K198:K261" si="5">IF(TRIM(G198&amp;" "&amp;H198&amp;" "&amp;I198&amp;IF(J198&lt;&gt;""," ("&amp;J198&amp;")",""))="","",TRIM(G198&amp;" "&amp;H198&amp;" "&amp;I198&amp;IF(J198&lt;&gt;""," ("&amp;J198&amp;")","")))</f>
        <v/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 t="str">
        <f t="shared" ref="U198:U261" si="6">IF(AND(L198="",N198="",P198="",R198=""),"",IF(R198&lt;&gt;"",R198,IF(P198&lt;&gt;"",P198,IF(N198&lt;&gt;"",N198,L198))))</f>
        <v/>
      </c>
      <c r="V198" s="12"/>
      <c r="W198" s="14"/>
      <c r="X198" s="14"/>
      <c r="Y198" s="13"/>
      <c r="Z198" s="12"/>
      <c r="AA198" s="12"/>
      <c r="AB198" s="12"/>
      <c r="AC198" s="12"/>
      <c r="AD198" s="15"/>
      <c r="AE198" s="12"/>
      <c r="AF198" s="13"/>
      <c r="AG198" s="12"/>
      <c r="AH198" s="12"/>
      <c r="AI198" s="15"/>
      <c r="AJ198" s="12"/>
      <c r="AK198" s="12"/>
      <c r="AL198" s="12"/>
      <c r="AM198" s="12"/>
      <c r="AN198" s="12"/>
      <c r="AO198" s="12"/>
      <c r="AP198" s="12"/>
      <c r="AQ198" s="15"/>
      <c r="AR198" s="12"/>
      <c r="AS198" s="12"/>
      <c r="AT198" s="12"/>
      <c r="AU198" s="12"/>
      <c r="AV198" s="12"/>
      <c r="AW198" s="12"/>
      <c r="AX198" s="13"/>
      <c r="AY198" s="12"/>
      <c r="AZ198" s="12" t="str">
        <f>IF(AND(A198="",B198="",E198="",G198="",I198="",AV198="",AX198=""),"",IF(OR(B198="skip",AV198="skip"),"SKIP",IF(OR(B198="to_candidate",AV198="proposed_name"),IF(OR(A198="",AW198="",AX198="",COUNTIF($A$6:$A$505,A198)&gt;1),"REVIEW","TO_PROPOSED"),IF(OR(B198="",A198="",E198="",G198="",I198="",U198="",AV198="",COUNTIF($A$6:$A$505,A198)&gt;1,(COUNTIFS('أرقام التواصل'!$A$6:$A$505,"client",'أرقام التواصل'!$B$6:$B$505,A198,'أرقام التواصل'!$I$6:$I$505,"TRUE")+COUNTIFS('أرقام التواصل'!$A$6:$A$505,"client",'أرقام التواصل'!$B$6:$B$505,A198,'أرقام التواصل'!$C$6:$C$505,1))=0),"REVIEW","READY"))))</f>
        <v/>
      </c>
      <c r="BA198" s="16" t="str">
        <f>IF(AZ198="","",IF(OR(AZ198="READY",AZ198="TO_PROPOSED"),"",IF(AZ198="SKIP","Skipped by decision",TRIM(IF(B198="","missing import_action; ","")&amp;IF(A198="","missing migration_customer_key; ","")&amp;IF(AND(A198&lt;&gt;"",COUNTIF($A$6:$A$505,A198)&gt;1),"duplicate migration_customer_key; ","")&amp;IF(AND(NOT(OR(B198="to_candidate",AV198="proposed_name")),E198=""),"missing branch_id; ","")&amp;IF(AND(NOT(OR(B198="to_candidate",AV198="proposed_name")),G198=""),"missing first_name; ","")&amp;IF(AND(NOT(OR(B198="to_candidate",AV198="proposed_name")),I198=""),"missing last_name; ","")&amp;IF(AND(NOT(OR(B198="to_candidate",AV198="proposed_name")),U198=""),"missing final_geo_unit_id; ","")&amp;IF(AV198="","missing final_destination; ","")&amp;IF(AND(NOT(OR(B198="to_candidate",AV198="proposed_name")),(COUNTIFS('أرقام التواصل'!$A$6:$A$505,"client",'أرقام التواصل'!$B$6:$B$505,A198,'أرقام التواصل'!$I$6:$I$505,"TRUE")+COUNTIFS('أرقام التواصل'!$A$6:$A$505,"client",'أرقام التواصل'!$B$6:$B$505,A198,'أرقام التواصل'!$C$6:$C$505,1))=0),"missing primary contact in أرقام التواصل; ","")&amp;IF(OR(B198="to_candidate",AV198="proposed_name"),IF(AW198="","missing proposed_move_reason; ","")&amp;IF(AX198="","missing proposed_name_key; ",""),"")))))</f>
        <v/>
      </c>
    </row>
    <row r="199" spans="1:53">
      <c r="A199" s="11"/>
      <c r="B199" s="12"/>
      <c r="C199" s="13"/>
      <c r="D199" s="12"/>
      <c r="E199" s="12"/>
      <c r="F199" s="12"/>
      <c r="G199" s="12"/>
      <c r="H199" s="12"/>
      <c r="I199" s="12"/>
      <c r="J199" s="12"/>
      <c r="K199" s="12" t="str">
        <f t="shared" si="5"/>
        <v/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 t="str">
        <f t="shared" si="6"/>
        <v/>
      </c>
      <c r="V199" s="12"/>
      <c r="W199" s="14"/>
      <c r="X199" s="14"/>
      <c r="Y199" s="13"/>
      <c r="Z199" s="12"/>
      <c r="AA199" s="12"/>
      <c r="AB199" s="12"/>
      <c r="AC199" s="12"/>
      <c r="AD199" s="15"/>
      <c r="AE199" s="12"/>
      <c r="AF199" s="13"/>
      <c r="AG199" s="12"/>
      <c r="AH199" s="12"/>
      <c r="AI199" s="15"/>
      <c r="AJ199" s="12"/>
      <c r="AK199" s="12"/>
      <c r="AL199" s="12"/>
      <c r="AM199" s="12"/>
      <c r="AN199" s="12"/>
      <c r="AO199" s="12"/>
      <c r="AP199" s="12"/>
      <c r="AQ199" s="15"/>
      <c r="AR199" s="12"/>
      <c r="AS199" s="12"/>
      <c r="AT199" s="12"/>
      <c r="AU199" s="12"/>
      <c r="AV199" s="12"/>
      <c r="AW199" s="12"/>
      <c r="AX199" s="13"/>
      <c r="AY199" s="12"/>
      <c r="AZ199" s="12" t="str">
        <f>IF(AND(A199="",B199="",E199="",G199="",I199="",AV199="",AX199=""),"",IF(OR(B199="skip",AV199="skip"),"SKIP",IF(OR(B199="to_candidate",AV199="proposed_name"),IF(OR(A199="",AW199="",AX199="",COUNTIF($A$6:$A$505,A199)&gt;1),"REVIEW","TO_PROPOSED"),IF(OR(B199="",A199="",E199="",G199="",I199="",U199="",AV199="",COUNTIF($A$6:$A$505,A199)&gt;1,(COUNTIFS('أرقام التواصل'!$A$6:$A$505,"client",'أرقام التواصل'!$B$6:$B$505,A199,'أرقام التواصل'!$I$6:$I$505,"TRUE")+COUNTIFS('أرقام التواصل'!$A$6:$A$505,"client",'أرقام التواصل'!$B$6:$B$505,A199,'أرقام التواصل'!$C$6:$C$505,1))=0),"REVIEW","READY"))))</f>
        <v/>
      </c>
      <c r="BA199" s="16" t="str">
        <f>IF(AZ199="","",IF(OR(AZ199="READY",AZ199="TO_PROPOSED"),"",IF(AZ199="SKIP","Skipped by decision",TRIM(IF(B199="","missing import_action; ","")&amp;IF(A199="","missing migration_customer_key; ","")&amp;IF(AND(A199&lt;&gt;"",COUNTIF($A$6:$A$505,A199)&gt;1),"duplicate migration_customer_key; ","")&amp;IF(AND(NOT(OR(B199="to_candidate",AV199="proposed_name")),E199=""),"missing branch_id; ","")&amp;IF(AND(NOT(OR(B199="to_candidate",AV199="proposed_name")),G199=""),"missing first_name; ","")&amp;IF(AND(NOT(OR(B199="to_candidate",AV199="proposed_name")),I199=""),"missing last_name; ","")&amp;IF(AND(NOT(OR(B199="to_candidate",AV199="proposed_name")),U199=""),"missing final_geo_unit_id; ","")&amp;IF(AV199="","missing final_destination; ","")&amp;IF(AND(NOT(OR(B199="to_candidate",AV199="proposed_name")),(COUNTIFS('أرقام التواصل'!$A$6:$A$505,"client",'أرقام التواصل'!$B$6:$B$505,A199,'أرقام التواصل'!$I$6:$I$505,"TRUE")+COUNTIFS('أرقام التواصل'!$A$6:$A$505,"client",'أرقام التواصل'!$B$6:$B$505,A199,'أرقام التواصل'!$C$6:$C$505,1))=0),"missing primary contact in أرقام التواصل; ","")&amp;IF(OR(B199="to_candidate",AV199="proposed_name"),IF(AW199="","missing proposed_move_reason; ","")&amp;IF(AX199="","missing proposed_name_key; ",""),"")))))</f>
        <v/>
      </c>
    </row>
    <row r="200" spans="1:53">
      <c r="A200" s="11"/>
      <c r="B200" s="12"/>
      <c r="C200" s="13"/>
      <c r="D200" s="12"/>
      <c r="E200" s="12"/>
      <c r="F200" s="12"/>
      <c r="G200" s="12"/>
      <c r="H200" s="12"/>
      <c r="I200" s="12"/>
      <c r="J200" s="12"/>
      <c r="K200" s="12" t="str">
        <f t="shared" si="5"/>
        <v/>
      </c>
      <c r="L200" s="12"/>
      <c r="M200" s="12"/>
      <c r="N200" s="12"/>
      <c r="O200" s="12"/>
      <c r="P200" s="12"/>
      <c r="Q200" s="12"/>
      <c r="R200" s="12"/>
      <c r="S200" s="12"/>
      <c r="T200" s="12"/>
      <c r="U200" s="12" t="str">
        <f t="shared" si="6"/>
        <v/>
      </c>
      <c r="V200" s="12"/>
      <c r="W200" s="14"/>
      <c r="X200" s="14"/>
      <c r="Y200" s="13"/>
      <c r="Z200" s="12"/>
      <c r="AA200" s="12"/>
      <c r="AB200" s="12"/>
      <c r="AC200" s="12"/>
      <c r="AD200" s="15"/>
      <c r="AE200" s="12"/>
      <c r="AF200" s="13"/>
      <c r="AG200" s="12"/>
      <c r="AH200" s="12"/>
      <c r="AI200" s="15"/>
      <c r="AJ200" s="12"/>
      <c r="AK200" s="12"/>
      <c r="AL200" s="12"/>
      <c r="AM200" s="12"/>
      <c r="AN200" s="12"/>
      <c r="AO200" s="12"/>
      <c r="AP200" s="12"/>
      <c r="AQ200" s="15"/>
      <c r="AR200" s="12"/>
      <c r="AS200" s="12"/>
      <c r="AT200" s="12"/>
      <c r="AU200" s="12"/>
      <c r="AV200" s="12"/>
      <c r="AW200" s="12"/>
      <c r="AX200" s="13"/>
      <c r="AY200" s="12"/>
      <c r="AZ200" s="12" t="str">
        <f>IF(AND(A200="",B200="",E200="",G200="",I200="",AV200="",AX200=""),"",IF(OR(B200="skip",AV200="skip"),"SKIP",IF(OR(B200="to_candidate",AV200="proposed_name"),IF(OR(A200="",AW200="",AX200="",COUNTIF($A$6:$A$505,A200)&gt;1),"REVIEW","TO_PROPOSED"),IF(OR(B200="",A200="",E200="",G200="",I200="",U200="",AV200="",COUNTIF($A$6:$A$505,A200)&gt;1,(COUNTIFS('أرقام التواصل'!$A$6:$A$505,"client",'أرقام التواصل'!$B$6:$B$505,A200,'أرقام التواصل'!$I$6:$I$505,"TRUE")+COUNTIFS('أرقام التواصل'!$A$6:$A$505,"client",'أرقام التواصل'!$B$6:$B$505,A200,'أرقام التواصل'!$C$6:$C$505,1))=0),"REVIEW","READY"))))</f>
        <v/>
      </c>
      <c r="BA200" s="16" t="str">
        <f>IF(AZ200="","",IF(OR(AZ200="READY",AZ200="TO_PROPOSED"),"",IF(AZ200="SKIP","Skipped by decision",TRIM(IF(B200="","missing import_action; ","")&amp;IF(A200="","missing migration_customer_key; ","")&amp;IF(AND(A200&lt;&gt;"",COUNTIF($A$6:$A$505,A200)&gt;1),"duplicate migration_customer_key; ","")&amp;IF(AND(NOT(OR(B200="to_candidate",AV200="proposed_name")),E200=""),"missing branch_id; ","")&amp;IF(AND(NOT(OR(B200="to_candidate",AV200="proposed_name")),G200=""),"missing first_name; ","")&amp;IF(AND(NOT(OR(B200="to_candidate",AV200="proposed_name")),I200=""),"missing last_name; ","")&amp;IF(AND(NOT(OR(B200="to_candidate",AV200="proposed_name")),U200=""),"missing final_geo_unit_id; ","")&amp;IF(AV200="","missing final_destination; ","")&amp;IF(AND(NOT(OR(B200="to_candidate",AV200="proposed_name")),(COUNTIFS('أرقام التواصل'!$A$6:$A$505,"client",'أرقام التواصل'!$B$6:$B$505,A200,'أرقام التواصل'!$I$6:$I$505,"TRUE")+COUNTIFS('أرقام التواصل'!$A$6:$A$505,"client",'أرقام التواصل'!$B$6:$B$505,A200,'أرقام التواصل'!$C$6:$C$505,1))=0),"missing primary contact in أرقام التواصل; ","")&amp;IF(OR(B200="to_candidate",AV200="proposed_name"),IF(AW200="","missing proposed_move_reason; ","")&amp;IF(AX200="","missing proposed_name_key; ",""),"")))))</f>
        <v/>
      </c>
    </row>
    <row r="201" spans="1:53">
      <c r="A201" s="11"/>
      <c r="B201" s="12"/>
      <c r="C201" s="13"/>
      <c r="D201" s="12"/>
      <c r="E201" s="12"/>
      <c r="F201" s="12"/>
      <c r="G201" s="12"/>
      <c r="H201" s="12"/>
      <c r="I201" s="12"/>
      <c r="J201" s="12"/>
      <c r="K201" s="12" t="str">
        <f t="shared" si="5"/>
        <v/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 t="str">
        <f t="shared" si="6"/>
        <v/>
      </c>
      <c r="V201" s="12"/>
      <c r="W201" s="14"/>
      <c r="X201" s="14"/>
      <c r="Y201" s="13"/>
      <c r="Z201" s="12"/>
      <c r="AA201" s="12"/>
      <c r="AB201" s="12"/>
      <c r="AC201" s="12"/>
      <c r="AD201" s="15"/>
      <c r="AE201" s="12"/>
      <c r="AF201" s="13"/>
      <c r="AG201" s="12"/>
      <c r="AH201" s="12"/>
      <c r="AI201" s="15"/>
      <c r="AJ201" s="12"/>
      <c r="AK201" s="12"/>
      <c r="AL201" s="12"/>
      <c r="AM201" s="12"/>
      <c r="AN201" s="12"/>
      <c r="AO201" s="12"/>
      <c r="AP201" s="12"/>
      <c r="AQ201" s="15"/>
      <c r="AR201" s="12"/>
      <c r="AS201" s="12"/>
      <c r="AT201" s="12"/>
      <c r="AU201" s="12"/>
      <c r="AV201" s="12"/>
      <c r="AW201" s="12"/>
      <c r="AX201" s="13"/>
      <c r="AY201" s="12"/>
      <c r="AZ201" s="12" t="str">
        <f>IF(AND(A201="",B201="",E201="",G201="",I201="",AV201="",AX201=""),"",IF(OR(B201="skip",AV201="skip"),"SKIP",IF(OR(B201="to_candidate",AV201="proposed_name"),IF(OR(A201="",AW201="",AX201="",COUNTIF($A$6:$A$505,A201)&gt;1),"REVIEW","TO_PROPOSED"),IF(OR(B201="",A201="",E201="",G201="",I201="",U201="",AV201="",COUNTIF($A$6:$A$505,A201)&gt;1,(COUNTIFS('أرقام التواصل'!$A$6:$A$505,"client",'أرقام التواصل'!$B$6:$B$505,A201,'أرقام التواصل'!$I$6:$I$505,"TRUE")+COUNTIFS('أرقام التواصل'!$A$6:$A$505,"client",'أرقام التواصل'!$B$6:$B$505,A201,'أرقام التواصل'!$C$6:$C$505,1))=0),"REVIEW","READY"))))</f>
        <v/>
      </c>
      <c r="BA201" s="16" t="str">
        <f>IF(AZ201="","",IF(OR(AZ201="READY",AZ201="TO_PROPOSED"),"",IF(AZ201="SKIP","Skipped by decision",TRIM(IF(B201="","missing import_action; ","")&amp;IF(A201="","missing migration_customer_key; ","")&amp;IF(AND(A201&lt;&gt;"",COUNTIF($A$6:$A$505,A201)&gt;1),"duplicate migration_customer_key; ","")&amp;IF(AND(NOT(OR(B201="to_candidate",AV201="proposed_name")),E201=""),"missing branch_id; ","")&amp;IF(AND(NOT(OR(B201="to_candidate",AV201="proposed_name")),G201=""),"missing first_name; ","")&amp;IF(AND(NOT(OR(B201="to_candidate",AV201="proposed_name")),I201=""),"missing last_name; ","")&amp;IF(AND(NOT(OR(B201="to_candidate",AV201="proposed_name")),U201=""),"missing final_geo_unit_id; ","")&amp;IF(AV201="","missing final_destination; ","")&amp;IF(AND(NOT(OR(B201="to_candidate",AV201="proposed_name")),(COUNTIFS('أرقام التواصل'!$A$6:$A$505,"client",'أرقام التواصل'!$B$6:$B$505,A201,'أرقام التواصل'!$I$6:$I$505,"TRUE")+COUNTIFS('أرقام التواصل'!$A$6:$A$505,"client",'أرقام التواصل'!$B$6:$B$505,A201,'أرقام التواصل'!$C$6:$C$505,1))=0),"missing primary contact in أرقام التواصل; ","")&amp;IF(OR(B201="to_candidate",AV201="proposed_name"),IF(AW201="","missing proposed_move_reason; ","")&amp;IF(AX201="","missing proposed_name_key; ",""),"")))))</f>
        <v/>
      </c>
    </row>
    <row r="202" spans="1:53">
      <c r="A202" s="11"/>
      <c r="B202" s="12"/>
      <c r="C202" s="13"/>
      <c r="D202" s="12"/>
      <c r="E202" s="12"/>
      <c r="F202" s="12"/>
      <c r="G202" s="12"/>
      <c r="H202" s="12"/>
      <c r="I202" s="12"/>
      <c r="J202" s="12"/>
      <c r="K202" s="12" t="str">
        <f t="shared" si="5"/>
        <v/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 t="str">
        <f t="shared" si="6"/>
        <v/>
      </c>
      <c r="V202" s="12"/>
      <c r="W202" s="14"/>
      <c r="X202" s="14"/>
      <c r="Y202" s="13"/>
      <c r="Z202" s="12"/>
      <c r="AA202" s="12"/>
      <c r="AB202" s="12"/>
      <c r="AC202" s="12"/>
      <c r="AD202" s="15"/>
      <c r="AE202" s="12"/>
      <c r="AF202" s="13"/>
      <c r="AG202" s="12"/>
      <c r="AH202" s="12"/>
      <c r="AI202" s="15"/>
      <c r="AJ202" s="12"/>
      <c r="AK202" s="12"/>
      <c r="AL202" s="12"/>
      <c r="AM202" s="12"/>
      <c r="AN202" s="12"/>
      <c r="AO202" s="12"/>
      <c r="AP202" s="12"/>
      <c r="AQ202" s="15"/>
      <c r="AR202" s="12"/>
      <c r="AS202" s="12"/>
      <c r="AT202" s="12"/>
      <c r="AU202" s="12"/>
      <c r="AV202" s="12"/>
      <c r="AW202" s="12"/>
      <c r="AX202" s="13"/>
      <c r="AY202" s="12"/>
      <c r="AZ202" s="12" t="str">
        <f>IF(AND(A202="",B202="",E202="",G202="",I202="",AV202="",AX202=""),"",IF(OR(B202="skip",AV202="skip"),"SKIP",IF(OR(B202="to_candidate",AV202="proposed_name"),IF(OR(A202="",AW202="",AX202="",COUNTIF($A$6:$A$505,A202)&gt;1),"REVIEW","TO_PROPOSED"),IF(OR(B202="",A202="",E202="",G202="",I202="",U202="",AV202="",COUNTIF($A$6:$A$505,A202)&gt;1,(COUNTIFS('أرقام التواصل'!$A$6:$A$505,"client",'أرقام التواصل'!$B$6:$B$505,A202,'أرقام التواصل'!$I$6:$I$505,"TRUE")+COUNTIFS('أرقام التواصل'!$A$6:$A$505,"client",'أرقام التواصل'!$B$6:$B$505,A202,'أرقام التواصل'!$C$6:$C$505,1))=0),"REVIEW","READY"))))</f>
        <v/>
      </c>
      <c r="BA202" s="16" t="str">
        <f>IF(AZ202="","",IF(OR(AZ202="READY",AZ202="TO_PROPOSED"),"",IF(AZ202="SKIP","Skipped by decision",TRIM(IF(B202="","missing import_action; ","")&amp;IF(A202="","missing migration_customer_key; ","")&amp;IF(AND(A202&lt;&gt;"",COUNTIF($A$6:$A$505,A202)&gt;1),"duplicate migration_customer_key; ","")&amp;IF(AND(NOT(OR(B202="to_candidate",AV202="proposed_name")),E202=""),"missing branch_id; ","")&amp;IF(AND(NOT(OR(B202="to_candidate",AV202="proposed_name")),G202=""),"missing first_name; ","")&amp;IF(AND(NOT(OR(B202="to_candidate",AV202="proposed_name")),I202=""),"missing last_name; ","")&amp;IF(AND(NOT(OR(B202="to_candidate",AV202="proposed_name")),U202=""),"missing final_geo_unit_id; ","")&amp;IF(AV202="","missing final_destination; ","")&amp;IF(AND(NOT(OR(B202="to_candidate",AV202="proposed_name")),(COUNTIFS('أرقام التواصل'!$A$6:$A$505,"client",'أرقام التواصل'!$B$6:$B$505,A202,'أرقام التواصل'!$I$6:$I$505,"TRUE")+COUNTIFS('أرقام التواصل'!$A$6:$A$505,"client",'أرقام التواصل'!$B$6:$B$505,A202,'أرقام التواصل'!$C$6:$C$505,1))=0),"missing primary contact in أرقام التواصل; ","")&amp;IF(OR(B202="to_candidate",AV202="proposed_name"),IF(AW202="","missing proposed_move_reason; ","")&amp;IF(AX202="","missing proposed_name_key; ",""),"")))))</f>
        <v/>
      </c>
    </row>
    <row r="203" spans="1:53">
      <c r="A203" s="11"/>
      <c r="B203" s="12"/>
      <c r="C203" s="13"/>
      <c r="D203" s="12"/>
      <c r="E203" s="12"/>
      <c r="F203" s="12"/>
      <c r="G203" s="12"/>
      <c r="H203" s="12"/>
      <c r="I203" s="12"/>
      <c r="J203" s="12"/>
      <c r="K203" s="12" t="str">
        <f t="shared" si="5"/>
        <v/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 t="str">
        <f t="shared" si="6"/>
        <v/>
      </c>
      <c r="V203" s="12"/>
      <c r="W203" s="14"/>
      <c r="X203" s="14"/>
      <c r="Y203" s="13"/>
      <c r="Z203" s="12"/>
      <c r="AA203" s="12"/>
      <c r="AB203" s="12"/>
      <c r="AC203" s="12"/>
      <c r="AD203" s="15"/>
      <c r="AE203" s="12"/>
      <c r="AF203" s="13"/>
      <c r="AG203" s="12"/>
      <c r="AH203" s="12"/>
      <c r="AI203" s="15"/>
      <c r="AJ203" s="12"/>
      <c r="AK203" s="12"/>
      <c r="AL203" s="12"/>
      <c r="AM203" s="12"/>
      <c r="AN203" s="12"/>
      <c r="AO203" s="12"/>
      <c r="AP203" s="12"/>
      <c r="AQ203" s="15"/>
      <c r="AR203" s="12"/>
      <c r="AS203" s="12"/>
      <c r="AT203" s="12"/>
      <c r="AU203" s="12"/>
      <c r="AV203" s="12"/>
      <c r="AW203" s="12"/>
      <c r="AX203" s="13"/>
      <c r="AY203" s="12"/>
      <c r="AZ203" s="12" t="str">
        <f>IF(AND(A203="",B203="",E203="",G203="",I203="",AV203="",AX203=""),"",IF(OR(B203="skip",AV203="skip"),"SKIP",IF(OR(B203="to_candidate",AV203="proposed_name"),IF(OR(A203="",AW203="",AX203="",COUNTIF($A$6:$A$505,A203)&gt;1),"REVIEW","TO_PROPOSED"),IF(OR(B203="",A203="",E203="",G203="",I203="",U203="",AV203="",COUNTIF($A$6:$A$505,A203)&gt;1,(COUNTIFS('أرقام التواصل'!$A$6:$A$505,"client",'أرقام التواصل'!$B$6:$B$505,A203,'أرقام التواصل'!$I$6:$I$505,"TRUE")+COUNTIFS('أرقام التواصل'!$A$6:$A$505,"client",'أرقام التواصل'!$B$6:$B$505,A203,'أرقام التواصل'!$C$6:$C$505,1))=0),"REVIEW","READY"))))</f>
        <v/>
      </c>
      <c r="BA203" s="16" t="str">
        <f>IF(AZ203="","",IF(OR(AZ203="READY",AZ203="TO_PROPOSED"),"",IF(AZ203="SKIP","Skipped by decision",TRIM(IF(B203="","missing import_action; ","")&amp;IF(A203="","missing migration_customer_key; ","")&amp;IF(AND(A203&lt;&gt;"",COUNTIF($A$6:$A$505,A203)&gt;1),"duplicate migration_customer_key; ","")&amp;IF(AND(NOT(OR(B203="to_candidate",AV203="proposed_name")),E203=""),"missing branch_id; ","")&amp;IF(AND(NOT(OR(B203="to_candidate",AV203="proposed_name")),G203=""),"missing first_name; ","")&amp;IF(AND(NOT(OR(B203="to_candidate",AV203="proposed_name")),I203=""),"missing last_name; ","")&amp;IF(AND(NOT(OR(B203="to_candidate",AV203="proposed_name")),U203=""),"missing final_geo_unit_id; ","")&amp;IF(AV203="","missing final_destination; ","")&amp;IF(AND(NOT(OR(B203="to_candidate",AV203="proposed_name")),(COUNTIFS('أرقام التواصل'!$A$6:$A$505,"client",'أرقام التواصل'!$B$6:$B$505,A203,'أرقام التواصل'!$I$6:$I$505,"TRUE")+COUNTIFS('أرقام التواصل'!$A$6:$A$505,"client",'أرقام التواصل'!$B$6:$B$505,A203,'أرقام التواصل'!$C$6:$C$505,1))=0),"missing primary contact in أرقام التواصل; ","")&amp;IF(OR(B203="to_candidate",AV203="proposed_name"),IF(AW203="","missing proposed_move_reason; ","")&amp;IF(AX203="","missing proposed_name_key; ",""),"")))))</f>
        <v/>
      </c>
    </row>
    <row r="204" spans="1:53">
      <c r="A204" s="11"/>
      <c r="B204" s="12"/>
      <c r="C204" s="13"/>
      <c r="D204" s="12"/>
      <c r="E204" s="12"/>
      <c r="F204" s="12"/>
      <c r="G204" s="12"/>
      <c r="H204" s="12"/>
      <c r="I204" s="12"/>
      <c r="J204" s="12"/>
      <c r="K204" s="12" t="str">
        <f t="shared" si="5"/>
        <v/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 t="str">
        <f t="shared" si="6"/>
        <v/>
      </c>
      <c r="V204" s="12"/>
      <c r="W204" s="14"/>
      <c r="X204" s="14"/>
      <c r="Y204" s="13"/>
      <c r="Z204" s="12"/>
      <c r="AA204" s="12"/>
      <c r="AB204" s="12"/>
      <c r="AC204" s="12"/>
      <c r="AD204" s="15"/>
      <c r="AE204" s="12"/>
      <c r="AF204" s="13"/>
      <c r="AG204" s="12"/>
      <c r="AH204" s="12"/>
      <c r="AI204" s="15"/>
      <c r="AJ204" s="12"/>
      <c r="AK204" s="12"/>
      <c r="AL204" s="12"/>
      <c r="AM204" s="12"/>
      <c r="AN204" s="12"/>
      <c r="AO204" s="12"/>
      <c r="AP204" s="12"/>
      <c r="AQ204" s="15"/>
      <c r="AR204" s="12"/>
      <c r="AS204" s="12"/>
      <c r="AT204" s="12"/>
      <c r="AU204" s="12"/>
      <c r="AV204" s="12"/>
      <c r="AW204" s="12"/>
      <c r="AX204" s="13"/>
      <c r="AY204" s="12"/>
      <c r="AZ204" s="12" t="str">
        <f>IF(AND(A204="",B204="",E204="",G204="",I204="",AV204="",AX204=""),"",IF(OR(B204="skip",AV204="skip"),"SKIP",IF(OR(B204="to_candidate",AV204="proposed_name"),IF(OR(A204="",AW204="",AX204="",COUNTIF($A$6:$A$505,A204)&gt;1),"REVIEW","TO_PROPOSED"),IF(OR(B204="",A204="",E204="",G204="",I204="",U204="",AV204="",COUNTIF($A$6:$A$505,A204)&gt;1,(COUNTIFS('أرقام التواصل'!$A$6:$A$505,"client",'أرقام التواصل'!$B$6:$B$505,A204,'أرقام التواصل'!$I$6:$I$505,"TRUE")+COUNTIFS('أرقام التواصل'!$A$6:$A$505,"client",'أرقام التواصل'!$B$6:$B$505,A204,'أرقام التواصل'!$C$6:$C$505,1))=0),"REVIEW","READY"))))</f>
        <v/>
      </c>
      <c r="BA204" s="16" t="str">
        <f>IF(AZ204="","",IF(OR(AZ204="READY",AZ204="TO_PROPOSED"),"",IF(AZ204="SKIP","Skipped by decision",TRIM(IF(B204="","missing import_action; ","")&amp;IF(A204="","missing migration_customer_key; ","")&amp;IF(AND(A204&lt;&gt;"",COUNTIF($A$6:$A$505,A204)&gt;1),"duplicate migration_customer_key; ","")&amp;IF(AND(NOT(OR(B204="to_candidate",AV204="proposed_name")),E204=""),"missing branch_id; ","")&amp;IF(AND(NOT(OR(B204="to_candidate",AV204="proposed_name")),G204=""),"missing first_name; ","")&amp;IF(AND(NOT(OR(B204="to_candidate",AV204="proposed_name")),I204=""),"missing last_name; ","")&amp;IF(AND(NOT(OR(B204="to_candidate",AV204="proposed_name")),U204=""),"missing final_geo_unit_id; ","")&amp;IF(AV204="","missing final_destination; ","")&amp;IF(AND(NOT(OR(B204="to_candidate",AV204="proposed_name")),(COUNTIFS('أرقام التواصل'!$A$6:$A$505,"client",'أرقام التواصل'!$B$6:$B$505,A204,'أرقام التواصل'!$I$6:$I$505,"TRUE")+COUNTIFS('أرقام التواصل'!$A$6:$A$505,"client",'أرقام التواصل'!$B$6:$B$505,A204,'أرقام التواصل'!$C$6:$C$505,1))=0),"missing primary contact in أرقام التواصل; ","")&amp;IF(OR(B204="to_candidate",AV204="proposed_name"),IF(AW204="","missing proposed_move_reason; ","")&amp;IF(AX204="","missing proposed_name_key; ",""),"")))))</f>
        <v/>
      </c>
    </row>
    <row r="205" spans="1:53">
      <c r="A205" s="11"/>
      <c r="B205" s="12"/>
      <c r="C205" s="13"/>
      <c r="D205" s="12"/>
      <c r="E205" s="12"/>
      <c r="F205" s="12"/>
      <c r="G205" s="12"/>
      <c r="H205" s="12"/>
      <c r="I205" s="12"/>
      <c r="J205" s="12"/>
      <c r="K205" s="12" t="str">
        <f t="shared" si="5"/>
        <v/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 t="str">
        <f t="shared" si="6"/>
        <v/>
      </c>
      <c r="V205" s="12"/>
      <c r="W205" s="14"/>
      <c r="X205" s="14"/>
      <c r="Y205" s="13"/>
      <c r="Z205" s="12"/>
      <c r="AA205" s="12"/>
      <c r="AB205" s="12"/>
      <c r="AC205" s="12"/>
      <c r="AD205" s="15"/>
      <c r="AE205" s="12"/>
      <c r="AF205" s="13"/>
      <c r="AG205" s="12"/>
      <c r="AH205" s="12"/>
      <c r="AI205" s="15"/>
      <c r="AJ205" s="12"/>
      <c r="AK205" s="12"/>
      <c r="AL205" s="12"/>
      <c r="AM205" s="12"/>
      <c r="AN205" s="12"/>
      <c r="AO205" s="12"/>
      <c r="AP205" s="12"/>
      <c r="AQ205" s="15"/>
      <c r="AR205" s="12"/>
      <c r="AS205" s="12"/>
      <c r="AT205" s="12"/>
      <c r="AU205" s="12"/>
      <c r="AV205" s="12"/>
      <c r="AW205" s="12"/>
      <c r="AX205" s="13"/>
      <c r="AY205" s="12"/>
      <c r="AZ205" s="12" t="str">
        <f>IF(AND(A205="",B205="",E205="",G205="",I205="",AV205="",AX205=""),"",IF(OR(B205="skip",AV205="skip"),"SKIP",IF(OR(B205="to_candidate",AV205="proposed_name"),IF(OR(A205="",AW205="",AX205="",COUNTIF($A$6:$A$505,A205)&gt;1),"REVIEW","TO_PROPOSED"),IF(OR(B205="",A205="",E205="",G205="",I205="",U205="",AV205="",COUNTIF($A$6:$A$505,A205)&gt;1,(COUNTIFS('أرقام التواصل'!$A$6:$A$505,"client",'أرقام التواصل'!$B$6:$B$505,A205,'أرقام التواصل'!$I$6:$I$505,"TRUE")+COUNTIFS('أرقام التواصل'!$A$6:$A$505,"client",'أرقام التواصل'!$B$6:$B$505,A205,'أرقام التواصل'!$C$6:$C$505,1))=0),"REVIEW","READY"))))</f>
        <v/>
      </c>
      <c r="BA205" s="16" t="str">
        <f>IF(AZ205="","",IF(OR(AZ205="READY",AZ205="TO_PROPOSED"),"",IF(AZ205="SKIP","Skipped by decision",TRIM(IF(B205="","missing import_action; ","")&amp;IF(A205="","missing migration_customer_key; ","")&amp;IF(AND(A205&lt;&gt;"",COUNTIF($A$6:$A$505,A205)&gt;1),"duplicate migration_customer_key; ","")&amp;IF(AND(NOT(OR(B205="to_candidate",AV205="proposed_name")),E205=""),"missing branch_id; ","")&amp;IF(AND(NOT(OR(B205="to_candidate",AV205="proposed_name")),G205=""),"missing first_name; ","")&amp;IF(AND(NOT(OR(B205="to_candidate",AV205="proposed_name")),I205=""),"missing last_name; ","")&amp;IF(AND(NOT(OR(B205="to_candidate",AV205="proposed_name")),U205=""),"missing final_geo_unit_id; ","")&amp;IF(AV205="","missing final_destination; ","")&amp;IF(AND(NOT(OR(B205="to_candidate",AV205="proposed_name")),(COUNTIFS('أرقام التواصل'!$A$6:$A$505,"client",'أرقام التواصل'!$B$6:$B$505,A205,'أرقام التواصل'!$I$6:$I$505,"TRUE")+COUNTIFS('أرقام التواصل'!$A$6:$A$505,"client",'أرقام التواصل'!$B$6:$B$505,A205,'أرقام التواصل'!$C$6:$C$505,1))=0),"missing primary contact in أرقام التواصل; ","")&amp;IF(OR(B205="to_candidate",AV205="proposed_name"),IF(AW205="","missing proposed_move_reason; ","")&amp;IF(AX205="","missing proposed_name_key; ",""),"")))))</f>
        <v/>
      </c>
    </row>
    <row r="206" spans="1:53">
      <c r="A206" s="11"/>
      <c r="B206" s="12"/>
      <c r="C206" s="13"/>
      <c r="D206" s="12"/>
      <c r="E206" s="12"/>
      <c r="F206" s="12"/>
      <c r="G206" s="12"/>
      <c r="H206" s="12"/>
      <c r="I206" s="12"/>
      <c r="J206" s="12"/>
      <c r="K206" s="12" t="str">
        <f t="shared" si="5"/>
        <v/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 t="str">
        <f t="shared" si="6"/>
        <v/>
      </c>
      <c r="V206" s="12"/>
      <c r="W206" s="14"/>
      <c r="X206" s="14"/>
      <c r="Y206" s="13"/>
      <c r="Z206" s="12"/>
      <c r="AA206" s="12"/>
      <c r="AB206" s="12"/>
      <c r="AC206" s="12"/>
      <c r="AD206" s="15"/>
      <c r="AE206" s="12"/>
      <c r="AF206" s="13"/>
      <c r="AG206" s="12"/>
      <c r="AH206" s="12"/>
      <c r="AI206" s="15"/>
      <c r="AJ206" s="12"/>
      <c r="AK206" s="12"/>
      <c r="AL206" s="12"/>
      <c r="AM206" s="12"/>
      <c r="AN206" s="12"/>
      <c r="AO206" s="12"/>
      <c r="AP206" s="12"/>
      <c r="AQ206" s="15"/>
      <c r="AR206" s="12"/>
      <c r="AS206" s="12"/>
      <c r="AT206" s="12"/>
      <c r="AU206" s="12"/>
      <c r="AV206" s="12"/>
      <c r="AW206" s="12"/>
      <c r="AX206" s="13"/>
      <c r="AY206" s="12"/>
      <c r="AZ206" s="12" t="str">
        <f>IF(AND(A206="",B206="",E206="",G206="",I206="",AV206="",AX206=""),"",IF(OR(B206="skip",AV206="skip"),"SKIP",IF(OR(B206="to_candidate",AV206="proposed_name"),IF(OR(A206="",AW206="",AX206="",COUNTIF($A$6:$A$505,A206)&gt;1),"REVIEW","TO_PROPOSED"),IF(OR(B206="",A206="",E206="",G206="",I206="",U206="",AV206="",COUNTIF($A$6:$A$505,A206)&gt;1,(COUNTIFS('أرقام التواصل'!$A$6:$A$505,"client",'أرقام التواصل'!$B$6:$B$505,A206,'أرقام التواصل'!$I$6:$I$505,"TRUE")+COUNTIFS('أرقام التواصل'!$A$6:$A$505,"client",'أرقام التواصل'!$B$6:$B$505,A206,'أرقام التواصل'!$C$6:$C$505,1))=0),"REVIEW","READY"))))</f>
        <v/>
      </c>
      <c r="BA206" s="16" t="str">
        <f>IF(AZ206="","",IF(OR(AZ206="READY",AZ206="TO_PROPOSED"),"",IF(AZ206="SKIP","Skipped by decision",TRIM(IF(B206="","missing import_action; ","")&amp;IF(A206="","missing migration_customer_key; ","")&amp;IF(AND(A206&lt;&gt;"",COUNTIF($A$6:$A$505,A206)&gt;1),"duplicate migration_customer_key; ","")&amp;IF(AND(NOT(OR(B206="to_candidate",AV206="proposed_name")),E206=""),"missing branch_id; ","")&amp;IF(AND(NOT(OR(B206="to_candidate",AV206="proposed_name")),G206=""),"missing first_name; ","")&amp;IF(AND(NOT(OR(B206="to_candidate",AV206="proposed_name")),I206=""),"missing last_name; ","")&amp;IF(AND(NOT(OR(B206="to_candidate",AV206="proposed_name")),U206=""),"missing final_geo_unit_id; ","")&amp;IF(AV206="","missing final_destination; ","")&amp;IF(AND(NOT(OR(B206="to_candidate",AV206="proposed_name")),(COUNTIFS('أرقام التواصل'!$A$6:$A$505,"client",'أرقام التواصل'!$B$6:$B$505,A206,'أرقام التواصل'!$I$6:$I$505,"TRUE")+COUNTIFS('أرقام التواصل'!$A$6:$A$505,"client",'أرقام التواصل'!$B$6:$B$505,A206,'أرقام التواصل'!$C$6:$C$505,1))=0),"missing primary contact in أرقام التواصل; ","")&amp;IF(OR(B206="to_candidate",AV206="proposed_name"),IF(AW206="","missing proposed_move_reason; ","")&amp;IF(AX206="","missing proposed_name_key; ",""),"")))))</f>
        <v/>
      </c>
    </row>
    <row r="207" spans="1:53">
      <c r="A207" s="11"/>
      <c r="B207" s="12"/>
      <c r="C207" s="13"/>
      <c r="D207" s="12"/>
      <c r="E207" s="12"/>
      <c r="F207" s="12"/>
      <c r="G207" s="12"/>
      <c r="H207" s="12"/>
      <c r="I207" s="12"/>
      <c r="J207" s="12"/>
      <c r="K207" s="12" t="str">
        <f t="shared" si="5"/>
        <v/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 t="str">
        <f t="shared" si="6"/>
        <v/>
      </c>
      <c r="V207" s="12"/>
      <c r="W207" s="14"/>
      <c r="X207" s="14"/>
      <c r="Y207" s="13"/>
      <c r="Z207" s="12"/>
      <c r="AA207" s="12"/>
      <c r="AB207" s="12"/>
      <c r="AC207" s="12"/>
      <c r="AD207" s="15"/>
      <c r="AE207" s="12"/>
      <c r="AF207" s="13"/>
      <c r="AG207" s="12"/>
      <c r="AH207" s="12"/>
      <c r="AI207" s="15"/>
      <c r="AJ207" s="12"/>
      <c r="AK207" s="12"/>
      <c r="AL207" s="12"/>
      <c r="AM207" s="12"/>
      <c r="AN207" s="12"/>
      <c r="AO207" s="12"/>
      <c r="AP207" s="12"/>
      <c r="AQ207" s="15"/>
      <c r="AR207" s="12"/>
      <c r="AS207" s="12"/>
      <c r="AT207" s="12"/>
      <c r="AU207" s="12"/>
      <c r="AV207" s="12"/>
      <c r="AW207" s="12"/>
      <c r="AX207" s="13"/>
      <c r="AY207" s="12"/>
      <c r="AZ207" s="12" t="str">
        <f>IF(AND(A207="",B207="",E207="",G207="",I207="",AV207="",AX207=""),"",IF(OR(B207="skip",AV207="skip"),"SKIP",IF(OR(B207="to_candidate",AV207="proposed_name"),IF(OR(A207="",AW207="",AX207="",COUNTIF($A$6:$A$505,A207)&gt;1),"REVIEW","TO_PROPOSED"),IF(OR(B207="",A207="",E207="",G207="",I207="",U207="",AV207="",COUNTIF($A$6:$A$505,A207)&gt;1,(COUNTIFS('أرقام التواصل'!$A$6:$A$505,"client",'أرقام التواصل'!$B$6:$B$505,A207,'أرقام التواصل'!$I$6:$I$505,"TRUE")+COUNTIFS('أرقام التواصل'!$A$6:$A$505,"client",'أرقام التواصل'!$B$6:$B$505,A207,'أرقام التواصل'!$C$6:$C$505,1))=0),"REVIEW","READY"))))</f>
        <v/>
      </c>
      <c r="BA207" s="16" t="str">
        <f>IF(AZ207="","",IF(OR(AZ207="READY",AZ207="TO_PROPOSED"),"",IF(AZ207="SKIP","Skipped by decision",TRIM(IF(B207="","missing import_action; ","")&amp;IF(A207="","missing migration_customer_key; ","")&amp;IF(AND(A207&lt;&gt;"",COUNTIF($A$6:$A$505,A207)&gt;1),"duplicate migration_customer_key; ","")&amp;IF(AND(NOT(OR(B207="to_candidate",AV207="proposed_name")),E207=""),"missing branch_id; ","")&amp;IF(AND(NOT(OR(B207="to_candidate",AV207="proposed_name")),G207=""),"missing first_name; ","")&amp;IF(AND(NOT(OR(B207="to_candidate",AV207="proposed_name")),I207=""),"missing last_name; ","")&amp;IF(AND(NOT(OR(B207="to_candidate",AV207="proposed_name")),U207=""),"missing final_geo_unit_id; ","")&amp;IF(AV207="","missing final_destination; ","")&amp;IF(AND(NOT(OR(B207="to_candidate",AV207="proposed_name")),(COUNTIFS('أرقام التواصل'!$A$6:$A$505,"client",'أرقام التواصل'!$B$6:$B$505,A207,'أرقام التواصل'!$I$6:$I$505,"TRUE")+COUNTIFS('أرقام التواصل'!$A$6:$A$505,"client",'أرقام التواصل'!$B$6:$B$505,A207,'أرقام التواصل'!$C$6:$C$505,1))=0),"missing primary contact in أرقام التواصل; ","")&amp;IF(OR(B207="to_candidate",AV207="proposed_name"),IF(AW207="","missing proposed_move_reason; ","")&amp;IF(AX207="","missing proposed_name_key; ",""),"")))))</f>
        <v/>
      </c>
    </row>
    <row r="208" spans="1:53">
      <c r="A208" s="11"/>
      <c r="B208" s="12"/>
      <c r="C208" s="13"/>
      <c r="D208" s="12"/>
      <c r="E208" s="12"/>
      <c r="F208" s="12"/>
      <c r="G208" s="12"/>
      <c r="H208" s="12"/>
      <c r="I208" s="12"/>
      <c r="J208" s="12"/>
      <c r="K208" s="12" t="str">
        <f t="shared" si="5"/>
        <v/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 t="str">
        <f t="shared" si="6"/>
        <v/>
      </c>
      <c r="V208" s="12"/>
      <c r="W208" s="14"/>
      <c r="X208" s="14"/>
      <c r="Y208" s="13"/>
      <c r="Z208" s="12"/>
      <c r="AA208" s="12"/>
      <c r="AB208" s="12"/>
      <c r="AC208" s="12"/>
      <c r="AD208" s="15"/>
      <c r="AE208" s="12"/>
      <c r="AF208" s="13"/>
      <c r="AG208" s="12"/>
      <c r="AH208" s="12"/>
      <c r="AI208" s="15"/>
      <c r="AJ208" s="12"/>
      <c r="AK208" s="12"/>
      <c r="AL208" s="12"/>
      <c r="AM208" s="12"/>
      <c r="AN208" s="12"/>
      <c r="AO208" s="12"/>
      <c r="AP208" s="12"/>
      <c r="AQ208" s="15"/>
      <c r="AR208" s="12"/>
      <c r="AS208" s="12"/>
      <c r="AT208" s="12"/>
      <c r="AU208" s="12"/>
      <c r="AV208" s="12"/>
      <c r="AW208" s="12"/>
      <c r="AX208" s="13"/>
      <c r="AY208" s="12"/>
      <c r="AZ208" s="12" t="str">
        <f>IF(AND(A208="",B208="",E208="",G208="",I208="",AV208="",AX208=""),"",IF(OR(B208="skip",AV208="skip"),"SKIP",IF(OR(B208="to_candidate",AV208="proposed_name"),IF(OR(A208="",AW208="",AX208="",COUNTIF($A$6:$A$505,A208)&gt;1),"REVIEW","TO_PROPOSED"),IF(OR(B208="",A208="",E208="",G208="",I208="",U208="",AV208="",COUNTIF($A$6:$A$505,A208)&gt;1,(COUNTIFS('أرقام التواصل'!$A$6:$A$505,"client",'أرقام التواصل'!$B$6:$B$505,A208,'أرقام التواصل'!$I$6:$I$505,"TRUE")+COUNTIFS('أرقام التواصل'!$A$6:$A$505,"client",'أرقام التواصل'!$B$6:$B$505,A208,'أرقام التواصل'!$C$6:$C$505,1))=0),"REVIEW","READY"))))</f>
        <v/>
      </c>
      <c r="BA208" s="16" t="str">
        <f>IF(AZ208="","",IF(OR(AZ208="READY",AZ208="TO_PROPOSED"),"",IF(AZ208="SKIP","Skipped by decision",TRIM(IF(B208="","missing import_action; ","")&amp;IF(A208="","missing migration_customer_key; ","")&amp;IF(AND(A208&lt;&gt;"",COUNTIF($A$6:$A$505,A208)&gt;1),"duplicate migration_customer_key; ","")&amp;IF(AND(NOT(OR(B208="to_candidate",AV208="proposed_name")),E208=""),"missing branch_id; ","")&amp;IF(AND(NOT(OR(B208="to_candidate",AV208="proposed_name")),G208=""),"missing first_name; ","")&amp;IF(AND(NOT(OR(B208="to_candidate",AV208="proposed_name")),I208=""),"missing last_name; ","")&amp;IF(AND(NOT(OR(B208="to_candidate",AV208="proposed_name")),U208=""),"missing final_geo_unit_id; ","")&amp;IF(AV208="","missing final_destination; ","")&amp;IF(AND(NOT(OR(B208="to_candidate",AV208="proposed_name")),(COUNTIFS('أرقام التواصل'!$A$6:$A$505,"client",'أرقام التواصل'!$B$6:$B$505,A208,'أرقام التواصل'!$I$6:$I$505,"TRUE")+COUNTIFS('أرقام التواصل'!$A$6:$A$505,"client",'أرقام التواصل'!$B$6:$B$505,A208,'أرقام التواصل'!$C$6:$C$505,1))=0),"missing primary contact in أرقام التواصل; ","")&amp;IF(OR(B208="to_candidate",AV208="proposed_name"),IF(AW208="","missing proposed_move_reason; ","")&amp;IF(AX208="","missing proposed_name_key; ",""),"")))))</f>
        <v/>
      </c>
    </row>
    <row r="209" spans="1:53">
      <c r="A209" s="11"/>
      <c r="B209" s="12"/>
      <c r="C209" s="13"/>
      <c r="D209" s="12"/>
      <c r="E209" s="12"/>
      <c r="F209" s="12"/>
      <c r="G209" s="12"/>
      <c r="H209" s="12"/>
      <c r="I209" s="12"/>
      <c r="J209" s="12"/>
      <c r="K209" s="12" t="str">
        <f t="shared" si="5"/>
        <v/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 t="str">
        <f t="shared" si="6"/>
        <v/>
      </c>
      <c r="V209" s="12"/>
      <c r="W209" s="14"/>
      <c r="X209" s="14"/>
      <c r="Y209" s="13"/>
      <c r="Z209" s="12"/>
      <c r="AA209" s="12"/>
      <c r="AB209" s="12"/>
      <c r="AC209" s="12"/>
      <c r="AD209" s="15"/>
      <c r="AE209" s="12"/>
      <c r="AF209" s="13"/>
      <c r="AG209" s="12"/>
      <c r="AH209" s="12"/>
      <c r="AI209" s="15"/>
      <c r="AJ209" s="12"/>
      <c r="AK209" s="12"/>
      <c r="AL209" s="12"/>
      <c r="AM209" s="12"/>
      <c r="AN209" s="12"/>
      <c r="AO209" s="12"/>
      <c r="AP209" s="12"/>
      <c r="AQ209" s="15"/>
      <c r="AR209" s="12"/>
      <c r="AS209" s="12"/>
      <c r="AT209" s="12"/>
      <c r="AU209" s="12"/>
      <c r="AV209" s="12"/>
      <c r="AW209" s="12"/>
      <c r="AX209" s="13"/>
      <c r="AY209" s="12"/>
      <c r="AZ209" s="12" t="str">
        <f>IF(AND(A209="",B209="",E209="",G209="",I209="",AV209="",AX209=""),"",IF(OR(B209="skip",AV209="skip"),"SKIP",IF(OR(B209="to_candidate",AV209="proposed_name"),IF(OR(A209="",AW209="",AX209="",COUNTIF($A$6:$A$505,A209)&gt;1),"REVIEW","TO_PROPOSED"),IF(OR(B209="",A209="",E209="",G209="",I209="",U209="",AV209="",COUNTIF($A$6:$A$505,A209)&gt;1,(COUNTIFS('أرقام التواصل'!$A$6:$A$505,"client",'أرقام التواصل'!$B$6:$B$505,A209,'أرقام التواصل'!$I$6:$I$505,"TRUE")+COUNTIFS('أرقام التواصل'!$A$6:$A$505,"client",'أرقام التواصل'!$B$6:$B$505,A209,'أرقام التواصل'!$C$6:$C$505,1))=0),"REVIEW","READY"))))</f>
        <v/>
      </c>
      <c r="BA209" s="16" t="str">
        <f>IF(AZ209="","",IF(OR(AZ209="READY",AZ209="TO_PROPOSED"),"",IF(AZ209="SKIP","Skipped by decision",TRIM(IF(B209="","missing import_action; ","")&amp;IF(A209="","missing migration_customer_key; ","")&amp;IF(AND(A209&lt;&gt;"",COUNTIF($A$6:$A$505,A209)&gt;1),"duplicate migration_customer_key; ","")&amp;IF(AND(NOT(OR(B209="to_candidate",AV209="proposed_name")),E209=""),"missing branch_id; ","")&amp;IF(AND(NOT(OR(B209="to_candidate",AV209="proposed_name")),G209=""),"missing first_name; ","")&amp;IF(AND(NOT(OR(B209="to_candidate",AV209="proposed_name")),I209=""),"missing last_name; ","")&amp;IF(AND(NOT(OR(B209="to_candidate",AV209="proposed_name")),U209=""),"missing final_geo_unit_id; ","")&amp;IF(AV209="","missing final_destination; ","")&amp;IF(AND(NOT(OR(B209="to_candidate",AV209="proposed_name")),(COUNTIFS('أرقام التواصل'!$A$6:$A$505,"client",'أرقام التواصل'!$B$6:$B$505,A209,'أرقام التواصل'!$I$6:$I$505,"TRUE")+COUNTIFS('أرقام التواصل'!$A$6:$A$505,"client",'أرقام التواصل'!$B$6:$B$505,A209,'أرقام التواصل'!$C$6:$C$505,1))=0),"missing primary contact in أرقام التواصل; ","")&amp;IF(OR(B209="to_candidate",AV209="proposed_name"),IF(AW209="","missing proposed_move_reason; ","")&amp;IF(AX209="","missing proposed_name_key; ",""),"")))))</f>
        <v/>
      </c>
    </row>
    <row r="210" spans="1:53">
      <c r="A210" s="11"/>
      <c r="B210" s="12"/>
      <c r="C210" s="13"/>
      <c r="D210" s="12"/>
      <c r="E210" s="12"/>
      <c r="F210" s="12"/>
      <c r="G210" s="12"/>
      <c r="H210" s="12"/>
      <c r="I210" s="12"/>
      <c r="J210" s="12"/>
      <c r="K210" s="12" t="str">
        <f t="shared" si="5"/>
        <v/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 t="str">
        <f t="shared" si="6"/>
        <v/>
      </c>
      <c r="V210" s="12"/>
      <c r="W210" s="14"/>
      <c r="X210" s="14"/>
      <c r="Y210" s="13"/>
      <c r="Z210" s="12"/>
      <c r="AA210" s="12"/>
      <c r="AB210" s="12"/>
      <c r="AC210" s="12"/>
      <c r="AD210" s="15"/>
      <c r="AE210" s="12"/>
      <c r="AF210" s="13"/>
      <c r="AG210" s="12"/>
      <c r="AH210" s="12"/>
      <c r="AI210" s="15"/>
      <c r="AJ210" s="12"/>
      <c r="AK210" s="12"/>
      <c r="AL210" s="12"/>
      <c r="AM210" s="12"/>
      <c r="AN210" s="12"/>
      <c r="AO210" s="12"/>
      <c r="AP210" s="12"/>
      <c r="AQ210" s="15"/>
      <c r="AR210" s="12"/>
      <c r="AS210" s="12"/>
      <c r="AT210" s="12"/>
      <c r="AU210" s="12"/>
      <c r="AV210" s="12"/>
      <c r="AW210" s="12"/>
      <c r="AX210" s="13"/>
      <c r="AY210" s="12"/>
      <c r="AZ210" s="12" t="str">
        <f>IF(AND(A210="",B210="",E210="",G210="",I210="",AV210="",AX210=""),"",IF(OR(B210="skip",AV210="skip"),"SKIP",IF(OR(B210="to_candidate",AV210="proposed_name"),IF(OR(A210="",AW210="",AX210="",COUNTIF($A$6:$A$505,A210)&gt;1),"REVIEW","TO_PROPOSED"),IF(OR(B210="",A210="",E210="",G210="",I210="",U210="",AV210="",COUNTIF($A$6:$A$505,A210)&gt;1,(COUNTIFS('أرقام التواصل'!$A$6:$A$505,"client",'أرقام التواصل'!$B$6:$B$505,A210,'أرقام التواصل'!$I$6:$I$505,"TRUE")+COUNTIFS('أرقام التواصل'!$A$6:$A$505,"client",'أرقام التواصل'!$B$6:$B$505,A210,'أرقام التواصل'!$C$6:$C$505,1))=0),"REVIEW","READY"))))</f>
        <v/>
      </c>
      <c r="BA210" s="16" t="str">
        <f>IF(AZ210="","",IF(OR(AZ210="READY",AZ210="TO_PROPOSED"),"",IF(AZ210="SKIP","Skipped by decision",TRIM(IF(B210="","missing import_action; ","")&amp;IF(A210="","missing migration_customer_key; ","")&amp;IF(AND(A210&lt;&gt;"",COUNTIF($A$6:$A$505,A210)&gt;1),"duplicate migration_customer_key; ","")&amp;IF(AND(NOT(OR(B210="to_candidate",AV210="proposed_name")),E210=""),"missing branch_id; ","")&amp;IF(AND(NOT(OR(B210="to_candidate",AV210="proposed_name")),G210=""),"missing first_name; ","")&amp;IF(AND(NOT(OR(B210="to_candidate",AV210="proposed_name")),I210=""),"missing last_name; ","")&amp;IF(AND(NOT(OR(B210="to_candidate",AV210="proposed_name")),U210=""),"missing final_geo_unit_id; ","")&amp;IF(AV210="","missing final_destination; ","")&amp;IF(AND(NOT(OR(B210="to_candidate",AV210="proposed_name")),(COUNTIFS('أرقام التواصل'!$A$6:$A$505,"client",'أرقام التواصل'!$B$6:$B$505,A210,'أرقام التواصل'!$I$6:$I$505,"TRUE")+COUNTIFS('أرقام التواصل'!$A$6:$A$505,"client",'أرقام التواصل'!$B$6:$B$505,A210,'أرقام التواصل'!$C$6:$C$505,1))=0),"missing primary contact in أرقام التواصل; ","")&amp;IF(OR(B210="to_candidate",AV210="proposed_name"),IF(AW210="","missing proposed_move_reason; ","")&amp;IF(AX210="","missing proposed_name_key; ",""),"")))))</f>
        <v/>
      </c>
    </row>
    <row r="211" spans="1:53">
      <c r="A211" s="11"/>
      <c r="B211" s="12"/>
      <c r="C211" s="13"/>
      <c r="D211" s="12"/>
      <c r="E211" s="12"/>
      <c r="F211" s="12"/>
      <c r="G211" s="12"/>
      <c r="H211" s="12"/>
      <c r="I211" s="12"/>
      <c r="J211" s="12"/>
      <c r="K211" s="12" t="str">
        <f t="shared" si="5"/>
        <v/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 t="str">
        <f t="shared" si="6"/>
        <v/>
      </c>
      <c r="V211" s="12"/>
      <c r="W211" s="14"/>
      <c r="X211" s="14"/>
      <c r="Y211" s="13"/>
      <c r="Z211" s="12"/>
      <c r="AA211" s="12"/>
      <c r="AB211" s="12"/>
      <c r="AC211" s="12"/>
      <c r="AD211" s="15"/>
      <c r="AE211" s="12"/>
      <c r="AF211" s="13"/>
      <c r="AG211" s="12"/>
      <c r="AH211" s="12"/>
      <c r="AI211" s="15"/>
      <c r="AJ211" s="12"/>
      <c r="AK211" s="12"/>
      <c r="AL211" s="12"/>
      <c r="AM211" s="12"/>
      <c r="AN211" s="12"/>
      <c r="AO211" s="12"/>
      <c r="AP211" s="12"/>
      <c r="AQ211" s="15"/>
      <c r="AR211" s="12"/>
      <c r="AS211" s="12"/>
      <c r="AT211" s="12"/>
      <c r="AU211" s="12"/>
      <c r="AV211" s="12"/>
      <c r="AW211" s="12"/>
      <c r="AX211" s="13"/>
      <c r="AY211" s="12"/>
      <c r="AZ211" s="12" t="str">
        <f>IF(AND(A211="",B211="",E211="",G211="",I211="",AV211="",AX211=""),"",IF(OR(B211="skip",AV211="skip"),"SKIP",IF(OR(B211="to_candidate",AV211="proposed_name"),IF(OR(A211="",AW211="",AX211="",COUNTIF($A$6:$A$505,A211)&gt;1),"REVIEW","TO_PROPOSED"),IF(OR(B211="",A211="",E211="",G211="",I211="",U211="",AV211="",COUNTIF($A$6:$A$505,A211)&gt;1,(COUNTIFS('أرقام التواصل'!$A$6:$A$505,"client",'أرقام التواصل'!$B$6:$B$505,A211,'أرقام التواصل'!$I$6:$I$505,"TRUE")+COUNTIFS('أرقام التواصل'!$A$6:$A$505,"client",'أرقام التواصل'!$B$6:$B$505,A211,'أرقام التواصل'!$C$6:$C$505,1))=0),"REVIEW","READY"))))</f>
        <v/>
      </c>
      <c r="BA211" s="16" t="str">
        <f>IF(AZ211="","",IF(OR(AZ211="READY",AZ211="TO_PROPOSED"),"",IF(AZ211="SKIP","Skipped by decision",TRIM(IF(B211="","missing import_action; ","")&amp;IF(A211="","missing migration_customer_key; ","")&amp;IF(AND(A211&lt;&gt;"",COUNTIF($A$6:$A$505,A211)&gt;1),"duplicate migration_customer_key; ","")&amp;IF(AND(NOT(OR(B211="to_candidate",AV211="proposed_name")),E211=""),"missing branch_id; ","")&amp;IF(AND(NOT(OR(B211="to_candidate",AV211="proposed_name")),G211=""),"missing first_name; ","")&amp;IF(AND(NOT(OR(B211="to_candidate",AV211="proposed_name")),I211=""),"missing last_name; ","")&amp;IF(AND(NOT(OR(B211="to_candidate",AV211="proposed_name")),U211=""),"missing final_geo_unit_id; ","")&amp;IF(AV211="","missing final_destination; ","")&amp;IF(AND(NOT(OR(B211="to_candidate",AV211="proposed_name")),(COUNTIFS('أرقام التواصل'!$A$6:$A$505,"client",'أرقام التواصل'!$B$6:$B$505,A211,'أرقام التواصل'!$I$6:$I$505,"TRUE")+COUNTIFS('أرقام التواصل'!$A$6:$A$505,"client",'أرقام التواصل'!$B$6:$B$505,A211,'أرقام التواصل'!$C$6:$C$505,1))=0),"missing primary contact in أرقام التواصل; ","")&amp;IF(OR(B211="to_candidate",AV211="proposed_name"),IF(AW211="","missing proposed_move_reason; ","")&amp;IF(AX211="","missing proposed_name_key; ",""),"")))))</f>
        <v/>
      </c>
    </row>
    <row r="212" spans="1:53">
      <c r="A212" s="11"/>
      <c r="B212" s="12"/>
      <c r="C212" s="13"/>
      <c r="D212" s="12"/>
      <c r="E212" s="12"/>
      <c r="F212" s="12"/>
      <c r="G212" s="12"/>
      <c r="H212" s="12"/>
      <c r="I212" s="12"/>
      <c r="J212" s="12"/>
      <c r="K212" s="12" t="str">
        <f t="shared" si="5"/>
        <v/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 t="str">
        <f t="shared" si="6"/>
        <v/>
      </c>
      <c r="V212" s="12"/>
      <c r="W212" s="14"/>
      <c r="X212" s="14"/>
      <c r="Y212" s="13"/>
      <c r="Z212" s="12"/>
      <c r="AA212" s="12"/>
      <c r="AB212" s="12"/>
      <c r="AC212" s="12"/>
      <c r="AD212" s="15"/>
      <c r="AE212" s="12"/>
      <c r="AF212" s="13"/>
      <c r="AG212" s="12"/>
      <c r="AH212" s="12"/>
      <c r="AI212" s="15"/>
      <c r="AJ212" s="12"/>
      <c r="AK212" s="12"/>
      <c r="AL212" s="12"/>
      <c r="AM212" s="12"/>
      <c r="AN212" s="12"/>
      <c r="AO212" s="12"/>
      <c r="AP212" s="12"/>
      <c r="AQ212" s="15"/>
      <c r="AR212" s="12"/>
      <c r="AS212" s="12"/>
      <c r="AT212" s="12"/>
      <c r="AU212" s="12"/>
      <c r="AV212" s="12"/>
      <c r="AW212" s="12"/>
      <c r="AX212" s="13"/>
      <c r="AY212" s="12"/>
      <c r="AZ212" s="12" t="str">
        <f>IF(AND(A212="",B212="",E212="",G212="",I212="",AV212="",AX212=""),"",IF(OR(B212="skip",AV212="skip"),"SKIP",IF(OR(B212="to_candidate",AV212="proposed_name"),IF(OR(A212="",AW212="",AX212="",COUNTIF($A$6:$A$505,A212)&gt;1),"REVIEW","TO_PROPOSED"),IF(OR(B212="",A212="",E212="",G212="",I212="",U212="",AV212="",COUNTIF($A$6:$A$505,A212)&gt;1,(COUNTIFS('أرقام التواصل'!$A$6:$A$505,"client",'أرقام التواصل'!$B$6:$B$505,A212,'أرقام التواصل'!$I$6:$I$505,"TRUE")+COUNTIFS('أرقام التواصل'!$A$6:$A$505,"client",'أرقام التواصل'!$B$6:$B$505,A212,'أرقام التواصل'!$C$6:$C$505,1))=0),"REVIEW","READY"))))</f>
        <v/>
      </c>
      <c r="BA212" s="16" t="str">
        <f>IF(AZ212="","",IF(OR(AZ212="READY",AZ212="TO_PROPOSED"),"",IF(AZ212="SKIP","Skipped by decision",TRIM(IF(B212="","missing import_action; ","")&amp;IF(A212="","missing migration_customer_key; ","")&amp;IF(AND(A212&lt;&gt;"",COUNTIF($A$6:$A$505,A212)&gt;1),"duplicate migration_customer_key; ","")&amp;IF(AND(NOT(OR(B212="to_candidate",AV212="proposed_name")),E212=""),"missing branch_id; ","")&amp;IF(AND(NOT(OR(B212="to_candidate",AV212="proposed_name")),G212=""),"missing first_name; ","")&amp;IF(AND(NOT(OR(B212="to_candidate",AV212="proposed_name")),I212=""),"missing last_name; ","")&amp;IF(AND(NOT(OR(B212="to_candidate",AV212="proposed_name")),U212=""),"missing final_geo_unit_id; ","")&amp;IF(AV212="","missing final_destination; ","")&amp;IF(AND(NOT(OR(B212="to_candidate",AV212="proposed_name")),(COUNTIFS('أرقام التواصل'!$A$6:$A$505,"client",'أرقام التواصل'!$B$6:$B$505,A212,'أرقام التواصل'!$I$6:$I$505,"TRUE")+COUNTIFS('أرقام التواصل'!$A$6:$A$505,"client",'أرقام التواصل'!$B$6:$B$505,A212,'أرقام التواصل'!$C$6:$C$505,1))=0),"missing primary contact in أرقام التواصل; ","")&amp;IF(OR(B212="to_candidate",AV212="proposed_name"),IF(AW212="","missing proposed_move_reason; ","")&amp;IF(AX212="","missing proposed_name_key; ",""),"")))))</f>
        <v/>
      </c>
    </row>
    <row r="213" spans="1:53">
      <c r="A213" s="11"/>
      <c r="B213" s="12"/>
      <c r="C213" s="13"/>
      <c r="D213" s="12"/>
      <c r="E213" s="12"/>
      <c r="F213" s="12"/>
      <c r="G213" s="12"/>
      <c r="H213" s="12"/>
      <c r="I213" s="12"/>
      <c r="J213" s="12"/>
      <c r="K213" s="12" t="str">
        <f t="shared" si="5"/>
        <v/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 t="str">
        <f t="shared" si="6"/>
        <v/>
      </c>
      <c r="V213" s="12"/>
      <c r="W213" s="14"/>
      <c r="X213" s="14"/>
      <c r="Y213" s="13"/>
      <c r="Z213" s="12"/>
      <c r="AA213" s="12"/>
      <c r="AB213" s="12"/>
      <c r="AC213" s="12"/>
      <c r="AD213" s="15"/>
      <c r="AE213" s="12"/>
      <c r="AF213" s="13"/>
      <c r="AG213" s="12"/>
      <c r="AH213" s="12"/>
      <c r="AI213" s="15"/>
      <c r="AJ213" s="12"/>
      <c r="AK213" s="12"/>
      <c r="AL213" s="12"/>
      <c r="AM213" s="12"/>
      <c r="AN213" s="12"/>
      <c r="AO213" s="12"/>
      <c r="AP213" s="12"/>
      <c r="AQ213" s="15"/>
      <c r="AR213" s="12"/>
      <c r="AS213" s="12"/>
      <c r="AT213" s="12"/>
      <c r="AU213" s="12"/>
      <c r="AV213" s="12"/>
      <c r="AW213" s="12"/>
      <c r="AX213" s="13"/>
      <c r="AY213" s="12"/>
      <c r="AZ213" s="12" t="str">
        <f>IF(AND(A213="",B213="",E213="",G213="",I213="",AV213="",AX213=""),"",IF(OR(B213="skip",AV213="skip"),"SKIP",IF(OR(B213="to_candidate",AV213="proposed_name"),IF(OR(A213="",AW213="",AX213="",COUNTIF($A$6:$A$505,A213)&gt;1),"REVIEW","TO_PROPOSED"),IF(OR(B213="",A213="",E213="",G213="",I213="",U213="",AV213="",COUNTIF($A$6:$A$505,A213)&gt;1,(COUNTIFS('أرقام التواصل'!$A$6:$A$505,"client",'أرقام التواصل'!$B$6:$B$505,A213,'أرقام التواصل'!$I$6:$I$505,"TRUE")+COUNTIFS('أرقام التواصل'!$A$6:$A$505,"client",'أرقام التواصل'!$B$6:$B$505,A213,'أرقام التواصل'!$C$6:$C$505,1))=0),"REVIEW","READY"))))</f>
        <v/>
      </c>
      <c r="BA213" s="16" t="str">
        <f>IF(AZ213="","",IF(OR(AZ213="READY",AZ213="TO_PROPOSED"),"",IF(AZ213="SKIP","Skipped by decision",TRIM(IF(B213="","missing import_action; ","")&amp;IF(A213="","missing migration_customer_key; ","")&amp;IF(AND(A213&lt;&gt;"",COUNTIF($A$6:$A$505,A213)&gt;1),"duplicate migration_customer_key; ","")&amp;IF(AND(NOT(OR(B213="to_candidate",AV213="proposed_name")),E213=""),"missing branch_id; ","")&amp;IF(AND(NOT(OR(B213="to_candidate",AV213="proposed_name")),G213=""),"missing first_name; ","")&amp;IF(AND(NOT(OR(B213="to_candidate",AV213="proposed_name")),I213=""),"missing last_name; ","")&amp;IF(AND(NOT(OR(B213="to_candidate",AV213="proposed_name")),U213=""),"missing final_geo_unit_id; ","")&amp;IF(AV213="","missing final_destination; ","")&amp;IF(AND(NOT(OR(B213="to_candidate",AV213="proposed_name")),(COUNTIFS('أرقام التواصل'!$A$6:$A$505,"client",'أرقام التواصل'!$B$6:$B$505,A213,'أرقام التواصل'!$I$6:$I$505,"TRUE")+COUNTIFS('أرقام التواصل'!$A$6:$A$505,"client",'أرقام التواصل'!$B$6:$B$505,A213,'أرقام التواصل'!$C$6:$C$505,1))=0),"missing primary contact in أرقام التواصل; ","")&amp;IF(OR(B213="to_candidate",AV213="proposed_name"),IF(AW213="","missing proposed_move_reason; ","")&amp;IF(AX213="","missing proposed_name_key; ",""),"")))))</f>
        <v/>
      </c>
    </row>
    <row r="214" spans="1:53">
      <c r="A214" s="11"/>
      <c r="B214" s="12"/>
      <c r="C214" s="13"/>
      <c r="D214" s="12"/>
      <c r="E214" s="12"/>
      <c r="F214" s="12"/>
      <c r="G214" s="12"/>
      <c r="H214" s="12"/>
      <c r="I214" s="12"/>
      <c r="J214" s="12"/>
      <c r="K214" s="12" t="str">
        <f t="shared" si="5"/>
        <v/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 t="str">
        <f t="shared" si="6"/>
        <v/>
      </c>
      <c r="V214" s="12"/>
      <c r="W214" s="14"/>
      <c r="X214" s="14"/>
      <c r="Y214" s="13"/>
      <c r="Z214" s="12"/>
      <c r="AA214" s="12"/>
      <c r="AB214" s="12"/>
      <c r="AC214" s="12"/>
      <c r="AD214" s="15"/>
      <c r="AE214" s="12"/>
      <c r="AF214" s="13"/>
      <c r="AG214" s="12"/>
      <c r="AH214" s="12"/>
      <c r="AI214" s="15"/>
      <c r="AJ214" s="12"/>
      <c r="AK214" s="12"/>
      <c r="AL214" s="12"/>
      <c r="AM214" s="12"/>
      <c r="AN214" s="12"/>
      <c r="AO214" s="12"/>
      <c r="AP214" s="12"/>
      <c r="AQ214" s="15"/>
      <c r="AR214" s="12"/>
      <c r="AS214" s="12"/>
      <c r="AT214" s="12"/>
      <c r="AU214" s="12"/>
      <c r="AV214" s="12"/>
      <c r="AW214" s="12"/>
      <c r="AX214" s="13"/>
      <c r="AY214" s="12"/>
      <c r="AZ214" s="12" t="str">
        <f>IF(AND(A214="",B214="",E214="",G214="",I214="",AV214="",AX214=""),"",IF(OR(B214="skip",AV214="skip"),"SKIP",IF(OR(B214="to_candidate",AV214="proposed_name"),IF(OR(A214="",AW214="",AX214="",COUNTIF($A$6:$A$505,A214)&gt;1),"REVIEW","TO_PROPOSED"),IF(OR(B214="",A214="",E214="",G214="",I214="",U214="",AV214="",COUNTIF($A$6:$A$505,A214)&gt;1,(COUNTIFS('أرقام التواصل'!$A$6:$A$505,"client",'أرقام التواصل'!$B$6:$B$505,A214,'أرقام التواصل'!$I$6:$I$505,"TRUE")+COUNTIFS('أرقام التواصل'!$A$6:$A$505,"client",'أرقام التواصل'!$B$6:$B$505,A214,'أرقام التواصل'!$C$6:$C$505,1))=0),"REVIEW","READY"))))</f>
        <v/>
      </c>
      <c r="BA214" s="16" t="str">
        <f>IF(AZ214="","",IF(OR(AZ214="READY",AZ214="TO_PROPOSED"),"",IF(AZ214="SKIP","Skipped by decision",TRIM(IF(B214="","missing import_action; ","")&amp;IF(A214="","missing migration_customer_key; ","")&amp;IF(AND(A214&lt;&gt;"",COUNTIF($A$6:$A$505,A214)&gt;1),"duplicate migration_customer_key; ","")&amp;IF(AND(NOT(OR(B214="to_candidate",AV214="proposed_name")),E214=""),"missing branch_id; ","")&amp;IF(AND(NOT(OR(B214="to_candidate",AV214="proposed_name")),G214=""),"missing first_name; ","")&amp;IF(AND(NOT(OR(B214="to_candidate",AV214="proposed_name")),I214=""),"missing last_name; ","")&amp;IF(AND(NOT(OR(B214="to_candidate",AV214="proposed_name")),U214=""),"missing final_geo_unit_id; ","")&amp;IF(AV214="","missing final_destination; ","")&amp;IF(AND(NOT(OR(B214="to_candidate",AV214="proposed_name")),(COUNTIFS('أرقام التواصل'!$A$6:$A$505,"client",'أرقام التواصل'!$B$6:$B$505,A214,'أرقام التواصل'!$I$6:$I$505,"TRUE")+COUNTIFS('أرقام التواصل'!$A$6:$A$505,"client",'أرقام التواصل'!$B$6:$B$505,A214,'أرقام التواصل'!$C$6:$C$505,1))=0),"missing primary contact in أرقام التواصل; ","")&amp;IF(OR(B214="to_candidate",AV214="proposed_name"),IF(AW214="","missing proposed_move_reason; ","")&amp;IF(AX214="","missing proposed_name_key; ",""),"")))))</f>
        <v/>
      </c>
    </row>
    <row r="215" spans="1:53">
      <c r="A215" s="11"/>
      <c r="B215" s="12"/>
      <c r="C215" s="13"/>
      <c r="D215" s="12"/>
      <c r="E215" s="12"/>
      <c r="F215" s="12"/>
      <c r="G215" s="12"/>
      <c r="H215" s="12"/>
      <c r="I215" s="12"/>
      <c r="J215" s="12"/>
      <c r="K215" s="12" t="str">
        <f t="shared" si="5"/>
        <v/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 t="str">
        <f t="shared" si="6"/>
        <v/>
      </c>
      <c r="V215" s="12"/>
      <c r="W215" s="14"/>
      <c r="X215" s="14"/>
      <c r="Y215" s="13"/>
      <c r="Z215" s="12"/>
      <c r="AA215" s="12"/>
      <c r="AB215" s="12"/>
      <c r="AC215" s="12"/>
      <c r="AD215" s="15"/>
      <c r="AE215" s="12"/>
      <c r="AF215" s="13"/>
      <c r="AG215" s="12"/>
      <c r="AH215" s="12"/>
      <c r="AI215" s="15"/>
      <c r="AJ215" s="12"/>
      <c r="AK215" s="12"/>
      <c r="AL215" s="12"/>
      <c r="AM215" s="12"/>
      <c r="AN215" s="12"/>
      <c r="AO215" s="12"/>
      <c r="AP215" s="12"/>
      <c r="AQ215" s="15"/>
      <c r="AR215" s="12"/>
      <c r="AS215" s="12"/>
      <c r="AT215" s="12"/>
      <c r="AU215" s="12"/>
      <c r="AV215" s="12"/>
      <c r="AW215" s="12"/>
      <c r="AX215" s="13"/>
      <c r="AY215" s="12"/>
      <c r="AZ215" s="12" t="str">
        <f>IF(AND(A215="",B215="",E215="",G215="",I215="",AV215="",AX215=""),"",IF(OR(B215="skip",AV215="skip"),"SKIP",IF(OR(B215="to_candidate",AV215="proposed_name"),IF(OR(A215="",AW215="",AX215="",COUNTIF($A$6:$A$505,A215)&gt;1),"REVIEW","TO_PROPOSED"),IF(OR(B215="",A215="",E215="",G215="",I215="",U215="",AV215="",COUNTIF($A$6:$A$505,A215)&gt;1,(COUNTIFS('أرقام التواصل'!$A$6:$A$505,"client",'أرقام التواصل'!$B$6:$B$505,A215,'أرقام التواصل'!$I$6:$I$505,"TRUE")+COUNTIFS('أرقام التواصل'!$A$6:$A$505,"client",'أرقام التواصل'!$B$6:$B$505,A215,'أرقام التواصل'!$C$6:$C$505,1))=0),"REVIEW","READY"))))</f>
        <v/>
      </c>
      <c r="BA215" s="16" t="str">
        <f>IF(AZ215="","",IF(OR(AZ215="READY",AZ215="TO_PROPOSED"),"",IF(AZ215="SKIP","Skipped by decision",TRIM(IF(B215="","missing import_action; ","")&amp;IF(A215="","missing migration_customer_key; ","")&amp;IF(AND(A215&lt;&gt;"",COUNTIF($A$6:$A$505,A215)&gt;1),"duplicate migration_customer_key; ","")&amp;IF(AND(NOT(OR(B215="to_candidate",AV215="proposed_name")),E215=""),"missing branch_id; ","")&amp;IF(AND(NOT(OR(B215="to_candidate",AV215="proposed_name")),G215=""),"missing first_name; ","")&amp;IF(AND(NOT(OR(B215="to_candidate",AV215="proposed_name")),I215=""),"missing last_name; ","")&amp;IF(AND(NOT(OR(B215="to_candidate",AV215="proposed_name")),U215=""),"missing final_geo_unit_id; ","")&amp;IF(AV215="","missing final_destination; ","")&amp;IF(AND(NOT(OR(B215="to_candidate",AV215="proposed_name")),(COUNTIFS('أرقام التواصل'!$A$6:$A$505,"client",'أرقام التواصل'!$B$6:$B$505,A215,'أرقام التواصل'!$I$6:$I$505,"TRUE")+COUNTIFS('أرقام التواصل'!$A$6:$A$505,"client",'أرقام التواصل'!$B$6:$B$505,A215,'أرقام التواصل'!$C$6:$C$505,1))=0),"missing primary contact in أرقام التواصل; ","")&amp;IF(OR(B215="to_candidate",AV215="proposed_name"),IF(AW215="","missing proposed_move_reason; ","")&amp;IF(AX215="","missing proposed_name_key; ",""),"")))))</f>
        <v/>
      </c>
    </row>
    <row r="216" spans="1:53">
      <c r="A216" s="11"/>
      <c r="B216" s="12"/>
      <c r="C216" s="13"/>
      <c r="D216" s="12"/>
      <c r="E216" s="12"/>
      <c r="F216" s="12"/>
      <c r="G216" s="12"/>
      <c r="H216" s="12"/>
      <c r="I216" s="12"/>
      <c r="J216" s="12"/>
      <c r="K216" s="12" t="str">
        <f t="shared" si="5"/>
        <v/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 t="str">
        <f t="shared" si="6"/>
        <v/>
      </c>
      <c r="V216" s="12"/>
      <c r="W216" s="14"/>
      <c r="X216" s="14"/>
      <c r="Y216" s="13"/>
      <c r="Z216" s="12"/>
      <c r="AA216" s="12"/>
      <c r="AB216" s="12"/>
      <c r="AC216" s="12"/>
      <c r="AD216" s="15"/>
      <c r="AE216" s="12"/>
      <c r="AF216" s="13"/>
      <c r="AG216" s="12"/>
      <c r="AH216" s="12"/>
      <c r="AI216" s="15"/>
      <c r="AJ216" s="12"/>
      <c r="AK216" s="12"/>
      <c r="AL216" s="12"/>
      <c r="AM216" s="12"/>
      <c r="AN216" s="12"/>
      <c r="AO216" s="12"/>
      <c r="AP216" s="12"/>
      <c r="AQ216" s="15"/>
      <c r="AR216" s="12"/>
      <c r="AS216" s="12"/>
      <c r="AT216" s="12"/>
      <c r="AU216" s="12"/>
      <c r="AV216" s="12"/>
      <c r="AW216" s="12"/>
      <c r="AX216" s="13"/>
      <c r="AY216" s="12"/>
      <c r="AZ216" s="12" t="str">
        <f>IF(AND(A216="",B216="",E216="",G216="",I216="",AV216="",AX216=""),"",IF(OR(B216="skip",AV216="skip"),"SKIP",IF(OR(B216="to_candidate",AV216="proposed_name"),IF(OR(A216="",AW216="",AX216="",COUNTIF($A$6:$A$505,A216)&gt;1),"REVIEW","TO_PROPOSED"),IF(OR(B216="",A216="",E216="",G216="",I216="",U216="",AV216="",COUNTIF($A$6:$A$505,A216)&gt;1,(COUNTIFS('أرقام التواصل'!$A$6:$A$505,"client",'أرقام التواصل'!$B$6:$B$505,A216,'أرقام التواصل'!$I$6:$I$505,"TRUE")+COUNTIFS('أرقام التواصل'!$A$6:$A$505,"client",'أرقام التواصل'!$B$6:$B$505,A216,'أرقام التواصل'!$C$6:$C$505,1))=0),"REVIEW","READY"))))</f>
        <v/>
      </c>
      <c r="BA216" s="16" t="str">
        <f>IF(AZ216="","",IF(OR(AZ216="READY",AZ216="TO_PROPOSED"),"",IF(AZ216="SKIP","Skipped by decision",TRIM(IF(B216="","missing import_action; ","")&amp;IF(A216="","missing migration_customer_key; ","")&amp;IF(AND(A216&lt;&gt;"",COUNTIF($A$6:$A$505,A216)&gt;1),"duplicate migration_customer_key; ","")&amp;IF(AND(NOT(OR(B216="to_candidate",AV216="proposed_name")),E216=""),"missing branch_id; ","")&amp;IF(AND(NOT(OR(B216="to_candidate",AV216="proposed_name")),G216=""),"missing first_name; ","")&amp;IF(AND(NOT(OR(B216="to_candidate",AV216="proposed_name")),I216=""),"missing last_name; ","")&amp;IF(AND(NOT(OR(B216="to_candidate",AV216="proposed_name")),U216=""),"missing final_geo_unit_id; ","")&amp;IF(AV216="","missing final_destination; ","")&amp;IF(AND(NOT(OR(B216="to_candidate",AV216="proposed_name")),(COUNTIFS('أرقام التواصل'!$A$6:$A$505,"client",'أرقام التواصل'!$B$6:$B$505,A216,'أرقام التواصل'!$I$6:$I$505,"TRUE")+COUNTIFS('أرقام التواصل'!$A$6:$A$505,"client",'أرقام التواصل'!$B$6:$B$505,A216,'أرقام التواصل'!$C$6:$C$505,1))=0),"missing primary contact in أرقام التواصل; ","")&amp;IF(OR(B216="to_candidate",AV216="proposed_name"),IF(AW216="","missing proposed_move_reason; ","")&amp;IF(AX216="","missing proposed_name_key; ",""),"")))))</f>
        <v/>
      </c>
    </row>
    <row r="217" spans="1:53">
      <c r="A217" s="11"/>
      <c r="B217" s="12"/>
      <c r="C217" s="13"/>
      <c r="D217" s="12"/>
      <c r="E217" s="12"/>
      <c r="F217" s="12"/>
      <c r="G217" s="12"/>
      <c r="H217" s="12"/>
      <c r="I217" s="12"/>
      <c r="J217" s="12"/>
      <c r="K217" s="12" t="str">
        <f t="shared" si="5"/>
        <v/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 t="str">
        <f t="shared" si="6"/>
        <v/>
      </c>
      <c r="V217" s="12"/>
      <c r="W217" s="14"/>
      <c r="X217" s="14"/>
      <c r="Y217" s="13"/>
      <c r="Z217" s="12"/>
      <c r="AA217" s="12"/>
      <c r="AB217" s="12"/>
      <c r="AC217" s="12"/>
      <c r="AD217" s="15"/>
      <c r="AE217" s="12"/>
      <c r="AF217" s="13"/>
      <c r="AG217" s="12"/>
      <c r="AH217" s="12"/>
      <c r="AI217" s="15"/>
      <c r="AJ217" s="12"/>
      <c r="AK217" s="12"/>
      <c r="AL217" s="12"/>
      <c r="AM217" s="12"/>
      <c r="AN217" s="12"/>
      <c r="AO217" s="12"/>
      <c r="AP217" s="12"/>
      <c r="AQ217" s="15"/>
      <c r="AR217" s="12"/>
      <c r="AS217" s="12"/>
      <c r="AT217" s="12"/>
      <c r="AU217" s="12"/>
      <c r="AV217" s="12"/>
      <c r="AW217" s="12"/>
      <c r="AX217" s="13"/>
      <c r="AY217" s="12"/>
      <c r="AZ217" s="12" t="str">
        <f>IF(AND(A217="",B217="",E217="",G217="",I217="",AV217="",AX217=""),"",IF(OR(B217="skip",AV217="skip"),"SKIP",IF(OR(B217="to_candidate",AV217="proposed_name"),IF(OR(A217="",AW217="",AX217="",COUNTIF($A$6:$A$505,A217)&gt;1),"REVIEW","TO_PROPOSED"),IF(OR(B217="",A217="",E217="",G217="",I217="",U217="",AV217="",COUNTIF($A$6:$A$505,A217)&gt;1,(COUNTIFS('أرقام التواصل'!$A$6:$A$505,"client",'أرقام التواصل'!$B$6:$B$505,A217,'أرقام التواصل'!$I$6:$I$505,"TRUE")+COUNTIFS('أرقام التواصل'!$A$6:$A$505,"client",'أرقام التواصل'!$B$6:$B$505,A217,'أرقام التواصل'!$C$6:$C$505,1))=0),"REVIEW","READY"))))</f>
        <v/>
      </c>
      <c r="BA217" s="16" t="str">
        <f>IF(AZ217="","",IF(OR(AZ217="READY",AZ217="TO_PROPOSED"),"",IF(AZ217="SKIP","Skipped by decision",TRIM(IF(B217="","missing import_action; ","")&amp;IF(A217="","missing migration_customer_key; ","")&amp;IF(AND(A217&lt;&gt;"",COUNTIF($A$6:$A$505,A217)&gt;1),"duplicate migration_customer_key; ","")&amp;IF(AND(NOT(OR(B217="to_candidate",AV217="proposed_name")),E217=""),"missing branch_id; ","")&amp;IF(AND(NOT(OR(B217="to_candidate",AV217="proposed_name")),G217=""),"missing first_name; ","")&amp;IF(AND(NOT(OR(B217="to_candidate",AV217="proposed_name")),I217=""),"missing last_name; ","")&amp;IF(AND(NOT(OR(B217="to_candidate",AV217="proposed_name")),U217=""),"missing final_geo_unit_id; ","")&amp;IF(AV217="","missing final_destination; ","")&amp;IF(AND(NOT(OR(B217="to_candidate",AV217="proposed_name")),(COUNTIFS('أرقام التواصل'!$A$6:$A$505,"client",'أرقام التواصل'!$B$6:$B$505,A217,'أرقام التواصل'!$I$6:$I$505,"TRUE")+COUNTIFS('أرقام التواصل'!$A$6:$A$505,"client",'أرقام التواصل'!$B$6:$B$505,A217,'أرقام التواصل'!$C$6:$C$505,1))=0),"missing primary contact in أرقام التواصل; ","")&amp;IF(OR(B217="to_candidate",AV217="proposed_name"),IF(AW217="","missing proposed_move_reason; ","")&amp;IF(AX217="","missing proposed_name_key; ",""),"")))))</f>
        <v/>
      </c>
    </row>
    <row r="218" spans="1:53">
      <c r="A218" s="11"/>
      <c r="B218" s="12"/>
      <c r="C218" s="13"/>
      <c r="D218" s="12"/>
      <c r="E218" s="12"/>
      <c r="F218" s="12"/>
      <c r="G218" s="12"/>
      <c r="H218" s="12"/>
      <c r="I218" s="12"/>
      <c r="J218" s="12"/>
      <c r="K218" s="12" t="str">
        <f t="shared" si="5"/>
        <v/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 t="str">
        <f t="shared" si="6"/>
        <v/>
      </c>
      <c r="V218" s="12"/>
      <c r="W218" s="14"/>
      <c r="X218" s="14"/>
      <c r="Y218" s="13"/>
      <c r="Z218" s="12"/>
      <c r="AA218" s="12"/>
      <c r="AB218" s="12"/>
      <c r="AC218" s="12"/>
      <c r="AD218" s="15"/>
      <c r="AE218" s="12"/>
      <c r="AF218" s="13"/>
      <c r="AG218" s="12"/>
      <c r="AH218" s="12"/>
      <c r="AI218" s="15"/>
      <c r="AJ218" s="12"/>
      <c r="AK218" s="12"/>
      <c r="AL218" s="12"/>
      <c r="AM218" s="12"/>
      <c r="AN218" s="12"/>
      <c r="AO218" s="12"/>
      <c r="AP218" s="12"/>
      <c r="AQ218" s="15"/>
      <c r="AR218" s="12"/>
      <c r="AS218" s="12"/>
      <c r="AT218" s="12"/>
      <c r="AU218" s="12"/>
      <c r="AV218" s="12"/>
      <c r="AW218" s="12"/>
      <c r="AX218" s="13"/>
      <c r="AY218" s="12"/>
      <c r="AZ218" s="12" t="str">
        <f>IF(AND(A218="",B218="",E218="",G218="",I218="",AV218="",AX218=""),"",IF(OR(B218="skip",AV218="skip"),"SKIP",IF(OR(B218="to_candidate",AV218="proposed_name"),IF(OR(A218="",AW218="",AX218="",COUNTIF($A$6:$A$505,A218)&gt;1),"REVIEW","TO_PROPOSED"),IF(OR(B218="",A218="",E218="",G218="",I218="",U218="",AV218="",COUNTIF($A$6:$A$505,A218)&gt;1,(COUNTIFS('أرقام التواصل'!$A$6:$A$505,"client",'أرقام التواصل'!$B$6:$B$505,A218,'أرقام التواصل'!$I$6:$I$505,"TRUE")+COUNTIFS('أرقام التواصل'!$A$6:$A$505,"client",'أرقام التواصل'!$B$6:$B$505,A218,'أرقام التواصل'!$C$6:$C$505,1))=0),"REVIEW","READY"))))</f>
        <v/>
      </c>
      <c r="BA218" s="16" t="str">
        <f>IF(AZ218="","",IF(OR(AZ218="READY",AZ218="TO_PROPOSED"),"",IF(AZ218="SKIP","Skipped by decision",TRIM(IF(B218="","missing import_action; ","")&amp;IF(A218="","missing migration_customer_key; ","")&amp;IF(AND(A218&lt;&gt;"",COUNTIF($A$6:$A$505,A218)&gt;1),"duplicate migration_customer_key; ","")&amp;IF(AND(NOT(OR(B218="to_candidate",AV218="proposed_name")),E218=""),"missing branch_id; ","")&amp;IF(AND(NOT(OR(B218="to_candidate",AV218="proposed_name")),G218=""),"missing first_name; ","")&amp;IF(AND(NOT(OR(B218="to_candidate",AV218="proposed_name")),I218=""),"missing last_name; ","")&amp;IF(AND(NOT(OR(B218="to_candidate",AV218="proposed_name")),U218=""),"missing final_geo_unit_id; ","")&amp;IF(AV218="","missing final_destination; ","")&amp;IF(AND(NOT(OR(B218="to_candidate",AV218="proposed_name")),(COUNTIFS('أرقام التواصل'!$A$6:$A$505,"client",'أرقام التواصل'!$B$6:$B$505,A218,'أرقام التواصل'!$I$6:$I$505,"TRUE")+COUNTIFS('أرقام التواصل'!$A$6:$A$505,"client",'أرقام التواصل'!$B$6:$B$505,A218,'أرقام التواصل'!$C$6:$C$505,1))=0),"missing primary contact in أرقام التواصل; ","")&amp;IF(OR(B218="to_candidate",AV218="proposed_name"),IF(AW218="","missing proposed_move_reason; ","")&amp;IF(AX218="","missing proposed_name_key; ",""),"")))))</f>
        <v/>
      </c>
    </row>
    <row r="219" spans="1:53">
      <c r="A219" s="11"/>
      <c r="B219" s="12"/>
      <c r="C219" s="13"/>
      <c r="D219" s="12"/>
      <c r="E219" s="12"/>
      <c r="F219" s="12"/>
      <c r="G219" s="12"/>
      <c r="H219" s="12"/>
      <c r="I219" s="12"/>
      <c r="J219" s="12"/>
      <c r="K219" s="12" t="str">
        <f t="shared" si="5"/>
        <v/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 t="str">
        <f t="shared" si="6"/>
        <v/>
      </c>
      <c r="V219" s="12"/>
      <c r="W219" s="14"/>
      <c r="X219" s="14"/>
      <c r="Y219" s="13"/>
      <c r="Z219" s="12"/>
      <c r="AA219" s="12"/>
      <c r="AB219" s="12"/>
      <c r="AC219" s="12"/>
      <c r="AD219" s="15"/>
      <c r="AE219" s="12"/>
      <c r="AF219" s="13"/>
      <c r="AG219" s="12"/>
      <c r="AH219" s="12"/>
      <c r="AI219" s="15"/>
      <c r="AJ219" s="12"/>
      <c r="AK219" s="12"/>
      <c r="AL219" s="12"/>
      <c r="AM219" s="12"/>
      <c r="AN219" s="12"/>
      <c r="AO219" s="12"/>
      <c r="AP219" s="12"/>
      <c r="AQ219" s="15"/>
      <c r="AR219" s="12"/>
      <c r="AS219" s="12"/>
      <c r="AT219" s="12"/>
      <c r="AU219" s="12"/>
      <c r="AV219" s="12"/>
      <c r="AW219" s="12"/>
      <c r="AX219" s="13"/>
      <c r="AY219" s="12"/>
      <c r="AZ219" s="12" t="str">
        <f>IF(AND(A219="",B219="",E219="",G219="",I219="",AV219="",AX219=""),"",IF(OR(B219="skip",AV219="skip"),"SKIP",IF(OR(B219="to_candidate",AV219="proposed_name"),IF(OR(A219="",AW219="",AX219="",COUNTIF($A$6:$A$505,A219)&gt;1),"REVIEW","TO_PROPOSED"),IF(OR(B219="",A219="",E219="",G219="",I219="",U219="",AV219="",COUNTIF($A$6:$A$505,A219)&gt;1,(COUNTIFS('أرقام التواصل'!$A$6:$A$505,"client",'أرقام التواصل'!$B$6:$B$505,A219,'أرقام التواصل'!$I$6:$I$505,"TRUE")+COUNTIFS('أرقام التواصل'!$A$6:$A$505,"client",'أرقام التواصل'!$B$6:$B$505,A219,'أرقام التواصل'!$C$6:$C$505,1))=0),"REVIEW","READY"))))</f>
        <v/>
      </c>
      <c r="BA219" s="16" t="str">
        <f>IF(AZ219="","",IF(OR(AZ219="READY",AZ219="TO_PROPOSED"),"",IF(AZ219="SKIP","Skipped by decision",TRIM(IF(B219="","missing import_action; ","")&amp;IF(A219="","missing migration_customer_key; ","")&amp;IF(AND(A219&lt;&gt;"",COUNTIF($A$6:$A$505,A219)&gt;1),"duplicate migration_customer_key; ","")&amp;IF(AND(NOT(OR(B219="to_candidate",AV219="proposed_name")),E219=""),"missing branch_id; ","")&amp;IF(AND(NOT(OR(B219="to_candidate",AV219="proposed_name")),G219=""),"missing first_name; ","")&amp;IF(AND(NOT(OR(B219="to_candidate",AV219="proposed_name")),I219=""),"missing last_name; ","")&amp;IF(AND(NOT(OR(B219="to_candidate",AV219="proposed_name")),U219=""),"missing final_geo_unit_id; ","")&amp;IF(AV219="","missing final_destination; ","")&amp;IF(AND(NOT(OR(B219="to_candidate",AV219="proposed_name")),(COUNTIFS('أرقام التواصل'!$A$6:$A$505,"client",'أرقام التواصل'!$B$6:$B$505,A219,'أرقام التواصل'!$I$6:$I$505,"TRUE")+COUNTIFS('أرقام التواصل'!$A$6:$A$505,"client",'أرقام التواصل'!$B$6:$B$505,A219,'أرقام التواصل'!$C$6:$C$505,1))=0),"missing primary contact in أرقام التواصل; ","")&amp;IF(OR(B219="to_candidate",AV219="proposed_name"),IF(AW219="","missing proposed_move_reason; ","")&amp;IF(AX219="","missing proposed_name_key; ",""),"")))))</f>
        <v/>
      </c>
    </row>
    <row r="220" spans="1:53">
      <c r="A220" s="11"/>
      <c r="B220" s="12"/>
      <c r="C220" s="13"/>
      <c r="D220" s="12"/>
      <c r="E220" s="12"/>
      <c r="F220" s="12"/>
      <c r="G220" s="12"/>
      <c r="H220" s="12"/>
      <c r="I220" s="12"/>
      <c r="J220" s="12"/>
      <c r="K220" s="12" t="str">
        <f t="shared" si="5"/>
        <v/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 t="str">
        <f t="shared" si="6"/>
        <v/>
      </c>
      <c r="V220" s="12"/>
      <c r="W220" s="14"/>
      <c r="X220" s="14"/>
      <c r="Y220" s="13"/>
      <c r="Z220" s="12"/>
      <c r="AA220" s="12"/>
      <c r="AB220" s="12"/>
      <c r="AC220" s="12"/>
      <c r="AD220" s="15"/>
      <c r="AE220" s="12"/>
      <c r="AF220" s="13"/>
      <c r="AG220" s="12"/>
      <c r="AH220" s="12"/>
      <c r="AI220" s="15"/>
      <c r="AJ220" s="12"/>
      <c r="AK220" s="12"/>
      <c r="AL220" s="12"/>
      <c r="AM220" s="12"/>
      <c r="AN220" s="12"/>
      <c r="AO220" s="12"/>
      <c r="AP220" s="12"/>
      <c r="AQ220" s="15"/>
      <c r="AR220" s="12"/>
      <c r="AS220" s="12"/>
      <c r="AT220" s="12"/>
      <c r="AU220" s="12"/>
      <c r="AV220" s="12"/>
      <c r="AW220" s="12"/>
      <c r="AX220" s="13"/>
      <c r="AY220" s="12"/>
      <c r="AZ220" s="12" t="str">
        <f>IF(AND(A220="",B220="",E220="",G220="",I220="",AV220="",AX220=""),"",IF(OR(B220="skip",AV220="skip"),"SKIP",IF(OR(B220="to_candidate",AV220="proposed_name"),IF(OR(A220="",AW220="",AX220="",COUNTIF($A$6:$A$505,A220)&gt;1),"REVIEW","TO_PROPOSED"),IF(OR(B220="",A220="",E220="",G220="",I220="",U220="",AV220="",COUNTIF($A$6:$A$505,A220)&gt;1,(COUNTIFS('أرقام التواصل'!$A$6:$A$505,"client",'أرقام التواصل'!$B$6:$B$505,A220,'أرقام التواصل'!$I$6:$I$505,"TRUE")+COUNTIFS('أرقام التواصل'!$A$6:$A$505,"client",'أرقام التواصل'!$B$6:$B$505,A220,'أرقام التواصل'!$C$6:$C$505,1))=0),"REVIEW","READY"))))</f>
        <v/>
      </c>
      <c r="BA220" s="16" t="str">
        <f>IF(AZ220="","",IF(OR(AZ220="READY",AZ220="TO_PROPOSED"),"",IF(AZ220="SKIP","Skipped by decision",TRIM(IF(B220="","missing import_action; ","")&amp;IF(A220="","missing migration_customer_key; ","")&amp;IF(AND(A220&lt;&gt;"",COUNTIF($A$6:$A$505,A220)&gt;1),"duplicate migration_customer_key; ","")&amp;IF(AND(NOT(OR(B220="to_candidate",AV220="proposed_name")),E220=""),"missing branch_id; ","")&amp;IF(AND(NOT(OR(B220="to_candidate",AV220="proposed_name")),G220=""),"missing first_name; ","")&amp;IF(AND(NOT(OR(B220="to_candidate",AV220="proposed_name")),I220=""),"missing last_name; ","")&amp;IF(AND(NOT(OR(B220="to_candidate",AV220="proposed_name")),U220=""),"missing final_geo_unit_id; ","")&amp;IF(AV220="","missing final_destination; ","")&amp;IF(AND(NOT(OR(B220="to_candidate",AV220="proposed_name")),(COUNTIFS('أرقام التواصل'!$A$6:$A$505,"client",'أرقام التواصل'!$B$6:$B$505,A220,'أرقام التواصل'!$I$6:$I$505,"TRUE")+COUNTIFS('أرقام التواصل'!$A$6:$A$505,"client",'أرقام التواصل'!$B$6:$B$505,A220,'أرقام التواصل'!$C$6:$C$505,1))=0),"missing primary contact in أرقام التواصل; ","")&amp;IF(OR(B220="to_candidate",AV220="proposed_name"),IF(AW220="","missing proposed_move_reason; ","")&amp;IF(AX220="","missing proposed_name_key; ",""),"")))))</f>
        <v/>
      </c>
    </row>
    <row r="221" spans="1:53">
      <c r="A221" s="11"/>
      <c r="B221" s="12"/>
      <c r="C221" s="13"/>
      <c r="D221" s="12"/>
      <c r="E221" s="12"/>
      <c r="F221" s="12"/>
      <c r="G221" s="12"/>
      <c r="H221" s="12"/>
      <c r="I221" s="12"/>
      <c r="J221" s="12"/>
      <c r="K221" s="12" t="str">
        <f t="shared" si="5"/>
        <v/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 t="str">
        <f t="shared" si="6"/>
        <v/>
      </c>
      <c r="V221" s="12"/>
      <c r="W221" s="14"/>
      <c r="X221" s="14"/>
      <c r="Y221" s="13"/>
      <c r="Z221" s="12"/>
      <c r="AA221" s="12"/>
      <c r="AB221" s="12"/>
      <c r="AC221" s="12"/>
      <c r="AD221" s="15"/>
      <c r="AE221" s="12"/>
      <c r="AF221" s="13"/>
      <c r="AG221" s="12"/>
      <c r="AH221" s="12"/>
      <c r="AI221" s="15"/>
      <c r="AJ221" s="12"/>
      <c r="AK221" s="12"/>
      <c r="AL221" s="12"/>
      <c r="AM221" s="12"/>
      <c r="AN221" s="12"/>
      <c r="AO221" s="12"/>
      <c r="AP221" s="12"/>
      <c r="AQ221" s="15"/>
      <c r="AR221" s="12"/>
      <c r="AS221" s="12"/>
      <c r="AT221" s="12"/>
      <c r="AU221" s="12"/>
      <c r="AV221" s="12"/>
      <c r="AW221" s="12"/>
      <c r="AX221" s="13"/>
      <c r="AY221" s="12"/>
      <c r="AZ221" s="12" t="str">
        <f>IF(AND(A221="",B221="",E221="",G221="",I221="",AV221="",AX221=""),"",IF(OR(B221="skip",AV221="skip"),"SKIP",IF(OR(B221="to_candidate",AV221="proposed_name"),IF(OR(A221="",AW221="",AX221="",COUNTIF($A$6:$A$505,A221)&gt;1),"REVIEW","TO_PROPOSED"),IF(OR(B221="",A221="",E221="",G221="",I221="",U221="",AV221="",COUNTIF($A$6:$A$505,A221)&gt;1,(COUNTIFS('أرقام التواصل'!$A$6:$A$505,"client",'أرقام التواصل'!$B$6:$B$505,A221,'أرقام التواصل'!$I$6:$I$505,"TRUE")+COUNTIFS('أرقام التواصل'!$A$6:$A$505,"client",'أرقام التواصل'!$B$6:$B$505,A221,'أرقام التواصل'!$C$6:$C$505,1))=0),"REVIEW","READY"))))</f>
        <v/>
      </c>
      <c r="BA221" s="16" t="str">
        <f>IF(AZ221="","",IF(OR(AZ221="READY",AZ221="TO_PROPOSED"),"",IF(AZ221="SKIP","Skipped by decision",TRIM(IF(B221="","missing import_action; ","")&amp;IF(A221="","missing migration_customer_key; ","")&amp;IF(AND(A221&lt;&gt;"",COUNTIF($A$6:$A$505,A221)&gt;1),"duplicate migration_customer_key; ","")&amp;IF(AND(NOT(OR(B221="to_candidate",AV221="proposed_name")),E221=""),"missing branch_id; ","")&amp;IF(AND(NOT(OR(B221="to_candidate",AV221="proposed_name")),G221=""),"missing first_name; ","")&amp;IF(AND(NOT(OR(B221="to_candidate",AV221="proposed_name")),I221=""),"missing last_name; ","")&amp;IF(AND(NOT(OR(B221="to_candidate",AV221="proposed_name")),U221=""),"missing final_geo_unit_id; ","")&amp;IF(AV221="","missing final_destination; ","")&amp;IF(AND(NOT(OR(B221="to_candidate",AV221="proposed_name")),(COUNTIFS('أرقام التواصل'!$A$6:$A$505,"client",'أرقام التواصل'!$B$6:$B$505,A221,'أرقام التواصل'!$I$6:$I$505,"TRUE")+COUNTIFS('أرقام التواصل'!$A$6:$A$505,"client",'أرقام التواصل'!$B$6:$B$505,A221,'أرقام التواصل'!$C$6:$C$505,1))=0),"missing primary contact in أرقام التواصل; ","")&amp;IF(OR(B221="to_candidate",AV221="proposed_name"),IF(AW221="","missing proposed_move_reason; ","")&amp;IF(AX221="","missing proposed_name_key; ",""),"")))))</f>
        <v/>
      </c>
    </row>
    <row r="222" spans="1:53">
      <c r="A222" s="11"/>
      <c r="B222" s="12"/>
      <c r="C222" s="13"/>
      <c r="D222" s="12"/>
      <c r="E222" s="12"/>
      <c r="F222" s="12"/>
      <c r="G222" s="12"/>
      <c r="H222" s="12"/>
      <c r="I222" s="12"/>
      <c r="J222" s="12"/>
      <c r="K222" s="12" t="str">
        <f t="shared" si="5"/>
        <v/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 t="str">
        <f t="shared" si="6"/>
        <v/>
      </c>
      <c r="V222" s="12"/>
      <c r="W222" s="14"/>
      <c r="X222" s="14"/>
      <c r="Y222" s="13"/>
      <c r="Z222" s="12"/>
      <c r="AA222" s="12"/>
      <c r="AB222" s="12"/>
      <c r="AC222" s="12"/>
      <c r="AD222" s="15"/>
      <c r="AE222" s="12"/>
      <c r="AF222" s="13"/>
      <c r="AG222" s="12"/>
      <c r="AH222" s="12"/>
      <c r="AI222" s="15"/>
      <c r="AJ222" s="12"/>
      <c r="AK222" s="12"/>
      <c r="AL222" s="12"/>
      <c r="AM222" s="12"/>
      <c r="AN222" s="12"/>
      <c r="AO222" s="12"/>
      <c r="AP222" s="12"/>
      <c r="AQ222" s="15"/>
      <c r="AR222" s="12"/>
      <c r="AS222" s="12"/>
      <c r="AT222" s="12"/>
      <c r="AU222" s="12"/>
      <c r="AV222" s="12"/>
      <c r="AW222" s="12"/>
      <c r="AX222" s="13"/>
      <c r="AY222" s="12"/>
      <c r="AZ222" s="12" t="str">
        <f>IF(AND(A222="",B222="",E222="",G222="",I222="",AV222="",AX222=""),"",IF(OR(B222="skip",AV222="skip"),"SKIP",IF(OR(B222="to_candidate",AV222="proposed_name"),IF(OR(A222="",AW222="",AX222="",COUNTIF($A$6:$A$505,A222)&gt;1),"REVIEW","TO_PROPOSED"),IF(OR(B222="",A222="",E222="",G222="",I222="",U222="",AV222="",COUNTIF($A$6:$A$505,A222)&gt;1,(COUNTIFS('أرقام التواصل'!$A$6:$A$505,"client",'أرقام التواصل'!$B$6:$B$505,A222,'أرقام التواصل'!$I$6:$I$505,"TRUE")+COUNTIFS('أرقام التواصل'!$A$6:$A$505,"client",'أرقام التواصل'!$B$6:$B$505,A222,'أرقام التواصل'!$C$6:$C$505,1))=0),"REVIEW","READY"))))</f>
        <v/>
      </c>
      <c r="BA222" s="16" t="str">
        <f>IF(AZ222="","",IF(OR(AZ222="READY",AZ222="TO_PROPOSED"),"",IF(AZ222="SKIP","Skipped by decision",TRIM(IF(B222="","missing import_action; ","")&amp;IF(A222="","missing migration_customer_key; ","")&amp;IF(AND(A222&lt;&gt;"",COUNTIF($A$6:$A$505,A222)&gt;1),"duplicate migration_customer_key; ","")&amp;IF(AND(NOT(OR(B222="to_candidate",AV222="proposed_name")),E222=""),"missing branch_id; ","")&amp;IF(AND(NOT(OR(B222="to_candidate",AV222="proposed_name")),G222=""),"missing first_name; ","")&amp;IF(AND(NOT(OR(B222="to_candidate",AV222="proposed_name")),I222=""),"missing last_name; ","")&amp;IF(AND(NOT(OR(B222="to_candidate",AV222="proposed_name")),U222=""),"missing final_geo_unit_id; ","")&amp;IF(AV222="","missing final_destination; ","")&amp;IF(AND(NOT(OR(B222="to_candidate",AV222="proposed_name")),(COUNTIFS('أرقام التواصل'!$A$6:$A$505,"client",'أرقام التواصل'!$B$6:$B$505,A222,'أرقام التواصل'!$I$6:$I$505,"TRUE")+COUNTIFS('أرقام التواصل'!$A$6:$A$505,"client",'أرقام التواصل'!$B$6:$B$505,A222,'أرقام التواصل'!$C$6:$C$505,1))=0),"missing primary contact in أرقام التواصل; ","")&amp;IF(OR(B222="to_candidate",AV222="proposed_name"),IF(AW222="","missing proposed_move_reason; ","")&amp;IF(AX222="","missing proposed_name_key; ",""),"")))))</f>
        <v/>
      </c>
    </row>
    <row r="223" spans="1:53">
      <c r="A223" s="11"/>
      <c r="B223" s="12"/>
      <c r="C223" s="13"/>
      <c r="D223" s="12"/>
      <c r="E223" s="12"/>
      <c r="F223" s="12"/>
      <c r="G223" s="12"/>
      <c r="H223" s="12"/>
      <c r="I223" s="12"/>
      <c r="J223" s="12"/>
      <c r="K223" s="12" t="str">
        <f t="shared" si="5"/>
        <v/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 t="str">
        <f t="shared" si="6"/>
        <v/>
      </c>
      <c r="V223" s="12"/>
      <c r="W223" s="14"/>
      <c r="X223" s="14"/>
      <c r="Y223" s="13"/>
      <c r="Z223" s="12"/>
      <c r="AA223" s="12"/>
      <c r="AB223" s="12"/>
      <c r="AC223" s="12"/>
      <c r="AD223" s="15"/>
      <c r="AE223" s="12"/>
      <c r="AF223" s="13"/>
      <c r="AG223" s="12"/>
      <c r="AH223" s="12"/>
      <c r="AI223" s="15"/>
      <c r="AJ223" s="12"/>
      <c r="AK223" s="12"/>
      <c r="AL223" s="12"/>
      <c r="AM223" s="12"/>
      <c r="AN223" s="12"/>
      <c r="AO223" s="12"/>
      <c r="AP223" s="12"/>
      <c r="AQ223" s="15"/>
      <c r="AR223" s="12"/>
      <c r="AS223" s="12"/>
      <c r="AT223" s="12"/>
      <c r="AU223" s="12"/>
      <c r="AV223" s="12"/>
      <c r="AW223" s="12"/>
      <c r="AX223" s="13"/>
      <c r="AY223" s="12"/>
      <c r="AZ223" s="12" t="str">
        <f>IF(AND(A223="",B223="",E223="",G223="",I223="",AV223="",AX223=""),"",IF(OR(B223="skip",AV223="skip"),"SKIP",IF(OR(B223="to_candidate",AV223="proposed_name"),IF(OR(A223="",AW223="",AX223="",COUNTIF($A$6:$A$505,A223)&gt;1),"REVIEW","TO_PROPOSED"),IF(OR(B223="",A223="",E223="",G223="",I223="",U223="",AV223="",COUNTIF($A$6:$A$505,A223)&gt;1,(COUNTIFS('أرقام التواصل'!$A$6:$A$505,"client",'أرقام التواصل'!$B$6:$B$505,A223,'أرقام التواصل'!$I$6:$I$505,"TRUE")+COUNTIFS('أرقام التواصل'!$A$6:$A$505,"client",'أرقام التواصل'!$B$6:$B$505,A223,'أرقام التواصل'!$C$6:$C$505,1))=0),"REVIEW","READY"))))</f>
        <v/>
      </c>
      <c r="BA223" s="16" t="str">
        <f>IF(AZ223="","",IF(OR(AZ223="READY",AZ223="TO_PROPOSED"),"",IF(AZ223="SKIP","Skipped by decision",TRIM(IF(B223="","missing import_action; ","")&amp;IF(A223="","missing migration_customer_key; ","")&amp;IF(AND(A223&lt;&gt;"",COUNTIF($A$6:$A$505,A223)&gt;1),"duplicate migration_customer_key; ","")&amp;IF(AND(NOT(OR(B223="to_candidate",AV223="proposed_name")),E223=""),"missing branch_id; ","")&amp;IF(AND(NOT(OR(B223="to_candidate",AV223="proposed_name")),G223=""),"missing first_name; ","")&amp;IF(AND(NOT(OR(B223="to_candidate",AV223="proposed_name")),I223=""),"missing last_name; ","")&amp;IF(AND(NOT(OR(B223="to_candidate",AV223="proposed_name")),U223=""),"missing final_geo_unit_id; ","")&amp;IF(AV223="","missing final_destination; ","")&amp;IF(AND(NOT(OR(B223="to_candidate",AV223="proposed_name")),(COUNTIFS('أرقام التواصل'!$A$6:$A$505,"client",'أرقام التواصل'!$B$6:$B$505,A223,'أرقام التواصل'!$I$6:$I$505,"TRUE")+COUNTIFS('أرقام التواصل'!$A$6:$A$505,"client",'أرقام التواصل'!$B$6:$B$505,A223,'أرقام التواصل'!$C$6:$C$505,1))=0),"missing primary contact in أرقام التواصل; ","")&amp;IF(OR(B223="to_candidate",AV223="proposed_name"),IF(AW223="","missing proposed_move_reason; ","")&amp;IF(AX223="","missing proposed_name_key; ",""),"")))))</f>
        <v/>
      </c>
    </row>
    <row r="224" spans="1:53">
      <c r="A224" s="11"/>
      <c r="B224" s="12"/>
      <c r="C224" s="13"/>
      <c r="D224" s="12"/>
      <c r="E224" s="12"/>
      <c r="F224" s="12"/>
      <c r="G224" s="12"/>
      <c r="H224" s="12"/>
      <c r="I224" s="12"/>
      <c r="J224" s="12"/>
      <c r="K224" s="12" t="str">
        <f t="shared" si="5"/>
        <v/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 t="str">
        <f t="shared" si="6"/>
        <v/>
      </c>
      <c r="V224" s="12"/>
      <c r="W224" s="14"/>
      <c r="X224" s="14"/>
      <c r="Y224" s="13"/>
      <c r="Z224" s="12"/>
      <c r="AA224" s="12"/>
      <c r="AB224" s="12"/>
      <c r="AC224" s="12"/>
      <c r="AD224" s="15"/>
      <c r="AE224" s="12"/>
      <c r="AF224" s="13"/>
      <c r="AG224" s="12"/>
      <c r="AH224" s="12"/>
      <c r="AI224" s="15"/>
      <c r="AJ224" s="12"/>
      <c r="AK224" s="12"/>
      <c r="AL224" s="12"/>
      <c r="AM224" s="12"/>
      <c r="AN224" s="12"/>
      <c r="AO224" s="12"/>
      <c r="AP224" s="12"/>
      <c r="AQ224" s="15"/>
      <c r="AR224" s="12"/>
      <c r="AS224" s="12"/>
      <c r="AT224" s="12"/>
      <c r="AU224" s="12"/>
      <c r="AV224" s="12"/>
      <c r="AW224" s="12"/>
      <c r="AX224" s="13"/>
      <c r="AY224" s="12"/>
      <c r="AZ224" s="12" t="str">
        <f>IF(AND(A224="",B224="",E224="",G224="",I224="",AV224="",AX224=""),"",IF(OR(B224="skip",AV224="skip"),"SKIP",IF(OR(B224="to_candidate",AV224="proposed_name"),IF(OR(A224="",AW224="",AX224="",COUNTIF($A$6:$A$505,A224)&gt;1),"REVIEW","TO_PROPOSED"),IF(OR(B224="",A224="",E224="",G224="",I224="",U224="",AV224="",COUNTIF($A$6:$A$505,A224)&gt;1,(COUNTIFS('أرقام التواصل'!$A$6:$A$505,"client",'أرقام التواصل'!$B$6:$B$505,A224,'أرقام التواصل'!$I$6:$I$505,"TRUE")+COUNTIFS('أرقام التواصل'!$A$6:$A$505,"client",'أرقام التواصل'!$B$6:$B$505,A224,'أرقام التواصل'!$C$6:$C$505,1))=0),"REVIEW","READY"))))</f>
        <v/>
      </c>
      <c r="BA224" s="16" t="str">
        <f>IF(AZ224="","",IF(OR(AZ224="READY",AZ224="TO_PROPOSED"),"",IF(AZ224="SKIP","Skipped by decision",TRIM(IF(B224="","missing import_action; ","")&amp;IF(A224="","missing migration_customer_key; ","")&amp;IF(AND(A224&lt;&gt;"",COUNTIF($A$6:$A$505,A224)&gt;1),"duplicate migration_customer_key; ","")&amp;IF(AND(NOT(OR(B224="to_candidate",AV224="proposed_name")),E224=""),"missing branch_id; ","")&amp;IF(AND(NOT(OR(B224="to_candidate",AV224="proposed_name")),G224=""),"missing first_name; ","")&amp;IF(AND(NOT(OR(B224="to_candidate",AV224="proposed_name")),I224=""),"missing last_name; ","")&amp;IF(AND(NOT(OR(B224="to_candidate",AV224="proposed_name")),U224=""),"missing final_geo_unit_id; ","")&amp;IF(AV224="","missing final_destination; ","")&amp;IF(AND(NOT(OR(B224="to_candidate",AV224="proposed_name")),(COUNTIFS('أرقام التواصل'!$A$6:$A$505,"client",'أرقام التواصل'!$B$6:$B$505,A224,'أرقام التواصل'!$I$6:$I$505,"TRUE")+COUNTIFS('أرقام التواصل'!$A$6:$A$505,"client",'أرقام التواصل'!$B$6:$B$505,A224,'أرقام التواصل'!$C$6:$C$505,1))=0),"missing primary contact in أرقام التواصل; ","")&amp;IF(OR(B224="to_candidate",AV224="proposed_name"),IF(AW224="","missing proposed_move_reason; ","")&amp;IF(AX224="","missing proposed_name_key; ",""),"")))))</f>
        <v/>
      </c>
    </row>
    <row r="225" spans="1:53">
      <c r="A225" s="11"/>
      <c r="B225" s="12"/>
      <c r="C225" s="13"/>
      <c r="D225" s="12"/>
      <c r="E225" s="12"/>
      <c r="F225" s="12"/>
      <c r="G225" s="12"/>
      <c r="H225" s="12"/>
      <c r="I225" s="12"/>
      <c r="J225" s="12"/>
      <c r="K225" s="12" t="str">
        <f t="shared" si="5"/>
        <v/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 t="str">
        <f t="shared" si="6"/>
        <v/>
      </c>
      <c r="V225" s="12"/>
      <c r="W225" s="14"/>
      <c r="X225" s="14"/>
      <c r="Y225" s="13"/>
      <c r="Z225" s="12"/>
      <c r="AA225" s="12"/>
      <c r="AB225" s="12"/>
      <c r="AC225" s="12"/>
      <c r="AD225" s="15"/>
      <c r="AE225" s="12"/>
      <c r="AF225" s="13"/>
      <c r="AG225" s="12"/>
      <c r="AH225" s="12"/>
      <c r="AI225" s="15"/>
      <c r="AJ225" s="12"/>
      <c r="AK225" s="12"/>
      <c r="AL225" s="12"/>
      <c r="AM225" s="12"/>
      <c r="AN225" s="12"/>
      <c r="AO225" s="12"/>
      <c r="AP225" s="12"/>
      <c r="AQ225" s="15"/>
      <c r="AR225" s="12"/>
      <c r="AS225" s="12"/>
      <c r="AT225" s="12"/>
      <c r="AU225" s="12"/>
      <c r="AV225" s="12"/>
      <c r="AW225" s="12"/>
      <c r="AX225" s="13"/>
      <c r="AY225" s="12"/>
      <c r="AZ225" s="12" t="str">
        <f>IF(AND(A225="",B225="",E225="",G225="",I225="",AV225="",AX225=""),"",IF(OR(B225="skip",AV225="skip"),"SKIP",IF(OR(B225="to_candidate",AV225="proposed_name"),IF(OR(A225="",AW225="",AX225="",COUNTIF($A$6:$A$505,A225)&gt;1),"REVIEW","TO_PROPOSED"),IF(OR(B225="",A225="",E225="",G225="",I225="",U225="",AV225="",COUNTIF($A$6:$A$505,A225)&gt;1,(COUNTIFS('أرقام التواصل'!$A$6:$A$505,"client",'أرقام التواصل'!$B$6:$B$505,A225,'أرقام التواصل'!$I$6:$I$505,"TRUE")+COUNTIFS('أرقام التواصل'!$A$6:$A$505,"client",'أرقام التواصل'!$B$6:$B$505,A225,'أرقام التواصل'!$C$6:$C$505,1))=0),"REVIEW","READY"))))</f>
        <v/>
      </c>
      <c r="BA225" s="16" t="str">
        <f>IF(AZ225="","",IF(OR(AZ225="READY",AZ225="TO_PROPOSED"),"",IF(AZ225="SKIP","Skipped by decision",TRIM(IF(B225="","missing import_action; ","")&amp;IF(A225="","missing migration_customer_key; ","")&amp;IF(AND(A225&lt;&gt;"",COUNTIF($A$6:$A$505,A225)&gt;1),"duplicate migration_customer_key; ","")&amp;IF(AND(NOT(OR(B225="to_candidate",AV225="proposed_name")),E225=""),"missing branch_id; ","")&amp;IF(AND(NOT(OR(B225="to_candidate",AV225="proposed_name")),G225=""),"missing first_name; ","")&amp;IF(AND(NOT(OR(B225="to_candidate",AV225="proposed_name")),I225=""),"missing last_name; ","")&amp;IF(AND(NOT(OR(B225="to_candidate",AV225="proposed_name")),U225=""),"missing final_geo_unit_id; ","")&amp;IF(AV225="","missing final_destination; ","")&amp;IF(AND(NOT(OR(B225="to_candidate",AV225="proposed_name")),(COUNTIFS('أرقام التواصل'!$A$6:$A$505,"client",'أرقام التواصل'!$B$6:$B$505,A225,'أرقام التواصل'!$I$6:$I$505,"TRUE")+COUNTIFS('أرقام التواصل'!$A$6:$A$505,"client",'أرقام التواصل'!$B$6:$B$505,A225,'أرقام التواصل'!$C$6:$C$505,1))=0),"missing primary contact in أرقام التواصل; ","")&amp;IF(OR(B225="to_candidate",AV225="proposed_name"),IF(AW225="","missing proposed_move_reason; ","")&amp;IF(AX225="","missing proposed_name_key; ",""),"")))))</f>
        <v/>
      </c>
    </row>
    <row r="226" spans="1:53">
      <c r="A226" s="11"/>
      <c r="B226" s="12"/>
      <c r="C226" s="13"/>
      <c r="D226" s="12"/>
      <c r="E226" s="12"/>
      <c r="F226" s="12"/>
      <c r="G226" s="12"/>
      <c r="H226" s="12"/>
      <c r="I226" s="12"/>
      <c r="J226" s="12"/>
      <c r="K226" s="12" t="str">
        <f t="shared" si="5"/>
        <v/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 t="str">
        <f t="shared" si="6"/>
        <v/>
      </c>
      <c r="V226" s="12"/>
      <c r="W226" s="14"/>
      <c r="X226" s="14"/>
      <c r="Y226" s="13"/>
      <c r="Z226" s="12"/>
      <c r="AA226" s="12"/>
      <c r="AB226" s="12"/>
      <c r="AC226" s="12"/>
      <c r="AD226" s="15"/>
      <c r="AE226" s="12"/>
      <c r="AF226" s="13"/>
      <c r="AG226" s="12"/>
      <c r="AH226" s="12"/>
      <c r="AI226" s="15"/>
      <c r="AJ226" s="12"/>
      <c r="AK226" s="12"/>
      <c r="AL226" s="12"/>
      <c r="AM226" s="12"/>
      <c r="AN226" s="12"/>
      <c r="AO226" s="12"/>
      <c r="AP226" s="12"/>
      <c r="AQ226" s="15"/>
      <c r="AR226" s="12"/>
      <c r="AS226" s="12"/>
      <c r="AT226" s="12"/>
      <c r="AU226" s="12"/>
      <c r="AV226" s="12"/>
      <c r="AW226" s="12"/>
      <c r="AX226" s="13"/>
      <c r="AY226" s="12"/>
      <c r="AZ226" s="12" t="str">
        <f>IF(AND(A226="",B226="",E226="",G226="",I226="",AV226="",AX226=""),"",IF(OR(B226="skip",AV226="skip"),"SKIP",IF(OR(B226="to_candidate",AV226="proposed_name"),IF(OR(A226="",AW226="",AX226="",COUNTIF($A$6:$A$505,A226)&gt;1),"REVIEW","TO_PROPOSED"),IF(OR(B226="",A226="",E226="",G226="",I226="",U226="",AV226="",COUNTIF($A$6:$A$505,A226)&gt;1,(COUNTIFS('أرقام التواصل'!$A$6:$A$505,"client",'أرقام التواصل'!$B$6:$B$505,A226,'أرقام التواصل'!$I$6:$I$505,"TRUE")+COUNTIFS('أرقام التواصل'!$A$6:$A$505,"client",'أرقام التواصل'!$B$6:$B$505,A226,'أرقام التواصل'!$C$6:$C$505,1))=0),"REVIEW","READY"))))</f>
        <v/>
      </c>
      <c r="BA226" s="16" t="str">
        <f>IF(AZ226="","",IF(OR(AZ226="READY",AZ226="TO_PROPOSED"),"",IF(AZ226="SKIP","Skipped by decision",TRIM(IF(B226="","missing import_action; ","")&amp;IF(A226="","missing migration_customer_key; ","")&amp;IF(AND(A226&lt;&gt;"",COUNTIF($A$6:$A$505,A226)&gt;1),"duplicate migration_customer_key; ","")&amp;IF(AND(NOT(OR(B226="to_candidate",AV226="proposed_name")),E226=""),"missing branch_id; ","")&amp;IF(AND(NOT(OR(B226="to_candidate",AV226="proposed_name")),G226=""),"missing first_name; ","")&amp;IF(AND(NOT(OR(B226="to_candidate",AV226="proposed_name")),I226=""),"missing last_name; ","")&amp;IF(AND(NOT(OR(B226="to_candidate",AV226="proposed_name")),U226=""),"missing final_geo_unit_id; ","")&amp;IF(AV226="","missing final_destination; ","")&amp;IF(AND(NOT(OR(B226="to_candidate",AV226="proposed_name")),(COUNTIFS('أرقام التواصل'!$A$6:$A$505,"client",'أرقام التواصل'!$B$6:$B$505,A226,'أرقام التواصل'!$I$6:$I$505,"TRUE")+COUNTIFS('أرقام التواصل'!$A$6:$A$505,"client",'أرقام التواصل'!$B$6:$B$505,A226,'أرقام التواصل'!$C$6:$C$505,1))=0),"missing primary contact in أرقام التواصل; ","")&amp;IF(OR(B226="to_candidate",AV226="proposed_name"),IF(AW226="","missing proposed_move_reason; ","")&amp;IF(AX226="","missing proposed_name_key; ",""),"")))))</f>
        <v/>
      </c>
    </row>
    <row r="227" spans="1:53">
      <c r="A227" s="11"/>
      <c r="B227" s="12"/>
      <c r="C227" s="13"/>
      <c r="D227" s="12"/>
      <c r="E227" s="12"/>
      <c r="F227" s="12"/>
      <c r="G227" s="12"/>
      <c r="H227" s="12"/>
      <c r="I227" s="12"/>
      <c r="J227" s="12"/>
      <c r="K227" s="12" t="str">
        <f t="shared" si="5"/>
        <v/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 t="str">
        <f t="shared" si="6"/>
        <v/>
      </c>
      <c r="V227" s="12"/>
      <c r="W227" s="14"/>
      <c r="X227" s="14"/>
      <c r="Y227" s="13"/>
      <c r="Z227" s="12"/>
      <c r="AA227" s="12"/>
      <c r="AB227" s="12"/>
      <c r="AC227" s="12"/>
      <c r="AD227" s="15"/>
      <c r="AE227" s="12"/>
      <c r="AF227" s="13"/>
      <c r="AG227" s="12"/>
      <c r="AH227" s="12"/>
      <c r="AI227" s="15"/>
      <c r="AJ227" s="12"/>
      <c r="AK227" s="12"/>
      <c r="AL227" s="12"/>
      <c r="AM227" s="12"/>
      <c r="AN227" s="12"/>
      <c r="AO227" s="12"/>
      <c r="AP227" s="12"/>
      <c r="AQ227" s="15"/>
      <c r="AR227" s="12"/>
      <c r="AS227" s="12"/>
      <c r="AT227" s="12"/>
      <c r="AU227" s="12"/>
      <c r="AV227" s="12"/>
      <c r="AW227" s="12"/>
      <c r="AX227" s="13"/>
      <c r="AY227" s="12"/>
      <c r="AZ227" s="12" t="str">
        <f>IF(AND(A227="",B227="",E227="",G227="",I227="",AV227="",AX227=""),"",IF(OR(B227="skip",AV227="skip"),"SKIP",IF(OR(B227="to_candidate",AV227="proposed_name"),IF(OR(A227="",AW227="",AX227="",COUNTIF($A$6:$A$505,A227)&gt;1),"REVIEW","TO_PROPOSED"),IF(OR(B227="",A227="",E227="",G227="",I227="",U227="",AV227="",COUNTIF($A$6:$A$505,A227)&gt;1,(COUNTIFS('أرقام التواصل'!$A$6:$A$505,"client",'أرقام التواصل'!$B$6:$B$505,A227,'أرقام التواصل'!$I$6:$I$505,"TRUE")+COUNTIFS('أرقام التواصل'!$A$6:$A$505,"client",'أرقام التواصل'!$B$6:$B$505,A227,'أرقام التواصل'!$C$6:$C$505,1))=0),"REVIEW","READY"))))</f>
        <v/>
      </c>
      <c r="BA227" s="16" t="str">
        <f>IF(AZ227="","",IF(OR(AZ227="READY",AZ227="TO_PROPOSED"),"",IF(AZ227="SKIP","Skipped by decision",TRIM(IF(B227="","missing import_action; ","")&amp;IF(A227="","missing migration_customer_key; ","")&amp;IF(AND(A227&lt;&gt;"",COUNTIF($A$6:$A$505,A227)&gt;1),"duplicate migration_customer_key; ","")&amp;IF(AND(NOT(OR(B227="to_candidate",AV227="proposed_name")),E227=""),"missing branch_id; ","")&amp;IF(AND(NOT(OR(B227="to_candidate",AV227="proposed_name")),G227=""),"missing first_name; ","")&amp;IF(AND(NOT(OR(B227="to_candidate",AV227="proposed_name")),I227=""),"missing last_name; ","")&amp;IF(AND(NOT(OR(B227="to_candidate",AV227="proposed_name")),U227=""),"missing final_geo_unit_id; ","")&amp;IF(AV227="","missing final_destination; ","")&amp;IF(AND(NOT(OR(B227="to_candidate",AV227="proposed_name")),(COUNTIFS('أرقام التواصل'!$A$6:$A$505,"client",'أرقام التواصل'!$B$6:$B$505,A227,'أرقام التواصل'!$I$6:$I$505,"TRUE")+COUNTIFS('أرقام التواصل'!$A$6:$A$505,"client",'أرقام التواصل'!$B$6:$B$505,A227,'أرقام التواصل'!$C$6:$C$505,1))=0),"missing primary contact in أرقام التواصل; ","")&amp;IF(OR(B227="to_candidate",AV227="proposed_name"),IF(AW227="","missing proposed_move_reason; ","")&amp;IF(AX227="","missing proposed_name_key; ",""),"")))))</f>
        <v/>
      </c>
    </row>
    <row r="228" spans="1:53">
      <c r="A228" s="11"/>
      <c r="B228" s="12"/>
      <c r="C228" s="13"/>
      <c r="D228" s="12"/>
      <c r="E228" s="12"/>
      <c r="F228" s="12"/>
      <c r="G228" s="12"/>
      <c r="H228" s="12"/>
      <c r="I228" s="12"/>
      <c r="J228" s="12"/>
      <c r="K228" s="12" t="str">
        <f t="shared" si="5"/>
        <v/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 t="str">
        <f t="shared" si="6"/>
        <v/>
      </c>
      <c r="V228" s="12"/>
      <c r="W228" s="14"/>
      <c r="X228" s="14"/>
      <c r="Y228" s="13"/>
      <c r="Z228" s="12"/>
      <c r="AA228" s="12"/>
      <c r="AB228" s="12"/>
      <c r="AC228" s="12"/>
      <c r="AD228" s="15"/>
      <c r="AE228" s="12"/>
      <c r="AF228" s="13"/>
      <c r="AG228" s="12"/>
      <c r="AH228" s="12"/>
      <c r="AI228" s="15"/>
      <c r="AJ228" s="12"/>
      <c r="AK228" s="12"/>
      <c r="AL228" s="12"/>
      <c r="AM228" s="12"/>
      <c r="AN228" s="12"/>
      <c r="AO228" s="12"/>
      <c r="AP228" s="12"/>
      <c r="AQ228" s="15"/>
      <c r="AR228" s="12"/>
      <c r="AS228" s="12"/>
      <c r="AT228" s="12"/>
      <c r="AU228" s="12"/>
      <c r="AV228" s="12"/>
      <c r="AW228" s="12"/>
      <c r="AX228" s="13"/>
      <c r="AY228" s="12"/>
      <c r="AZ228" s="12" t="str">
        <f>IF(AND(A228="",B228="",E228="",G228="",I228="",AV228="",AX228=""),"",IF(OR(B228="skip",AV228="skip"),"SKIP",IF(OR(B228="to_candidate",AV228="proposed_name"),IF(OR(A228="",AW228="",AX228="",COUNTIF($A$6:$A$505,A228)&gt;1),"REVIEW","TO_PROPOSED"),IF(OR(B228="",A228="",E228="",G228="",I228="",U228="",AV228="",COUNTIF($A$6:$A$505,A228)&gt;1,(COUNTIFS('أرقام التواصل'!$A$6:$A$505,"client",'أرقام التواصل'!$B$6:$B$505,A228,'أرقام التواصل'!$I$6:$I$505,"TRUE")+COUNTIFS('أرقام التواصل'!$A$6:$A$505,"client",'أرقام التواصل'!$B$6:$B$505,A228,'أرقام التواصل'!$C$6:$C$505,1))=0),"REVIEW","READY"))))</f>
        <v/>
      </c>
      <c r="BA228" s="16" t="str">
        <f>IF(AZ228="","",IF(OR(AZ228="READY",AZ228="TO_PROPOSED"),"",IF(AZ228="SKIP","Skipped by decision",TRIM(IF(B228="","missing import_action; ","")&amp;IF(A228="","missing migration_customer_key; ","")&amp;IF(AND(A228&lt;&gt;"",COUNTIF($A$6:$A$505,A228)&gt;1),"duplicate migration_customer_key; ","")&amp;IF(AND(NOT(OR(B228="to_candidate",AV228="proposed_name")),E228=""),"missing branch_id; ","")&amp;IF(AND(NOT(OR(B228="to_candidate",AV228="proposed_name")),G228=""),"missing first_name; ","")&amp;IF(AND(NOT(OR(B228="to_candidate",AV228="proposed_name")),I228=""),"missing last_name; ","")&amp;IF(AND(NOT(OR(B228="to_candidate",AV228="proposed_name")),U228=""),"missing final_geo_unit_id; ","")&amp;IF(AV228="","missing final_destination; ","")&amp;IF(AND(NOT(OR(B228="to_candidate",AV228="proposed_name")),(COUNTIFS('أرقام التواصل'!$A$6:$A$505,"client",'أرقام التواصل'!$B$6:$B$505,A228,'أرقام التواصل'!$I$6:$I$505,"TRUE")+COUNTIFS('أرقام التواصل'!$A$6:$A$505,"client",'أرقام التواصل'!$B$6:$B$505,A228,'أرقام التواصل'!$C$6:$C$505,1))=0),"missing primary contact in أرقام التواصل; ","")&amp;IF(OR(B228="to_candidate",AV228="proposed_name"),IF(AW228="","missing proposed_move_reason; ","")&amp;IF(AX228="","missing proposed_name_key; ",""),"")))))</f>
        <v/>
      </c>
    </row>
    <row r="229" spans="1:53">
      <c r="A229" s="11"/>
      <c r="B229" s="12"/>
      <c r="C229" s="13"/>
      <c r="D229" s="12"/>
      <c r="E229" s="12"/>
      <c r="F229" s="12"/>
      <c r="G229" s="12"/>
      <c r="H229" s="12"/>
      <c r="I229" s="12"/>
      <c r="J229" s="12"/>
      <c r="K229" s="12" t="str">
        <f t="shared" si="5"/>
        <v/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 t="str">
        <f t="shared" si="6"/>
        <v/>
      </c>
      <c r="V229" s="12"/>
      <c r="W229" s="14"/>
      <c r="X229" s="14"/>
      <c r="Y229" s="13"/>
      <c r="Z229" s="12"/>
      <c r="AA229" s="12"/>
      <c r="AB229" s="12"/>
      <c r="AC229" s="12"/>
      <c r="AD229" s="15"/>
      <c r="AE229" s="12"/>
      <c r="AF229" s="13"/>
      <c r="AG229" s="12"/>
      <c r="AH229" s="12"/>
      <c r="AI229" s="15"/>
      <c r="AJ229" s="12"/>
      <c r="AK229" s="12"/>
      <c r="AL229" s="12"/>
      <c r="AM229" s="12"/>
      <c r="AN229" s="12"/>
      <c r="AO229" s="12"/>
      <c r="AP229" s="12"/>
      <c r="AQ229" s="15"/>
      <c r="AR229" s="12"/>
      <c r="AS229" s="12"/>
      <c r="AT229" s="12"/>
      <c r="AU229" s="12"/>
      <c r="AV229" s="12"/>
      <c r="AW229" s="12"/>
      <c r="AX229" s="13"/>
      <c r="AY229" s="12"/>
      <c r="AZ229" s="12" t="str">
        <f>IF(AND(A229="",B229="",E229="",G229="",I229="",AV229="",AX229=""),"",IF(OR(B229="skip",AV229="skip"),"SKIP",IF(OR(B229="to_candidate",AV229="proposed_name"),IF(OR(A229="",AW229="",AX229="",COUNTIF($A$6:$A$505,A229)&gt;1),"REVIEW","TO_PROPOSED"),IF(OR(B229="",A229="",E229="",G229="",I229="",U229="",AV229="",COUNTIF($A$6:$A$505,A229)&gt;1,(COUNTIFS('أرقام التواصل'!$A$6:$A$505,"client",'أرقام التواصل'!$B$6:$B$505,A229,'أرقام التواصل'!$I$6:$I$505,"TRUE")+COUNTIFS('أرقام التواصل'!$A$6:$A$505,"client",'أرقام التواصل'!$B$6:$B$505,A229,'أرقام التواصل'!$C$6:$C$505,1))=0),"REVIEW","READY"))))</f>
        <v/>
      </c>
      <c r="BA229" s="16" t="str">
        <f>IF(AZ229="","",IF(OR(AZ229="READY",AZ229="TO_PROPOSED"),"",IF(AZ229="SKIP","Skipped by decision",TRIM(IF(B229="","missing import_action; ","")&amp;IF(A229="","missing migration_customer_key; ","")&amp;IF(AND(A229&lt;&gt;"",COUNTIF($A$6:$A$505,A229)&gt;1),"duplicate migration_customer_key; ","")&amp;IF(AND(NOT(OR(B229="to_candidate",AV229="proposed_name")),E229=""),"missing branch_id; ","")&amp;IF(AND(NOT(OR(B229="to_candidate",AV229="proposed_name")),G229=""),"missing first_name; ","")&amp;IF(AND(NOT(OR(B229="to_candidate",AV229="proposed_name")),I229=""),"missing last_name; ","")&amp;IF(AND(NOT(OR(B229="to_candidate",AV229="proposed_name")),U229=""),"missing final_geo_unit_id; ","")&amp;IF(AV229="","missing final_destination; ","")&amp;IF(AND(NOT(OR(B229="to_candidate",AV229="proposed_name")),(COUNTIFS('أرقام التواصل'!$A$6:$A$505,"client",'أرقام التواصل'!$B$6:$B$505,A229,'أرقام التواصل'!$I$6:$I$505,"TRUE")+COUNTIFS('أرقام التواصل'!$A$6:$A$505,"client",'أرقام التواصل'!$B$6:$B$505,A229,'أرقام التواصل'!$C$6:$C$505,1))=0),"missing primary contact in أرقام التواصل; ","")&amp;IF(OR(B229="to_candidate",AV229="proposed_name"),IF(AW229="","missing proposed_move_reason; ","")&amp;IF(AX229="","missing proposed_name_key; ",""),"")))))</f>
        <v/>
      </c>
    </row>
    <row r="230" spans="1:53">
      <c r="A230" s="11"/>
      <c r="B230" s="12"/>
      <c r="C230" s="13"/>
      <c r="D230" s="12"/>
      <c r="E230" s="12"/>
      <c r="F230" s="12"/>
      <c r="G230" s="12"/>
      <c r="H230" s="12"/>
      <c r="I230" s="12"/>
      <c r="J230" s="12"/>
      <c r="K230" s="12" t="str">
        <f t="shared" si="5"/>
        <v/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 t="str">
        <f t="shared" si="6"/>
        <v/>
      </c>
      <c r="V230" s="12"/>
      <c r="W230" s="14"/>
      <c r="X230" s="14"/>
      <c r="Y230" s="13"/>
      <c r="Z230" s="12"/>
      <c r="AA230" s="12"/>
      <c r="AB230" s="12"/>
      <c r="AC230" s="12"/>
      <c r="AD230" s="15"/>
      <c r="AE230" s="12"/>
      <c r="AF230" s="13"/>
      <c r="AG230" s="12"/>
      <c r="AH230" s="12"/>
      <c r="AI230" s="15"/>
      <c r="AJ230" s="12"/>
      <c r="AK230" s="12"/>
      <c r="AL230" s="12"/>
      <c r="AM230" s="12"/>
      <c r="AN230" s="12"/>
      <c r="AO230" s="12"/>
      <c r="AP230" s="12"/>
      <c r="AQ230" s="15"/>
      <c r="AR230" s="12"/>
      <c r="AS230" s="12"/>
      <c r="AT230" s="12"/>
      <c r="AU230" s="12"/>
      <c r="AV230" s="12"/>
      <c r="AW230" s="12"/>
      <c r="AX230" s="13"/>
      <c r="AY230" s="12"/>
      <c r="AZ230" s="12" t="str">
        <f>IF(AND(A230="",B230="",E230="",G230="",I230="",AV230="",AX230=""),"",IF(OR(B230="skip",AV230="skip"),"SKIP",IF(OR(B230="to_candidate",AV230="proposed_name"),IF(OR(A230="",AW230="",AX230="",COUNTIF($A$6:$A$505,A230)&gt;1),"REVIEW","TO_PROPOSED"),IF(OR(B230="",A230="",E230="",G230="",I230="",U230="",AV230="",COUNTIF($A$6:$A$505,A230)&gt;1,(COUNTIFS('أرقام التواصل'!$A$6:$A$505,"client",'أرقام التواصل'!$B$6:$B$505,A230,'أرقام التواصل'!$I$6:$I$505,"TRUE")+COUNTIFS('أرقام التواصل'!$A$6:$A$505,"client",'أرقام التواصل'!$B$6:$B$505,A230,'أرقام التواصل'!$C$6:$C$505,1))=0),"REVIEW","READY"))))</f>
        <v/>
      </c>
      <c r="BA230" s="16" t="str">
        <f>IF(AZ230="","",IF(OR(AZ230="READY",AZ230="TO_PROPOSED"),"",IF(AZ230="SKIP","Skipped by decision",TRIM(IF(B230="","missing import_action; ","")&amp;IF(A230="","missing migration_customer_key; ","")&amp;IF(AND(A230&lt;&gt;"",COUNTIF($A$6:$A$505,A230)&gt;1),"duplicate migration_customer_key; ","")&amp;IF(AND(NOT(OR(B230="to_candidate",AV230="proposed_name")),E230=""),"missing branch_id; ","")&amp;IF(AND(NOT(OR(B230="to_candidate",AV230="proposed_name")),G230=""),"missing first_name; ","")&amp;IF(AND(NOT(OR(B230="to_candidate",AV230="proposed_name")),I230=""),"missing last_name; ","")&amp;IF(AND(NOT(OR(B230="to_candidate",AV230="proposed_name")),U230=""),"missing final_geo_unit_id; ","")&amp;IF(AV230="","missing final_destination; ","")&amp;IF(AND(NOT(OR(B230="to_candidate",AV230="proposed_name")),(COUNTIFS('أرقام التواصل'!$A$6:$A$505,"client",'أرقام التواصل'!$B$6:$B$505,A230,'أرقام التواصل'!$I$6:$I$505,"TRUE")+COUNTIFS('أرقام التواصل'!$A$6:$A$505,"client",'أرقام التواصل'!$B$6:$B$505,A230,'أرقام التواصل'!$C$6:$C$505,1))=0),"missing primary contact in أرقام التواصل; ","")&amp;IF(OR(B230="to_candidate",AV230="proposed_name"),IF(AW230="","missing proposed_move_reason; ","")&amp;IF(AX230="","missing proposed_name_key; ",""),"")))))</f>
        <v/>
      </c>
    </row>
    <row r="231" spans="1:53">
      <c r="A231" s="11"/>
      <c r="B231" s="12"/>
      <c r="C231" s="13"/>
      <c r="D231" s="12"/>
      <c r="E231" s="12"/>
      <c r="F231" s="12"/>
      <c r="G231" s="12"/>
      <c r="H231" s="12"/>
      <c r="I231" s="12"/>
      <c r="J231" s="12"/>
      <c r="K231" s="12" t="str">
        <f t="shared" si="5"/>
        <v/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 t="str">
        <f t="shared" si="6"/>
        <v/>
      </c>
      <c r="V231" s="12"/>
      <c r="W231" s="14"/>
      <c r="X231" s="14"/>
      <c r="Y231" s="13"/>
      <c r="Z231" s="12"/>
      <c r="AA231" s="12"/>
      <c r="AB231" s="12"/>
      <c r="AC231" s="12"/>
      <c r="AD231" s="15"/>
      <c r="AE231" s="12"/>
      <c r="AF231" s="13"/>
      <c r="AG231" s="12"/>
      <c r="AH231" s="12"/>
      <c r="AI231" s="15"/>
      <c r="AJ231" s="12"/>
      <c r="AK231" s="12"/>
      <c r="AL231" s="12"/>
      <c r="AM231" s="12"/>
      <c r="AN231" s="12"/>
      <c r="AO231" s="12"/>
      <c r="AP231" s="12"/>
      <c r="AQ231" s="15"/>
      <c r="AR231" s="12"/>
      <c r="AS231" s="12"/>
      <c r="AT231" s="12"/>
      <c r="AU231" s="12"/>
      <c r="AV231" s="12"/>
      <c r="AW231" s="12"/>
      <c r="AX231" s="13"/>
      <c r="AY231" s="12"/>
      <c r="AZ231" s="12" t="str">
        <f>IF(AND(A231="",B231="",E231="",G231="",I231="",AV231="",AX231=""),"",IF(OR(B231="skip",AV231="skip"),"SKIP",IF(OR(B231="to_candidate",AV231="proposed_name"),IF(OR(A231="",AW231="",AX231="",COUNTIF($A$6:$A$505,A231)&gt;1),"REVIEW","TO_PROPOSED"),IF(OR(B231="",A231="",E231="",G231="",I231="",U231="",AV231="",COUNTIF($A$6:$A$505,A231)&gt;1,(COUNTIFS('أرقام التواصل'!$A$6:$A$505,"client",'أرقام التواصل'!$B$6:$B$505,A231,'أرقام التواصل'!$I$6:$I$505,"TRUE")+COUNTIFS('أرقام التواصل'!$A$6:$A$505,"client",'أرقام التواصل'!$B$6:$B$505,A231,'أرقام التواصل'!$C$6:$C$505,1))=0),"REVIEW","READY"))))</f>
        <v/>
      </c>
      <c r="BA231" s="16" t="str">
        <f>IF(AZ231="","",IF(OR(AZ231="READY",AZ231="TO_PROPOSED"),"",IF(AZ231="SKIP","Skipped by decision",TRIM(IF(B231="","missing import_action; ","")&amp;IF(A231="","missing migration_customer_key; ","")&amp;IF(AND(A231&lt;&gt;"",COUNTIF($A$6:$A$505,A231)&gt;1),"duplicate migration_customer_key; ","")&amp;IF(AND(NOT(OR(B231="to_candidate",AV231="proposed_name")),E231=""),"missing branch_id; ","")&amp;IF(AND(NOT(OR(B231="to_candidate",AV231="proposed_name")),G231=""),"missing first_name; ","")&amp;IF(AND(NOT(OR(B231="to_candidate",AV231="proposed_name")),I231=""),"missing last_name; ","")&amp;IF(AND(NOT(OR(B231="to_candidate",AV231="proposed_name")),U231=""),"missing final_geo_unit_id; ","")&amp;IF(AV231="","missing final_destination; ","")&amp;IF(AND(NOT(OR(B231="to_candidate",AV231="proposed_name")),(COUNTIFS('أرقام التواصل'!$A$6:$A$505,"client",'أرقام التواصل'!$B$6:$B$505,A231,'أرقام التواصل'!$I$6:$I$505,"TRUE")+COUNTIFS('أرقام التواصل'!$A$6:$A$505,"client",'أرقام التواصل'!$B$6:$B$505,A231,'أرقام التواصل'!$C$6:$C$505,1))=0),"missing primary contact in أرقام التواصل; ","")&amp;IF(OR(B231="to_candidate",AV231="proposed_name"),IF(AW231="","missing proposed_move_reason; ","")&amp;IF(AX231="","missing proposed_name_key; ",""),"")))))</f>
        <v/>
      </c>
    </row>
    <row r="232" spans="1:53">
      <c r="A232" s="11"/>
      <c r="B232" s="12"/>
      <c r="C232" s="13"/>
      <c r="D232" s="12"/>
      <c r="E232" s="12"/>
      <c r="F232" s="12"/>
      <c r="G232" s="12"/>
      <c r="H232" s="12"/>
      <c r="I232" s="12"/>
      <c r="J232" s="12"/>
      <c r="K232" s="12" t="str">
        <f t="shared" si="5"/>
        <v/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 t="str">
        <f t="shared" si="6"/>
        <v/>
      </c>
      <c r="V232" s="12"/>
      <c r="W232" s="14"/>
      <c r="X232" s="14"/>
      <c r="Y232" s="13"/>
      <c r="Z232" s="12"/>
      <c r="AA232" s="12"/>
      <c r="AB232" s="12"/>
      <c r="AC232" s="12"/>
      <c r="AD232" s="15"/>
      <c r="AE232" s="12"/>
      <c r="AF232" s="13"/>
      <c r="AG232" s="12"/>
      <c r="AH232" s="12"/>
      <c r="AI232" s="15"/>
      <c r="AJ232" s="12"/>
      <c r="AK232" s="12"/>
      <c r="AL232" s="12"/>
      <c r="AM232" s="12"/>
      <c r="AN232" s="12"/>
      <c r="AO232" s="12"/>
      <c r="AP232" s="12"/>
      <c r="AQ232" s="15"/>
      <c r="AR232" s="12"/>
      <c r="AS232" s="12"/>
      <c r="AT232" s="12"/>
      <c r="AU232" s="12"/>
      <c r="AV232" s="12"/>
      <c r="AW232" s="12"/>
      <c r="AX232" s="13"/>
      <c r="AY232" s="12"/>
      <c r="AZ232" s="12" t="str">
        <f>IF(AND(A232="",B232="",E232="",G232="",I232="",AV232="",AX232=""),"",IF(OR(B232="skip",AV232="skip"),"SKIP",IF(OR(B232="to_candidate",AV232="proposed_name"),IF(OR(A232="",AW232="",AX232="",COUNTIF($A$6:$A$505,A232)&gt;1),"REVIEW","TO_PROPOSED"),IF(OR(B232="",A232="",E232="",G232="",I232="",U232="",AV232="",COUNTIF($A$6:$A$505,A232)&gt;1,(COUNTIFS('أرقام التواصل'!$A$6:$A$505,"client",'أرقام التواصل'!$B$6:$B$505,A232,'أرقام التواصل'!$I$6:$I$505,"TRUE")+COUNTIFS('أرقام التواصل'!$A$6:$A$505,"client",'أرقام التواصل'!$B$6:$B$505,A232,'أرقام التواصل'!$C$6:$C$505,1))=0),"REVIEW","READY"))))</f>
        <v/>
      </c>
      <c r="BA232" s="16" t="str">
        <f>IF(AZ232="","",IF(OR(AZ232="READY",AZ232="TO_PROPOSED"),"",IF(AZ232="SKIP","Skipped by decision",TRIM(IF(B232="","missing import_action; ","")&amp;IF(A232="","missing migration_customer_key; ","")&amp;IF(AND(A232&lt;&gt;"",COUNTIF($A$6:$A$505,A232)&gt;1),"duplicate migration_customer_key; ","")&amp;IF(AND(NOT(OR(B232="to_candidate",AV232="proposed_name")),E232=""),"missing branch_id; ","")&amp;IF(AND(NOT(OR(B232="to_candidate",AV232="proposed_name")),G232=""),"missing first_name; ","")&amp;IF(AND(NOT(OR(B232="to_candidate",AV232="proposed_name")),I232=""),"missing last_name; ","")&amp;IF(AND(NOT(OR(B232="to_candidate",AV232="proposed_name")),U232=""),"missing final_geo_unit_id; ","")&amp;IF(AV232="","missing final_destination; ","")&amp;IF(AND(NOT(OR(B232="to_candidate",AV232="proposed_name")),(COUNTIFS('أرقام التواصل'!$A$6:$A$505,"client",'أرقام التواصل'!$B$6:$B$505,A232,'أرقام التواصل'!$I$6:$I$505,"TRUE")+COUNTIFS('أرقام التواصل'!$A$6:$A$505,"client",'أرقام التواصل'!$B$6:$B$505,A232,'أرقام التواصل'!$C$6:$C$505,1))=0),"missing primary contact in أرقام التواصل; ","")&amp;IF(OR(B232="to_candidate",AV232="proposed_name"),IF(AW232="","missing proposed_move_reason; ","")&amp;IF(AX232="","missing proposed_name_key; ",""),"")))))</f>
        <v/>
      </c>
    </row>
    <row r="233" spans="1:53">
      <c r="A233" s="11"/>
      <c r="B233" s="12"/>
      <c r="C233" s="13"/>
      <c r="D233" s="12"/>
      <c r="E233" s="12"/>
      <c r="F233" s="12"/>
      <c r="G233" s="12"/>
      <c r="H233" s="12"/>
      <c r="I233" s="12"/>
      <c r="J233" s="12"/>
      <c r="K233" s="12" t="str">
        <f t="shared" si="5"/>
        <v/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 t="str">
        <f t="shared" si="6"/>
        <v/>
      </c>
      <c r="V233" s="12"/>
      <c r="W233" s="14"/>
      <c r="X233" s="14"/>
      <c r="Y233" s="13"/>
      <c r="Z233" s="12"/>
      <c r="AA233" s="12"/>
      <c r="AB233" s="12"/>
      <c r="AC233" s="12"/>
      <c r="AD233" s="15"/>
      <c r="AE233" s="12"/>
      <c r="AF233" s="13"/>
      <c r="AG233" s="12"/>
      <c r="AH233" s="12"/>
      <c r="AI233" s="15"/>
      <c r="AJ233" s="12"/>
      <c r="AK233" s="12"/>
      <c r="AL233" s="12"/>
      <c r="AM233" s="12"/>
      <c r="AN233" s="12"/>
      <c r="AO233" s="12"/>
      <c r="AP233" s="12"/>
      <c r="AQ233" s="15"/>
      <c r="AR233" s="12"/>
      <c r="AS233" s="12"/>
      <c r="AT233" s="12"/>
      <c r="AU233" s="12"/>
      <c r="AV233" s="12"/>
      <c r="AW233" s="12"/>
      <c r="AX233" s="13"/>
      <c r="AY233" s="12"/>
      <c r="AZ233" s="12" t="str">
        <f>IF(AND(A233="",B233="",E233="",G233="",I233="",AV233="",AX233=""),"",IF(OR(B233="skip",AV233="skip"),"SKIP",IF(OR(B233="to_candidate",AV233="proposed_name"),IF(OR(A233="",AW233="",AX233="",COUNTIF($A$6:$A$505,A233)&gt;1),"REVIEW","TO_PROPOSED"),IF(OR(B233="",A233="",E233="",G233="",I233="",U233="",AV233="",COUNTIF($A$6:$A$505,A233)&gt;1,(COUNTIFS('أرقام التواصل'!$A$6:$A$505,"client",'أرقام التواصل'!$B$6:$B$505,A233,'أرقام التواصل'!$I$6:$I$505,"TRUE")+COUNTIFS('أرقام التواصل'!$A$6:$A$505,"client",'أرقام التواصل'!$B$6:$B$505,A233,'أرقام التواصل'!$C$6:$C$505,1))=0),"REVIEW","READY"))))</f>
        <v/>
      </c>
      <c r="BA233" s="16" t="str">
        <f>IF(AZ233="","",IF(OR(AZ233="READY",AZ233="TO_PROPOSED"),"",IF(AZ233="SKIP","Skipped by decision",TRIM(IF(B233="","missing import_action; ","")&amp;IF(A233="","missing migration_customer_key; ","")&amp;IF(AND(A233&lt;&gt;"",COUNTIF($A$6:$A$505,A233)&gt;1),"duplicate migration_customer_key; ","")&amp;IF(AND(NOT(OR(B233="to_candidate",AV233="proposed_name")),E233=""),"missing branch_id; ","")&amp;IF(AND(NOT(OR(B233="to_candidate",AV233="proposed_name")),G233=""),"missing first_name; ","")&amp;IF(AND(NOT(OR(B233="to_candidate",AV233="proposed_name")),I233=""),"missing last_name; ","")&amp;IF(AND(NOT(OR(B233="to_candidate",AV233="proposed_name")),U233=""),"missing final_geo_unit_id; ","")&amp;IF(AV233="","missing final_destination; ","")&amp;IF(AND(NOT(OR(B233="to_candidate",AV233="proposed_name")),(COUNTIFS('أرقام التواصل'!$A$6:$A$505,"client",'أرقام التواصل'!$B$6:$B$505,A233,'أرقام التواصل'!$I$6:$I$505,"TRUE")+COUNTIFS('أرقام التواصل'!$A$6:$A$505,"client",'أرقام التواصل'!$B$6:$B$505,A233,'أرقام التواصل'!$C$6:$C$505,1))=0),"missing primary contact in أرقام التواصل; ","")&amp;IF(OR(B233="to_candidate",AV233="proposed_name"),IF(AW233="","missing proposed_move_reason; ","")&amp;IF(AX233="","missing proposed_name_key; ",""),"")))))</f>
        <v/>
      </c>
    </row>
    <row r="234" spans="1:53">
      <c r="A234" s="11"/>
      <c r="B234" s="12"/>
      <c r="C234" s="13"/>
      <c r="D234" s="12"/>
      <c r="E234" s="12"/>
      <c r="F234" s="12"/>
      <c r="G234" s="12"/>
      <c r="H234" s="12"/>
      <c r="I234" s="12"/>
      <c r="J234" s="12"/>
      <c r="K234" s="12" t="str">
        <f t="shared" si="5"/>
        <v/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 t="str">
        <f t="shared" si="6"/>
        <v/>
      </c>
      <c r="V234" s="12"/>
      <c r="W234" s="14"/>
      <c r="X234" s="14"/>
      <c r="Y234" s="13"/>
      <c r="Z234" s="12"/>
      <c r="AA234" s="12"/>
      <c r="AB234" s="12"/>
      <c r="AC234" s="12"/>
      <c r="AD234" s="15"/>
      <c r="AE234" s="12"/>
      <c r="AF234" s="13"/>
      <c r="AG234" s="12"/>
      <c r="AH234" s="12"/>
      <c r="AI234" s="15"/>
      <c r="AJ234" s="12"/>
      <c r="AK234" s="12"/>
      <c r="AL234" s="12"/>
      <c r="AM234" s="12"/>
      <c r="AN234" s="12"/>
      <c r="AO234" s="12"/>
      <c r="AP234" s="12"/>
      <c r="AQ234" s="15"/>
      <c r="AR234" s="12"/>
      <c r="AS234" s="12"/>
      <c r="AT234" s="12"/>
      <c r="AU234" s="12"/>
      <c r="AV234" s="12"/>
      <c r="AW234" s="12"/>
      <c r="AX234" s="13"/>
      <c r="AY234" s="12"/>
      <c r="AZ234" s="12" t="str">
        <f>IF(AND(A234="",B234="",E234="",G234="",I234="",AV234="",AX234=""),"",IF(OR(B234="skip",AV234="skip"),"SKIP",IF(OR(B234="to_candidate",AV234="proposed_name"),IF(OR(A234="",AW234="",AX234="",COUNTIF($A$6:$A$505,A234)&gt;1),"REVIEW","TO_PROPOSED"),IF(OR(B234="",A234="",E234="",G234="",I234="",U234="",AV234="",COUNTIF($A$6:$A$505,A234)&gt;1,(COUNTIFS('أرقام التواصل'!$A$6:$A$505,"client",'أرقام التواصل'!$B$6:$B$505,A234,'أرقام التواصل'!$I$6:$I$505,"TRUE")+COUNTIFS('أرقام التواصل'!$A$6:$A$505,"client",'أرقام التواصل'!$B$6:$B$505,A234,'أرقام التواصل'!$C$6:$C$505,1))=0),"REVIEW","READY"))))</f>
        <v/>
      </c>
      <c r="BA234" s="16" t="str">
        <f>IF(AZ234="","",IF(OR(AZ234="READY",AZ234="TO_PROPOSED"),"",IF(AZ234="SKIP","Skipped by decision",TRIM(IF(B234="","missing import_action; ","")&amp;IF(A234="","missing migration_customer_key; ","")&amp;IF(AND(A234&lt;&gt;"",COUNTIF($A$6:$A$505,A234)&gt;1),"duplicate migration_customer_key; ","")&amp;IF(AND(NOT(OR(B234="to_candidate",AV234="proposed_name")),E234=""),"missing branch_id; ","")&amp;IF(AND(NOT(OR(B234="to_candidate",AV234="proposed_name")),G234=""),"missing first_name; ","")&amp;IF(AND(NOT(OR(B234="to_candidate",AV234="proposed_name")),I234=""),"missing last_name; ","")&amp;IF(AND(NOT(OR(B234="to_candidate",AV234="proposed_name")),U234=""),"missing final_geo_unit_id; ","")&amp;IF(AV234="","missing final_destination; ","")&amp;IF(AND(NOT(OR(B234="to_candidate",AV234="proposed_name")),(COUNTIFS('أرقام التواصل'!$A$6:$A$505,"client",'أرقام التواصل'!$B$6:$B$505,A234,'أرقام التواصل'!$I$6:$I$505,"TRUE")+COUNTIFS('أرقام التواصل'!$A$6:$A$505,"client",'أرقام التواصل'!$B$6:$B$505,A234,'أرقام التواصل'!$C$6:$C$505,1))=0),"missing primary contact in أرقام التواصل; ","")&amp;IF(OR(B234="to_candidate",AV234="proposed_name"),IF(AW234="","missing proposed_move_reason; ","")&amp;IF(AX234="","missing proposed_name_key; ",""),"")))))</f>
        <v/>
      </c>
    </row>
    <row r="235" spans="1:53">
      <c r="A235" s="11"/>
      <c r="B235" s="12"/>
      <c r="C235" s="13"/>
      <c r="D235" s="12"/>
      <c r="E235" s="12"/>
      <c r="F235" s="12"/>
      <c r="G235" s="12"/>
      <c r="H235" s="12"/>
      <c r="I235" s="12"/>
      <c r="J235" s="12"/>
      <c r="K235" s="12" t="str">
        <f t="shared" si="5"/>
        <v/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 t="str">
        <f t="shared" si="6"/>
        <v/>
      </c>
      <c r="V235" s="12"/>
      <c r="W235" s="14"/>
      <c r="X235" s="14"/>
      <c r="Y235" s="13"/>
      <c r="Z235" s="12"/>
      <c r="AA235" s="12"/>
      <c r="AB235" s="12"/>
      <c r="AC235" s="12"/>
      <c r="AD235" s="15"/>
      <c r="AE235" s="12"/>
      <c r="AF235" s="13"/>
      <c r="AG235" s="12"/>
      <c r="AH235" s="12"/>
      <c r="AI235" s="15"/>
      <c r="AJ235" s="12"/>
      <c r="AK235" s="12"/>
      <c r="AL235" s="12"/>
      <c r="AM235" s="12"/>
      <c r="AN235" s="12"/>
      <c r="AO235" s="12"/>
      <c r="AP235" s="12"/>
      <c r="AQ235" s="15"/>
      <c r="AR235" s="12"/>
      <c r="AS235" s="12"/>
      <c r="AT235" s="12"/>
      <c r="AU235" s="12"/>
      <c r="AV235" s="12"/>
      <c r="AW235" s="12"/>
      <c r="AX235" s="13"/>
      <c r="AY235" s="12"/>
      <c r="AZ235" s="12" t="str">
        <f>IF(AND(A235="",B235="",E235="",G235="",I235="",AV235="",AX235=""),"",IF(OR(B235="skip",AV235="skip"),"SKIP",IF(OR(B235="to_candidate",AV235="proposed_name"),IF(OR(A235="",AW235="",AX235="",COUNTIF($A$6:$A$505,A235)&gt;1),"REVIEW","TO_PROPOSED"),IF(OR(B235="",A235="",E235="",G235="",I235="",U235="",AV235="",COUNTIF($A$6:$A$505,A235)&gt;1,(COUNTIFS('أرقام التواصل'!$A$6:$A$505,"client",'أرقام التواصل'!$B$6:$B$505,A235,'أرقام التواصل'!$I$6:$I$505,"TRUE")+COUNTIFS('أرقام التواصل'!$A$6:$A$505,"client",'أرقام التواصل'!$B$6:$B$505,A235,'أرقام التواصل'!$C$6:$C$505,1))=0),"REVIEW","READY"))))</f>
        <v/>
      </c>
      <c r="BA235" s="16" t="str">
        <f>IF(AZ235="","",IF(OR(AZ235="READY",AZ235="TO_PROPOSED"),"",IF(AZ235="SKIP","Skipped by decision",TRIM(IF(B235="","missing import_action; ","")&amp;IF(A235="","missing migration_customer_key; ","")&amp;IF(AND(A235&lt;&gt;"",COUNTIF($A$6:$A$505,A235)&gt;1),"duplicate migration_customer_key; ","")&amp;IF(AND(NOT(OR(B235="to_candidate",AV235="proposed_name")),E235=""),"missing branch_id; ","")&amp;IF(AND(NOT(OR(B235="to_candidate",AV235="proposed_name")),G235=""),"missing first_name; ","")&amp;IF(AND(NOT(OR(B235="to_candidate",AV235="proposed_name")),I235=""),"missing last_name; ","")&amp;IF(AND(NOT(OR(B235="to_candidate",AV235="proposed_name")),U235=""),"missing final_geo_unit_id; ","")&amp;IF(AV235="","missing final_destination; ","")&amp;IF(AND(NOT(OR(B235="to_candidate",AV235="proposed_name")),(COUNTIFS('أرقام التواصل'!$A$6:$A$505,"client",'أرقام التواصل'!$B$6:$B$505,A235,'أرقام التواصل'!$I$6:$I$505,"TRUE")+COUNTIFS('أرقام التواصل'!$A$6:$A$505,"client",'أرقام التواصل'!$B$6:$B$505,A235,'أرقام التواصل'!$C$6:$C$505,1))=0),"missing primary contact in أرقام التواصل; ","")&amp;IF(OR(B235="to_candidate",AV235="proposed_name"),IF(AW235="","missing proposed_move_reason; ","")&amp;IF(AX235="","missing proposed_name_key; ",""),"")))))</f>
        <v/>
      </c>
    </row>
    <row r="236" spans="1:53">
      <c r="A236" s="11"/>
      <c r="B236" s="12"/>
      <c r="C236" s="13"/>
      <c r="D236" s="12"/>
      <c r="E236" s="12"/>
      <c r="F236" s="12"/>
      <c r="G236" s="12"/>
      <c r="H236" s="12"/>
      <c r="I236" s="12"/>
      <c r="J236" s="12"/>
      <c r="K236" s="12" t="str">
        <f t="shared" si="5"/>
        <v/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 t="str">
        <f t="shared" si="6"/>
        <v/>
      </c>
      <c r="V236" s="12"/>
      <c r="W236" s="14"/>
      <c r="X236" s="14"/>
      <c r="Y236" s="13"/>
      <c r="Z236" s="12"/>
      <c r="AA236" s="12"/>
      <c r="AB236" s="12"/>
      <c r="AC236" s="12"/>
      <c r="AD236" s="15"/>
      <c r="AE236" s="12"/>
      <c r="AF236" s="13"/>
      <c r="AG236" s="12"/>
      <c r="AH236" s="12"/>
      <c r="AI236" s="15"/>
      <c r="AJ236" s="12"/>
      <c r="AK236" s="12"/>
      <c r="AL236" s="12"/>
      <c r="AM236" s="12"/>
      <c r="AN236" s="12"/>
      <c r="AO236" s="12"/>
      <c r="AP236" s="12"/>
      <c r="AQ236" s="15"/>
      <c r="AR236" s="12"/>
      <c r="AS236" s="12"/>
      <c r="AT236" s="12"/>
      <c r="AU236" s="12"/>
      <c r="AV236" s="12"/>
      <c r="AW236" s="12"/>
      <c r="AX236" s="13"/>
      <c r="AY236" s="12"/>
      <c r="AZ236" s="12" t="str">
        <f>IF(AND(A236="",B236="",E236="",G236="",I236="",AV236="",AX236=""),"",IF(OR(B236="skip",AV236="skip"),"SKIP",IF(OR(B236="to_candidate",AV236="proposed_name"),IF(OR(A236="",AW236="",AX236="",COUNTIF($A$6:$A$505,A236)&gt;1),"REVIEW","TO_PROPOSED"),IF(OR(B236="",A236="",E236="",G236="",I236="",U236="",AV236="",COUNTIF($A$6:$A$505,A236)&gt;1,(COUNTIFS('أرقام التواصل'!$A$6:$A$505,"client",'أرقام التواصل'!$B$6:$B$505,A236,'أرقام التواصل'!$I$6:$I$505,"TRUE")+COUNTIFS('أرقام التواصل'!$A$6:$A$505,"client",'أرقام التواصل'!$B$6:$B$505,A236,'أرقام التواصل'!$C$6:$C$505,1))=0),"REVIEW","READY"))))</f>
        <v/>
      </c>
      <c r="BA236" s="16" t="str">
        <f>IF(AZ236="","",IF(OR(AZ236="READY",AZ236="TO_PROPOSED"),"",IF(AZ236="SKIP","Skipped by decision",TRIM(IF(B236="","missing import_action; ","")&amp;IF(A236="","missing migration_customer_key; ","")&amp;IF(AND(A236&lt;&gt;"",COUNTIF($A$6:$A$505,A236)&gt;1),"duplicate migration_customer_key; ","")&amp;IF(AND(NOT(OR(B236="to_candidate",AV236="proposed_name")),E236=""),"missing branch_id; ","")&amp;IF(AND(NOT(OR(B236="to_candidate",AV236="proposed_name")),G236=""),"missing first_name; ","")&amp;IF(AND(NOT(OR(B236="to_candidate",AV236="proposed_name")),I236=""),"missing last_name; ","")&amp;IF(AND(NOT(OR(B236="to_candidate",AV236="proposed_name")),U236=""),"missing final_geo_unit_id; ","")&amp;IF(AV236="","missing final_destination; ","")&amp;IF(AND(NOT(OR(B236="to_candidate",AV236="proposed_name")),(COUNTIFS('أرقام التواصل'!$A$6:$A$505,"client",'أرقام التواصل'!$B$6:$B$505,A236,'أرقام التواصل'!$I$6:$I$505,"TRUE")+COUNTIFS('أرقام التواصل'!$A$6:$A$505,"client",'أرقام التواصل'!$B$6:$B$505,A236,'أرقام التواصل'!$C$6:$C$505,1))=0),"missing primary contact in أرقام التواصل; ","")&amp;IF(OR(B236="to_candidate",AV236="proposed_name"),IF(AW236="","missing proposed_move_reason; ","")&amp;IF(AX236="","missing proposed_name_key; ",""),"")))))</f>
        <v/>
      </c>
    </row>
    <row r="237" spans="1:53">
      <c r="A237" s="11"/>
      <c r="B237" s="12"/>
      <c r="C237" s="13"/>
      <c r="D237" s="12"/>
      <c r="E237" s="12"/>
      <c r="F237" s="12"/>
      <c r="G237" s="12"/>
      <c r="H237" s="12"/>
      <c r="I237" s="12"/>
      <c r="J237" s="12"/>
      <c r="K237" s="12" t="str">
        <f t="shared" si="5"/>
        <v/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 t="str">
        <f t="shared" si="6"/>
        <v/>
      </c>
      <c r="V237" s="12"/>
      <c r="W237" s="14"/>
      <c r="X237" s="14"/>
      <c r="Y237" s="13"/>
      <c r="Z237" s="12"/>
      <c r="AA237" s="12"/>
      <c r="AB237" s="12"/>
      <c r="AC237" s="12"/>
      <c r="AD237" s="15"/>
      <c r="AE237" s="12"/>
      <c r="AF237" s="13"/>
      <c r="AG237" s="12"/>
      <c r="AH237" s="12"/>
      <c r="AI237" s="15"/>
      <c r="AJ237" s="12"/>
      <c r="AK237" s="12"/>
      <c r="AL237" s="12"/>
      <c r="AM237" s="12"/>
      <c r="AN237" s="12"/>
      <c r="AO237" s="12"/>
      <c r="AP237" s="12"/>
      <c r="AQ237" s="15"/>
      <c r="AR237" s="12"/>
      <c r="AS237" s="12"/>
      <c r="AT237" s="12"/>
      <c r="AU237" s="12"/>
      <c r="AV237" s="12"/>
      <c r="AW237" s="12"/>
      <c r="AX237" s="13"/>
      <c r="AY237" s="12"/>
      <c r="AZ237" s="12" t="str">
        <f>IF(AND(A237="",B237="",E237="",G237="",I237="",AV237="",AX237=""),"",IF(OR(B237="skip",AV237="skip"),"SKIP",IF(OR(B237="to_candidate",AV237="proposed_name"),IF(OR(A237="",AW237="",AX237="",COUNTIF($A$6:$A$505,A237)&gt;1),"REVIEW","TO_PROPOSED"),IF(OR(B237="",A237="",E237="",G237="",I237="",U237="",AV237="",COUNTIF($A$6:$A$505,A237)&gt;1,(COUNTIFS('أرقام التواصل'!$A$6:$A$505,"client",'أرقام التواصل'!$B$6:$B$505,A237,'أرقام التواصل'!$I$6:$I$505,"TRUE")+COUNTIFS('أرقام التواصل'!$A$6:$A$505,"client",'أرقام التواصل'!$B$6:$B$505,A237,'أرقام التواصل'!$C$6:$C$505,1))=0),"REVIEW","READY"))))</f>
        <v/>
      </c>
      <c r="BA237" s="16" t="str">
        <f>IF(AZ237="","",IF(OR(AZ237="READY",AZ237="TO_PROPOSED"),"",IF(AZ237="SKIP","Skipped by decision",TRIM(IF(B237="","missing import_action; ","")&amp;IF(A237="","missing migration_customer_key; ","")&amp;IF(AND(A237&lt;&gt;"",COUNTIF($A$6:$A$505,A237)&gt;1),"duplicate migration_customer_key; ","")&amp;IF(AND(NOT(OR(B237="to_candidate",AV237="proposed_name")),E237=""),"missing branch_id; ","")&amp;IF(AND(NOT(OR(B237="to_candidate",AV237="proposed_name")),G237=""),"missing first_name; ","")&amp;IF(AND(NOT(OR(B237="to_candidate",AV237="proposed_name")),I237=""),"missing last_name; ","")&amp;IF(AND(NOT(OR(B237="to_candidate",AV237="proposed_name")),U237=""),"missing final_geo_unit_id; ","")&amp;IF(AV237="","missing final_destination; ","")&amp;IF(AND(NOT(OR(B237="to_candidate",AV237="proposed_name")),(COUNTIFS('أرقام التواصل'!$A$6:$A$505,"client",'أرقام التواصل'!$B$6:$B$505,A237,'أرقام التواصل'!$I$6:$I$505,"TRUE")+COUNTIFS('أرقام التواصل'!$A$6:$A$505,"client",'أرقام التواصل'!$B$6:$B$505,A237,'أرقام التواصل'!$C$6:$C$505,1))=0),"missing primary contact in أرقام التواصل; ","")&amp;IF(OR(B237="to_candidate",AV237="proposed_name"),IF(AW237="","missing proposed_move_reason; ","")&amp;IF(AX237="","missing proposed_name_key; ",""),"")))))</f>
        <v/>
      </c>
    </row>
    <row r="238" spans="1:53">
      <c r="A238" s="11"/>
      <c r="B238" s="12"/>
      <c r="C238" s="13"/>
      <c r="D238" s="12"/>
      <c r="E238" s="12"/>
      <c r="F238" s="12"/>
      <c r="G238" s="12"/>
      <c r="H238" s="12"/>
      <c r="I238" s="12"/>
      <c r="J238" s="12"/>
      <c r="K238" s="12" t="str">
        <f t="shared" si="5"/>
        <v/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 t="str">
        <f t="shared" si="6"/>
        <v/>
      </c>
      <c r="V238" s="12"/>
      <c r="W238" s="14"/>
      <c r="X238" s="14"/>
      <c r="Y238" s="13"/>
      <c r="Z238" s="12"/>
      <c r="AA238" s="12"/>
      <c r="AB238" s="12"/>
      <c r="AC238" s="12"/>
      <c r="AD238" s="15"/>
      <c r="AE238" s="12"/>
      <c r="AF238" s="13"/>
      <c r="AG238" s="12"/>
      <c r="AH238" s="12"/>
      <c r="AI238" s="15"/>
      <c r="AJ238" s="12"/>
      <c r="AK238" s="12"/>
      <c r="AL238" s="12"/>
      <c r="AM238" s="12"/>
      <c r="AN238" s="12"/>
      <c r="AO238" s="12"/>
      <c r="AP238" s="12"/>
      <c r="AQ238" s="15"/>
      <c r="AR238" s="12"/>
      <c r="AS238" s="12"/>
      <c r="AT238" s="12"/>
      <c r="AU238" s="12"/>
      <c r="AV238" s="12"/>
      <c r="AW238" s="12"/>
      <c r="AX238" s="13"/>
      <c r="AY238" s="12"/>
      <c r="AZ238" s="12" t="str">
        <f>IF(AND(A238="",B238="",E238="",G238="",I238="",AV238="",AX238=""),"",IF(OR(B238="skip",AV238="skip"),"SKIP",IF(OR(B238="to_candidate",AV238="proposed_name"),IF(OR(A238="",AW238="",AX238="",COUNTIF($A$6:$A$505,A238)&gt;1),"REVIEW","TO_PROPOSED"),IF(OR(B238="",A238="",E238="",G238="",I238="",U238="",AV238="",COUNTIF($A$6:$A$505,A238)&gt;1,(COUNTIFS('أرقام التواصل'!$A$6:$A$505,"client",'أرقام التواصل'!$B$6:$B$505,A238,'أرقام التواصل'!$I$6:$I$505,"TRUE")+COUNTIFS('أرقام التواصل'!$A$6:$A$505,"client",'أرقام التواصل'!$B$6:$B$505,A238,'أرقام التواصل'!$C$6:$C$505,1))=0),"REVIEW","READY"))))</f>
        <v/>
      </c>
      <c r="BA238" s="16" t="str">
        <f>IF(AZ238="","",IF(OR(AZ238="READY",AZ238="TO_PROPOSED"),"",IF(AZ238="SKIP","Skipped by decision",TRIM(IF(B238="","missing import_action; ","")&amp;IF(A238="","missing migration_customer_key; ","")&amp;IF(AND(A238&lt;&gt;"",COUNTIF($A$6:$A$505,A238)&gt;1),"duplicate migration_customer_key; ","")&amp;IF(AND(NOT(OR(B238="to_candidate",AV238="proposed_name")),E238=""),"missing branch_id; ","")&amp;IF(AND(NOT(OR(B238="to_candidate",AV238="proposed_name")),G238=""),"missing first_name; ","")&amp;IF(AND(NOT(OR(B238="to_candidate",AV238="proposed_name")),I238=""),"missing last_name; ","")&amp;IF(AND(NOT(OR(B238="to_candidate",AV238="proposed_name")),U238=""),"missing final_geo_unit_id; ","")&amp;IF(AV238="","missing final_destination; ","")&amp;IF(AND(NOT(OR(B238="to_candidate",AV238="proposed_name")),(COUNTIFS('أرقام التواصل'!$A$6:$A$505,"client",'أرقام التواصل'!$B$6:$B$505,A238,'أرقام التواصل'!$I$6:$I$505,"TRUE")+COUNTIFS('أرقام التواصل'!$A$6:$A$505,"client",'أرقام التواصل'!$B$6:$B$505,A238,'أرقام التواصل'!$C$6:$C$505,1))=0),"missing primary contact in أرقام التواصل; ","")&amp;IF(OR(B238="to_candidate",AV238="proposed_name"),IF(AW238="","missing proposed_move_reason; ","")&amp;IF(AX238="","missing proposed_name_key; ",""),"")))))</f>
        <v/>
      </c>
    </row>
    <row r="239" spans="1:53">
      <c r="A239" s="11"/>
      <c r="B239" s="12"/>
      <c r="C239" s="13"/>
      <c r="D239" s="12"/>
      <c r="E239" s="12"/>
      <c r="F239" s="12"/>
      <c r="G239" s="12"/>
      <c r="H239" s="12"/>
      <c r="I239" s="12"/>
      <c r="J239" s="12"/>
      <c r="K239" s="12" t="str">
        <f t="shared" si="5"/>
        <v/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 t="str">
        <f t="shared" si="6"/>
        <v/>
      </c>
      <c r="V239" s="12"/>
      <c r="W239" s="14"/>
      <c r="X239" s="14"/>
      <c r="Y239" s="13"/>
      <c r="Z239" s="12"/>
      <c r="AA239" s="12"/>
      <c r="AB239" s="12"/>
      <c r="AC239" s="12"/>
      <c r="AD239" s="15"/>
      <c r="AE239" s="12"/>
      <c r="AF239" s="13"/>
      <c r="AG239" s="12"/>
      <c r="AH239" s="12"/>
      <c r="AI239" s="15"/>
      <c r="AJ239" s="12"/>
      <c r="AK239" s="12"/>
      <c r="AL239" s="12"/>
      <c r="AM239" s="12"/>
      <c r="AN239" s="12"/>
      <c r="AO239" s="12"/>
      <c r="AP239" s="12"/>
      <c r="AQ239" s="15"/>
      <c r="AR239" s="12"/>
      <c r="AS239" s="12"/>
      <c r="AT239" s="12"/>
      <c r="AU239" s="12"/>
      <c r="AV239" s="12"/>
      <c r="AW239" s="12"/>
      <c r="AX239" s="13"/>
      <c r="AY239" s="12"/>
      <c r="AZ239" s="12" t="str">
        <f>IF(AND(A239="",B239="",E239="",G239="",I239="",AV239="",AX239=""),"",IF(OR(B239="skip",AV239="skip"),"SKIP",IF(OR(B239="to_candidate",AV239="proposed_name"),IF(OR(A239="",AW239="",AX239="",COUNTIF($A$6:$A$505,A239)&gt;1),"REVIEW","TO_PROPOSED"),IF(OR(B239="",A239="",E239="",G239="",I239="",U239="",AV239="",COUNTIF($A$6:$A$505,A239)&gt;1,(COUNTIFS('أرقام التواصل'!$A$6:$A$505,"client",'أرقام التواصل'!$B$6:$B$505,A239,'أرقام التواصل'!$I$6:$I$505,"TRUE")+COUNTIFS('أرقام التواصل'!$A$6:$A$505,"client",'أرقام التواصل'!$B$6:$B$505,A239,'أرقام التواصل'!$C$6:$C$505,1))=0),"REVIEW","READY"))))</f>
        <v/>
      </c>
      <c r="BA239" s="16" t="str">
        <f>IF(AZ239="","",IF(OR(AZ239="READY",AZ239="TO_PROPOSED"),"",IF(AZ239="SKIP","Skipped by decision",TRIM(IF(B239="","missing import_action; ","")&amp;IF(A239="","missing migration_customer_key; ","")&amp;IF(AND(A239&lt;&gt;"",COUNTIF($A$6:$A$505,A239)&gt;1),"duplicate migration_customer_key; ","")&amp;IF(AND(NOT(OR(B239="to_candidate",AV239="proposed_name")),E239=""),"missing branch_id; ","")&amp;IF(AND(NOT(OR(B239="to_candidate",AV239="proposed_name")),G239=""),"missing first_name; ","")&amp;IF(AND(NOT(OR(B239="to_candidate",AV239="proposed_name")),I239=""),"missing last_name; ","")&amp;IF(AND(NOT(OR(B239="to_candidate",AV239="proposed_name")),U239=""),"missing final_geo_unit_id; ","")&amp;IF(AV239="","missing final_destination; ","")&amp;IF(AND(NOT(OR(B239="to_candidate",AV239="proposed_name")),(COUNTIFS('أرقام التواصل'!$A$6:$A$505,"client",'أرقام التواصل'!$B$6:$B$505,A239,'أرقام التواصل'!$I$6:$I$505,"TRUE")+COUNTIFS('أرقام التواصل'!$A$6:$A$505,"client",'أرقام التواصل'!$B$6:$B$505,A239,'أرقام التواصل'!$C$6:$C$505,1))=0),"missing primary contact in أرقام التواصل; ","")&amp;IF(OR(B239="to_candidate",AV239="proposed_name"),IF(AW239="","missing proposed_move_reason; ","")&amp;IF(AX239="","missing proposed_name_key; ",""),"")))))</f>
        <v/>
      </c>
    </row>
    <row r="240" spans="1:53">
      <c r="A240" s="11"/>
      <c r="B240" s="12"/>
      <c r="C240" s="13"/>
      <c r="D240" s="12"/>
      <c r="E240" s="12"/>
      <c r="F240" s="12"/>
      <c r="G240" s="12"/>
      <c r="H240" s="12"/>
      <c r="I240" s="12"/>
      <c r="J240" s="12"/>
      <c r="K240" s="12" t="str">
        <f t="shared" si="5"/>
        <v/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 t="str">
        <f t="shared" si="6"/>
        <v/>
      </c>
      <c r="V240" s="12"/>
      <c r="W240" s="14"/>
      <c r="X240" s="14"/>
      <c r="Y240" s="13"/>
      <c r="Z240" s="12"/>
      <c r="AA240" s="12"/>
      <c r="AB240" s="12"/>
      <c r="AC240" s="12"/>
      <c r="AD240" s="15"/>
      <c r="AE240" s="12"/>
      <c r="AF240" s="13"/>
      <c r="AG240" s="12"/>
      <c r="AH240" s="12"/>
      <c r="AI240" s="15"/>
      <c r="AJ240" s="12"/>
      <c r="AK240" s="12"/>
      <c r="AL240" s="12"/>
      <c r="AM240" s="12"/>
      <c r="AN240" s="12"/>
      <c r="AO240" s="12"/>
      <c r="AP240" s="12"/>
      <c r="AQ240" s="15"/>
      <c r="AR240" s="12"/>
      <c r="AS240" s="12"/>
      <c r="AT240" s="12"/>
      <c r="AU240" s="12"/>
      <c r="AV240" s="12"/>
      <c r="AW240" s="12"/>
      <c r="AX240" s="13"/>
      <c r="AY240" s="12"/>
      <c r="AZ240" s="12" t="str">
        <f>IF(AND(A240="",B240="",E240="",G240="",I240="",AV240="",AX240=""),"",IF(OR(B240="skip",AV240="skip"),"SKIP",IF(OR(B240="to_candidate",AV240="proposed_name"),IF(OR(A240="",AW240="",AX240="",COUNTIF($A$6:$A$505,A240)&gt;1),"REVIEW","TO_PROPOSED"),IF(OR(B240="",A240="",E240="",G240="",I240="",U240="",AV240="",COUNTIF($A$6:$A$505,A240)&gt;1,(COUNTIFS('أرقام التواصل'!$A$6:$A$505,"client",'أرقام التواصل'!$B$6:$B$505,A240,'أرقام التواصل'!$I$6:$I$505,"TRUE")+COUNTIFS('أرقام التواصل'!$A$6:$A$505,"client",'أرقام التواصل'!$B$6:$B$505,A240,'أرقام التواصل'!$C$6:$C$505,1))=0),"REVIEW","READY"))))</f>
        <v/>
      </c>
      <c r="BA240" s="16" t="str">
        <f>IF(AZ240="","",IF(OR(AZ240="READY",AZ240="TO_PROPOSED"),"",IF(AZ240="SKIP","Skipped by decision",TRIM(IF(B240="","missing import_action; ","")&amp;IF(A240="","missing migration_customer_key; ","")&amp;IF(AND(A240&lt;&gt;"",COUNTIF($A$6:$A$505,A240)&gt;1),"duplicate migration_customer_key; ","")&amp;IF(AND(NOT(OR(B240="to_candidate",AV240="proposed_name")),E240=""),"missing branch_id; ","")&amp;IF(AND(NOT(OR(B240="to_candidate",AV240="proposed_name")),G240=""),"missing first_name; ","")&amp;IF(AND(NOT(OR(B240="to_candidate",AV240="proposed_name")),I240=""),"missing last_name; ","")&amp;IF(AND(NOT(OR(B240="to_candidate",AV240="proposed_name")),U240=""),"missing final_geo_unit_id; ","")&amp;IF(AV240="","missing final_destination; ","")&amp;IF(AND(NOT(OR(B240="to_candidate",AV240="proposed_name")),(COUNTIFS('أرقام التواصل'!$A$6:$A$505,"client",'أرقام التواصل'!$B$6:$B$505,A240,'أرقام التواصل'!$I$6:$I$505,"TRUE")+COUNTIFS('أرقام التواصل'!$A$6:$A$505,"client",'أرقام التواصل'!$B$6:$B$505,A240,'أرقام التواصل'!$C$6:$C$505,1))=0),"missing primary contact in أرقام التواصل; ","")&amp;IF(OR(B240="to_candidate",AV240="proposed_name"),IF(AW240="","missing proposed_move_reason; ","")&amp;IF(AX240="","missing proposed_name_key; ",""),"")))))</f>
        <v/>
      </c>
    </row>
    <row r="241" spans="1:53">
      <c r="A241" s="11"/>
      <c r="B241" s="12"/>
      <c r="C241" s="13"/>
      <c r="D241" s="12"/>
      <c r="E241" s="12"/>
      <c r="F241" s="12"/>
      <c r="G241" s="12"/>
      <c r="H241" s="12"/>
      <c r="I241" s="12"/>
      <c r="J241" s="12"/>
      <c r="K241" s="12" t="str">
        <f t="shared" si="5"/>
        <v/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 t="str">
        <f t="shared" si="6"/>
        <v/>
      </c>
      <c r="V241" s="12"/>
      <c r="W241" s="14"/>
      <c r="X241" s="14"/>
      <c r="Y241" s="13"/>
      <c r="Z241" s="12"/>
      <c r="AA241" s="12"/>
      <c r="AB241" s="12"/>
      <c r="AC241" s="12"/>
      <c r="AD241" s="15"/>
      <c r="AE241" s="12"/>
      <c r="AF241" s="13"/>
      <c r="AG241" s="12"/>
      <c r="AH241" s="12"/>
      <c r="AI241" s="15"/>
      <c r="AJ241" s="12"/>
      <c r="AK241" s="12"/>
      <c r="AL241" s="12"/>
      <c r="AM241" s="12"/>
      <c r="AN241" s="12"/>
      <c r="AO241" s="12"/>
      <c r="AP241" s="12"/>
      <c r="AQ241" s="15"/>
      <c r="AR241" s="12"/>
      <c r="AS241" s="12"/>
      <c r="AT241" s="12"/>
      <c r="AU241" s="12"/>
      <c r="AV241" s="12"/>
      <c r="AW241" s="12"/>
      <c r="AX241" s="13"/>
      <c r="AY241" s="12"/>
      <c r="AZ241" s="12" t="str">
        <f>IF(AND(A241="",B241="",E241="",G241="",I241="",AV241="",AX241=""),"",IF(OR(B241="skip",AV241="skip"),"SKIP",IF(OR(B241="to_candidate",AV241="proposed_name"),IF(OR(A241="",AW241="",AX241="",COUNTIF($A$6:$A$505,A241)&gt;1),"REVIEW","TO_PROPOSED"),IF(OR(B241="",A241="",E241="",G241="",I241="",U241="",AV241="",COUNTIF($A$6:$A$505,A241)&gt;1,(COUNTIFS('أرقام التواصل'!$A$6:$A$505,"client",'أرقام التواصل'!$B$6:$B$505,A241,'أرقام التواصل'!$I$6:$I$505,"TRUE")+COUNTIFS('أرقام التواصل'!$A$6:$A$505,"client",'أرقام التواصل'!$B$6:$B$505,A241,'أرقام التواصل'!$C$6:$C$505,1))=0),"REVIEW","READY"))))</f>
        <v/>
      </c>
      <c r="BA241" s="16" t="str">
        <f>IF(AZ241="","",IF(OR(AZ241="READY",AZ241="TO_PROPOSED"),"",IF(AZ241="SKIP","Skipped by decision",TRIM(IF(B241="","missing import_action; ","")&amp;IF(A241="","missing migration_customer_key; ","")&amp;IF(AND(A241&lt;&gt;"",COUNTIF($A$6:$A$505,A241)&gt;1),"duplicate migration_customer_key; ","")&amp;IF(AND(NOT(OR(B241="to_candidate",AV241="proposed_name")),E241=""),"missing branch_id; ","")&amp;IF(AND(NOT(OR(B241="to_candidate",AV241="proposed_name")),G241=""),"missing first_name; ","")&amp;IF(AND(NOT(OR(B241="to_candidate",AV241="proposed_name")),I241=""),"missing last_name; ","")&amp;IF(AND(NOT(OR(B241="to_candidate",AV241="proposed_name")),U241=""),"missing final_geo_unit_id; ","")&amp;IF(AV241="","missing final_destination; ","")&amp;IF(AND(NOT(OR(B241="to_candidate",AV241="proposed_name")),(COUNTIFS('أرقام التواصل'!$A$6:$A$505,"client",'أرقام التواصل'!$B$6:$B$505,A241,'أرقام التواصل'!$I$6:$I$505,"TRUE")+COUNTIFS('أرقام التواصل'!$A$6:$A$505,"client",'أرقام التواصل'!$B$6:$B$505,A241,'أرقام التواصل'!$C$6:$C$505,1))=0),"missing primary contact in أرقام التواصل; ","")&amp;IF(OR(B241="to_candidate",AV241="proposed_name"),IF(AW241="","missing proposed_move_reason; ","")&amp;IF(AX241="","missing proposed_name_key; ",""),"")))))</f>
        <v/>
      </c>
    </row>
    <row r="242" spans="1:53">
      <c r="A242" s="11"/>
      <c r="B242" s="12"/>
      <c r="C242" s="13"/>
      <c r="D242" s="12"/>
      <c r="E242" s="12"/>
      <c r="F242" s="12"/>
      <c r="G242" s="12"/>
      <c r="H242" s="12"/>
      <c r="I242" s="12"/>
      <c r="J242" s="12"/>
      <c r="K242" s="12" t="str">
        <f t="shared" si="5"/>
        <v/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 t="str">
        <f t="shared" si="6"/>
        <v/>
      </c>
      <c r="V242" s="12"/>
      <c r="W242" s="14"/>
      <c r="X242" s="14"/>
      <c r="Y242" s="13"/>
      <c r="Z242" s="12"/>
      <c r="AA242" s="12"/>
      <c r="AB242" s="12"/>
      <c r="AC242" s="12"/>
      <c r="AD242" s="15"/>
      <c r="AE242" s="12"/>
      <c r="AF242" s="13"/>
      <c r="AG242" s="12"/>
      <c r="AH242" s="12"/>
      <c r="AI242" s="15"/>
      <c r="AJ242" s="12"/>
      <c r="AK242" s="12"/>
      <c r="AL242" s="12"/>
      <c r="AM242" s="12"/>
      <c r="AN242" s="12"/>
      <c r="AO242" s="12"/>
      <c r="AP242" s="12"/>
      <c r="AQ242" s="15"/>
      <c r="AR242" s="12"/>
      <c r="AS242" s="12"/>
      <c r="AT242" s="12"/>
      <c r="AU242" s="12"/>
      <c r="AV242" s="12"/>
      <c r="AW242" s="12"/>
      <c r="AX242" s="13"/>
      <c r="AY242" s="12"/>
      <c r="AZ242" s="12" t="str">
        <f>IF(AND(A242="",B242="",E242="",G242="",I242="",AV242="",AX242=""),"",IF(OR(B242="skip",AV242="skip"),"SKIP",IF(OR(B242="to_candidate",AV242="proposed_name"),IF(OR(A242="",AW242="",AX242="",COUNTIF($A$6:$A$505,A242)&gt;1),"REVIEW","TO_PROPOSED"),IF(OR(B242="",A242="",E242="",G242="",I242="",U242="",AV242="",COUNTIF($A$6:$A$505,A242)&gt;1,(COUNTIFS('أرقام التواصل'!$A$6:$A$505,"client",'أرقام التواصل'!$B$6:$B$505,A242,'أرقام التواصل'!$I$6:$I$505,"TRUE")+COUNTIFS('أرقام التواصل'!$A$6:$A$505,"client",'أرقام التواصل'!$B$6:$B$505,A242,'أرقام التواصل'!$C$6:$C$505,1))=0),"REVIEW","READY"))))</f>
        <v/>
      </c>
      <c r="BA242" s="16" t="str">
        <f>IF(AZ242="","",IF(OR(AZ242="READY",AZ242="TO_PROPOSED"),"",IF(AZ242="SKIP","Skipped by decision",TRIM(IF(B242="","missing import_action; ","")&amp;IF(A242="","missing migration_customer_key; ","")&amp;IF(AND(A242&lt;&gt;"",COUNTIF($A$6:$A$505,A242)&gt;1),"duplicate migration_customer_key; ","")&amp;IF(AND(NOT(OR(B242="to_candidate",AV242="proposed_name")),E242=""),"missing branch_id; ","")&amp;IF(AND(NOT(OR(B242="to_candidate",AV242="proposed_name")),G242=""),"missing first_name; ","")&amp;IF(AND(NOT(OR(B242="to_candidate",AV242="proposed_name")),I242=""),"missing last_name; ","")&amp;IF(AND(NOT(OR(B242="to_candidate",AV242="proposed_name")),U242=""),"missing final_geo_unit_id; ","")&amp;IF(AV242="","missing final_destination; ","")&amp;IF(AND(NOT(OR(B242="to_candidate",AV242="proposed_name")),(COUNTIFS('أرقام التواصل'!$A$6:$A$505,"client",'أرقام التواصل'!$B$6:$B$505,A242,'أرقام التواصل'!$I$6:$I$505,"TRUE")+COUNTIFS('أرقام التواصل'!$A$6:$A$505,"client",'أرقام التواصل'!$B$6:$B$505,A242,'أرقام التواصل'!$C$6:$C$505,1))=0),"missing primary contact in أرقام التواصل; ","")&amp;IF(OR(B242="to_candidate",AV242="proposed_name"),IF(AW242="","missing proposed_move_reason; ","")&amp;IF(AX242="","missing proposed_name_key; ",""),"")))))</f>
        <v/>
      </c>
    </row>
    <row r="243" spans="1:53">
      <c r="A243" s="11"/>
      <c r="B243" s="12"/>
      <c r="C243" s="13"/>
      <c r="D243" s="12"/>
      <c r="E243" s="12"/>
      <c r="F243" s="12"/>
      <c r="G243" s="12"/>
      <c r="H243" s="12"/>
      <c r="I243" s="12"/>
      <c r="J243" s="12"/>
      <c r="K243" s="12" t="str">
        <f t="shared" si="5"/>
        <v/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 t="str">
        <f t="shared" si="6"/>
        <v/>
      </c>
      <c r="V243" s="12"/>
      <c r="W243" s="14"/>
      <c r="X243" s="14"/>
      <c r="Y243" s="13"/>
      <c r="Z243" s="12"/>
      <c r="AA243" s="12"/>
      <c r="AB243" s="12"/>
      <c r="AC243" s="12"/>
      <c r="AD243" s="15"/>
      <c r="AE243" s="12"/>
      <c r="AF243" s="13"/>
      <c r="AG243" s="12"/>
      <c r="AH243" s="12"/>
      <c r="AI243" s="15"/>
      <c r="AJ243" s="12"/>
      <c r="AK243" s="12"/>
      <c r="AL243" s="12"/>
      <c r="AM243" s="12"/>
      <c r="AN243" s="12"/>
      <c r="AO243" s="12"/>
      <c r="AP243" s="12"/>
      <c r="AQ243" s="15"/>
      <c r="AR243" s="12"/>
      <c r="AS243" s="12"/>
      <c r="AT243" s="12"/>
      <c r="AU243" s="12"/>
      <c r="AV243" s="12"/>
      <c r="AW243" s="12"/>
      <c r="AX243" s="13"/>
      <c r="AY243" s="12"/>
      <c r="AZ243" s="12" t="str">
        <f>IF(AND(A243="",B243="",E243="",G243="",I243="",AV243="",AX243=""),"",IF(OR(B243="skip",AV243="skip"),"SKIP",IF(OR(B243="to_candidate",AV243="proposed_name"),IF(OR(A243="",AW243="",AX243="",COUNTIF($A$6:$A$505,A243)&gt;1),"REVIEW","TO_PROPOSED"),IF(OR(B243="",A243="",E243="",G243="",I243="",U243="",AV243="",COUNTIF($A$6:$A$505,A243)&gt;1,(COUNTIFS('أرقام التواصل'!$A$6:$A$505,"client",'أرقام التواصل'!$B$6:$B$505,A243,'أرقام التواصل'!$I$6:$I$505,"TRUE")+COUNTIFS('أرقام التواصل'!$A$6:$A$505,"client",'أرقام التواصل'!$B$6:$B$505,A243,'أرقام التواصل'!$C$6:$C$505,1))=0),"REVIEW","READY"))))</f>
        <v/>
      </c>
      <c r="BA243" s="16" t="str">
        <f>IF(AZ243="","",IF(OR(AZ243="READY",AZ243="TO_PROPOSED"),"",IF(AZ243="SKIP","Skipped by decision",TRIM(IF(B243="","missing import_action; ","")&amp;IF(A243="","missing migration_customer_key; ","")&amp;IF(AND(A243&lt;&gt;"",COUNTIF($A$6:$A$505,A243)&gt;1),"duplicate migration_customer_key; ","")&amp;IF(AND(NOT(OR(B243="to_candidate",AV243="proposed_name")),E243=""),"missing branch_id; ","")&amp;IF(AND(NOT(OR(B243="to_candidate",AV243="proposed_name")),G243=""),"missing first_name; ","")&amp;IF(AND(NOT(OR(B243="to_candidate",AV243="proposed_name")),I243=""),"missing last_name; ","")&amp;IF(AND(NOT(OR(B243="to_candidate",AV243="proposed_name")),U243=""),"missing final_geo_unit_id; ","")&amp;IF(AV243="","missing final_destination; ","")&amp;IF(AND(NOT(OR(B243="to_candidate",AV243="proposed_name")),(COUNTIFS('أرقام التواصل'!$A$6:$A$505,"client",'أرقام التواصل'!$B$6:$B$505,A243,'أرقام التواصل'!$I$6:$I$505,"TRUE")+COUNTIFS('أرقام التواصل'!$A$6:$A$505,"client",'أرقام التواصل'!$B$6:$B$505,A243,'أرقام التواصل'!$C$6:$C$505,1))=0),"missing primary contact in أرقام التواصل; ","")&amp;IF(OR(B243="to_candidate",AV243="proposed_name"),IF(AW243="","missing proposed_move_reason; ","")&amp;IF(AX243="","missing proposed_name_key; ",""),"")))))</f>
        <v/>
      </c>
    </row>
    <row r="244" spans="1:53">
      <c r="A244" s="11"/>
      <c r="B244" s="12"/>
      <c r="C244" s="13"/>
      <c r="D244" s="12"/>
      <c r="E244" s="12"/>
      <c r="F244" s="12"/>
      <c r="G244" s="12"/>
      <c r="H244" s="12"/>
      <c r="I244" s="12"/>
      <c r="J244" s="12"/>
      <c r="K244" s="12" t="str">
        <f t="shared" si="5"/>
        <v/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 t="str">
        <f t="shared" si="6"/>
        <v/>
      </c>
      <c r="V244" s="12"/>
      <c r="W244" s="14"/>
      <c r="X244" s="14"/>
      <c r="Y244" s="13"/>
      <c r="Z244" s="12"/>
      <c r="AA244" s="12"/>
      <c r="AB244" s="12"/>
      <c r="AC244" s="12"/>
      <c r="AD244" s="15"/>
      <c r="AE244" s="12"/>
      <c r="AF244" s="13"/>
      <c r="AG244" s="12"/>
      <c r="AH244" s="12"/>
      <c r="AI244" s="15"/>
      <c r="AJ244" s="12"/>
      <c r="AK244" s="12"/>
      <c r="AL244" s="12"/>
      <c r="AM244" s="12"/>
      <c r="AN244" s="12"/>
      <c r="AO244" s="12"/>
      <c r="AP244" s="12"/>
      <c r="AQ244" s="15"/>
      <c r="AR244" s="12"/>
      <c r="AS244" s="12"/>
      <c r="AT244" s="12"/>
      <c r="AU244" s="12"/>
      <c r="AV244" s="12"/>
      <c r="AW244" s="12"/>
      <c r="AX244" s="13"/>
      <c r="AY244" s="12"/>
      <c r="AZ244" s="12" t="str">
        <f>IF(AND(A244="",B244="",E244="",G244="",I244="",AV244="",AX244=""),"",IF(OR(B244="skip",AV244="skip"),"SKIP",IF(OR(B244="to_candidate",AV244="proposed_name"),IF(OR(A244="",AW244="",AX244="",COUNTIF($A$6:$A$505,A244)&gt;1),"REVIEW","TO_PROPOSED"),IF(OR(B244="",A244="",E244="",G244="",I244="",U244="",AV244="",COUNTIF($A$6:$A$505,A244)&gt;1,(COUNTIFS('أرقام التواصل'!$A$6:$A$505,"client",'أرقام التواصل'!$B$6:$B$505,A244,'أرقام التواصل'!$I$6:$I$505,"TRUE")+COUNTIFS('أرقام التواصل'!$A$6:$A$505,"client",'أرقام التواصل'!$B$6:$B$505,A244,'أرقام التواصل'!$C$6:$C$505,1))=0),"REVIEW","READY"))))</f>
        <v/>
      </c>
      <c r="BA244" s="16" t="str">
        <f>IF(AZ244="","",IF(OR(AZ244="READY",AZ244="TO_PROPOSED"),"",IF(AZ244="SKIP","Skipped by decision",TRIM(IF(B244="","missing import_action; ","")&amp;IF(A244="","missing migration_customer_key; ","")&amp;IF(AND(A244&lt;&gt;"",COUNTIF($A$6:$A$505,A244)&gt;1),"duplicate migration_customer_key; ","")&amp;IF(AND(NOT(OR(B244="to_candidate",AV244="proposed_name")),E244=""),"missing branch_id; ","")&amp;IF(AND(NOT(OR(B244="to_candidate",AV244="proposed_name")),G244=""),"missing first_name; ","")&amp;IF(AND(NOT(OR(B244="to_candidate",AV244="proposed_name")),I244=""),"missing last_name; ","")&amp;IF(AND(NOT(OR(B244="to_candidate",AV244="proposed_name")),U244=""),"missing final_geo_unit_id; ","")&amp;IF(AV244="","missing final_destination; ","")&amp;IF(AND(NOT(OR(B244="to_candidate",AV244="proposed_name")),(COUNTIFS('أرقام التواصل'!$A$6:$A$505,"client",'أرقام التواصل'!$B$6:$B$505,A244,'أرقام التواصل'!$I$6:$I$505,"TRUE")+COUNTIFS('أرقام التواصل'!$A$6:$A$505,"client",'أرقام التواصل'!$B$6:$B$505,A244,'أرقام التواصل'!$C$6:$C$505,1))=0),"missing primary contact in أرقام التواصل; ","")&amp;IF(OR(B244="to_candidate",AV244="proposed_name"),IF(AW244="","missing proposed_move_reason; ","")&amp;IF(AX244="","missing proposed_name_key; ",""),"")))))</f>
        <v/>
      </c>
    </row>
    <row r="245" spans="1:53">
      <c r="A245" s="11"/>
      <c r="B245" s="12"/>
      <c r="C245" s="13"/>
      <c r="D245" s="12"/>
      <c r="E245" s="12"/>
      <c r="F245" s="12"/>
      <c r="G245" s="12"/>
      <c r="H245" s="12"/>
      <c r="I245" s="12"/>
      <c r="J245" s="12"/>
      <c r="K245" s="12" t="str">
        <f t="shared" si="5"/>
        <v/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 t="str">
        <f t="shared" si="6"/>
        <v/>
      </c>
      <c r="V245" s="12"/>
      <c r="W245" s="14"/>
      <c r="X245" s="14"/>
      <c r="Y245" s="13"/>
      <c r="Z245" s="12"/>
      <c r="AA245" s="12"/>
      <c r="AB245" s="12"/>
      <c r="AC245" s="12"/>
      <c r="AD245" s="15"/>
      <c r="AE245" s="12"/>
      <c r="AF245" s="13"/>
      <c r="AG245" s="12"/>
      <c r="AH245" s="12"/>
      <c r="AI245" s="15"/>
      <c r="AJ245" s="12"/>
      <c r="AK245" s="12"/>
      <c r="AL245" s="12"/>
      <c r="AM245" s="12"/>
      <c r="AN245" s="12"/>
      <c r="AO245" s="12"/>
      <c r="AP245" s="12"/>
      <c r="AQ245" s="15"/>
      <c r="AR245" s="12"/>
      <c r="AS245" s="12"/>
      <c r="AT245" s="12"/>
      <c r="AU245" s="12"/>
      <c r="AV245" s="12"/>
      <c r="AW245" s="12"/>
      <c r="AX245" s="13"/>
      <c r="AY245" s="12"/>
      <c r="AZ245" s="12" t="str">
        <f>IF(AND(A245="",B245="",E245="",G245="",I245="",AV245="",AX245=""),"",IF(OR(B245="skip",AV245="skip"),"SKIP",IF(OR(B245="to_candidate",AV245="proposed_name"),IF(OR(A245="",AW245="",AX245="",COUNTIF($A$6:$A$505,A245)&gt;1),"REVIEW","TO_PROPOSED"),IF(OR(B245="",A245="",E245="",G245="",I245="",U245="",AV245="",COUNTIF($A$6:$A$505,A245)&gt;1,(COUNTIFS('أرقام التواصل'!$A$6:$A$505,"client",'أرقام التواصل'!$B$6:$B$505,A245,'أرقام التواصل'!$I$6:$I$505,"TRUE")+COUNTIFS('أرقام التواصل'!$A$6:$A$505,"client",'أرقام التواصل'!$B$6:$B$505,A245,'أرقام التواصل'!$C$6:$C$505,1))=0),"REVIEW","READY"))))</f>
        <v/>
      </c>
      <c r="BA245" s="16" t="str">
        <f>IF(AZ245="","",IF(OR(AZ245="READY",AZ245="TO_PROPOSED"),"",IF(AZ245="SKIP","Skipped by decision",TRIM(IF(B245="","missing import_action; ","")&amp;IF(A245="","missing migration_customer_key; ","")&amp;IF(AND(A245&lt;&gt;"",COUNTIF($A$6:$A$505,A245)&gt;1),"duplicate migration_customer_key; ","")&amp;IF(AND(NOT(OR(B245="to_candidate",AV245="proposed_name")),E245=""),"missing branch_id; ","")&amp;IF(AND(NOT(OR(B245="to_candidate",AV245="proposed_name")),G245=""),"missing first_name; ","")&amp;IF(AND(NOT(OR(B245="to_candidate",AV245="proposed_name")),I245=""),"missing last_name; ","")&amp;IF(AND(NOT(OR(B245="to_candidate",AV245="proposed_name")),U245=""),"missing final_geo_unit_id; ","")&amp;IF(AV245="","missing final_destination; ","")&amp;IF(AND(NOT(OR(B245="to_candidate",AV245="proposed_name")),(COUNTIFS('أرقام التواصل'!$A$6:$A$505,"client",'أرقام التواصل'!$B$6:$B$505,A245,'أرقام التواصل'!$I$6:$I$505,"TRUE")+COUNTIFS('أرقام التواصل'!$A$6:$A$505,"client",'أرقام التواصل'!$B$6:$B$505,A245,'أرقام التواصل'!$C$6:$C$505,1))=0),"missing primary contact in أرقام التواصل; ","")&amp;IF(OR(B245="to_candidate",AV245="proposed_name"),IF(AW245="","missing proposed_move_reason; ","")&amp;IF(AX245="","missing proposed_name_key; ",""),"")))))</f>
        <v/>
      </c>
    </row>
    <row r="246" spans="1:53">
      <c r="A246" s="11"/>
      <c r="B246" s="12"/>
      <c r="C246" s="13"/>
      <c r="D246" s="12"/>
      <c r="E246" s="12"/>
      <c r="F246" s="12"/>
      <c r="G246" s="12"/>
      <c r="H246" s="12"/>
      <c r="I246" s="12"/>
      <c r="J246" s="12"/>
      <c r="K246" s="12" t="str">
        <f t="shared" si="5"/>
        <v/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 t="str">
        <f t="shared" si="6"/>
        <v/>
      </c>
      <c r="V246" s="12"/>
      <c r="W246" s="14"/>
      <c r="X246" s="14"/>
      <c r="Y246" s="13"/>
      <c r="Z246" s="12"/>
      <c r="AA246" s="12"/>
      <c r="AB246" s="12"/>
      <c r="AC246" s="12"/>
      <c r="AD246" s="15"/>
      <c r="AE246" s="12"/>
      <c r="AF246" s="13"/>
      <c r="AG246" s="12"/>
      <c r="AH246" s="12"/>
      <c r="AI246" s="15"/>
      <c r="AJ246" s="12"/>
      <c r="AK246" s="12"/>
      <c r="AL246" s="12"/>
      <c r="AM246" s="12"/>
      <c r="AN246" s="12"/>
      <c r="AO246" s="12"/>
      <c r="AP246" s="12"/>
      <c r="AQ246" s="15"/>
      <c r="AR246" s="12"/>
      <c r="AS246" s="12"/>
      <c r="AT246" s="12"/>
      <c r="AU246" s="12"/>
      <c r="AV246" s="12"/>
      <c r="AW246" s="12"/>
      <c r="AX246" s="13"/>
      <c r="AY246" s="12"/>
      <c r="AZ246" s="12" t="str">
        <f>IF(AND(A246="",B246="",E246="",G246="",I246="",AV246="",AX246=""),"",IF(OR(B246="skip",AV246="skip"),"SKIP",IF(OR(B246="to_candidate",AV246="proposed_name"),IF(OR(A246="",AW246="",AX246="",COUNTIF($A$6:$A$505,A246)&gt;1),"REVIEW","TO_PROPOSED"),IF(OR(B246="",A246="",E246="",G246="",I246="",U246="",AV246="",COUNTIF($A$6:$A$505,A246)&gt;1,(COUNTIFS('أرقام التواصل'!$A$6:$A$505,"client",'أرقام التواصل'!$B$6:$B$505,A246,'أرقام التواصل'!$I$6:$I$505,"TRUE")+COUNTIFS('أرقام التواصل'!$A$6:$A$505,"client",'أرقام التواصل'!$B$6:$B$505,A246,'أرقام التواصل'!$C$6:$C$505,1))=0),"REVIEW","READY"))))</f>
        <v/>
      </c>
      <c r="BA246" s="16" t="str">
        <f>IF(AZ246="","",IF(OR(AZ246="READY",AZ246="TO_PROPOSED"),"",IF(AZ246="SKIP","Skipped by decision",TRIM(IF(B246="","missing import_action; ","")&amp;IF(A246="","missing migration_customer_key; ","")&amp;IF(AND(A246&lt;&gt;"",COUNTIF($A$6:$A$505,A246)&gt;1),"duplicate migration_customer_key; ","")&amp;IF(AND(NOT(OR(B246="to_candidate",AV246="proposed_name")),E246=""),"missing branch_id; ","")&amp;IF(AND(NOT(OR(B246="to_candidate",AV246="proposed_name")),G246=""),"missing first_name; ","")&amp;IF(AND(NOT(OR(B246="to_candidate",AV246="proposed_name")),I246=""),"missing last_name; ","")&amp;IF(AND(NOT(OR(B246="to_candidate",AV246="proposed_name")),U246=""),"missing final_geo_unit_id; ","")&amp;IF(AV246="","missing final_destination; ","")&amp;IF(AND(NOT(OR(B246="to_candidate",AV246="proposed_name")),(COUNTIFS('أرقام التواصل'!$A$6:$A$505,"client",'أرقام التواصل'!$B$6:$B$505,A246,'أرقام التواصل'!$I$6:$I$505,"TRUE")+COUNTIFS('أرقام التواصل'!$A$6:$A$505,"client",'أرقام التواصل'!$B$6:$B$505,A246,'أرقام التواصل'!$C$6:$C$505,1))=0),"missing primary contact in أرقام التواصل; ","")&amp;IF(OR(B246="to_candidate",AV246="proposed_name"),IF(AW246="","missing proposed_move_reason; ","")&amp;IF(AX246="","missing proposed_name_key; ",""),"")))))</f>
        <v/>
      </c>
    </row>
    <row r="247" spans="1:53">
      <c r="A247" s="11"/>
      <c r="B247" s="12"/>
      <c r="C247" s="13"/>
      <c r="D247" s="12"/>
      <c r="E247" s="12"/>
      <c r="F247" s="12"/>
      <c r="G247" s="12"/>
      <c r="H247" s="12"/>
      <c r="I247" s="12"/>
      <c r="J247" s="12"/>
      <c r="K247" s="12" t="str">
        <f t="shared" si="5"/>
        <v/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 t="str">
        <f t="shared" si="6"/>
        <v/>
      </c>
      <c r="V247" s="12"/>
      <c r="W247" s="14"/>
      <c r="X247" s="14"/>
      <c r="Y247" s="13"/>
      <c r="Z247" s="12"/>
      <c r="AA247" s="12"/>
      <c r="AB247" s="12"/>
      <c r="AC247" s="12"/>
      <c r="AD247" s="15"/>
      <c r="AE247" s="12"/>
      <c r="AF247" s="13"/>
      <c r="AG247" s="12"/>
      <c r="AH247" s="12"/>
      <c r="AI247" s="15"/>
      <c r="AJ247" s="12"/>
      <c r="AK247" s="12"/>
      <c r="AL247" s="12"/>
      <c r="AM247" s="12"/>
      <c r="AN247" s="12"/>
      <c r="AO247" s="12"/>
      <c r="AP247" s="12"/>
      <c r="AQ247" s="15"/>
      <c r="AR247" s="12"/>
      <c r="AS247" s="12"/>
      <c r="AT247" s="12"/>
      <c r="AU247" s="12"/>
      <c r="AV247" s="12"/>
      <c r="AW247" s="12"/>
      <c r="AX247" s="13"/>
      <c r="AY247" s="12"/>
      <c r="AZ247" s="12" t="str">
        <f>IF(AND(A247="",B247="",E247="",G247="",I247="",AV247="",AX247=""),"",IF(OR(B247="skip",AV247="skip"),"SKIP",IF(OR(B247="to_candidate",AV247="proposed_name"),IF(OR(A247="",AW247="",AX247="",COUNTIF($A$6:$A$505,A247)&gt;1),"REVIEW","TO_PROPOSED"),IF(OR(B247="",A247="",E247="",G247="",I247="",U247="",AV247="",COUNTIF($A$6:$A$505,A247)&gt;1,(COUNTIFS('أرقام التواصل'!$A$6:$A$505,"client",'أرقام التواصل'!$B$6:$B$505,A247,'أرقام التواصل'!$I$6:$I$505,"TRUE")+COUNTIFS('أرقام التواصل'!$A$6:$A$505,"client",'أرقام التواصل'!$B$6:$B$505,A247,'أرقام التواصل'!$C$6:$C$505,1))=0),"REVIEW","READY"))))</f>
        <v/>
      </c>
      <c r="BA247" s="16" t="str">
        <f>IF(AZ247="","",IF(OR(AZ247="READY",AZ247="TO_PROPOSED"),"",IF(AZ247="SKIP","Skipped by decision",TRIM(IF(B247="","missing import_action; ","")&amp;IF(A247="","missing migration_customer_key; ","")&amp;IF(AND(A247&lt;&gt;"",COUNTIF($A$6:$A$505,A247)&gt;1),"duplicate migration_customer_key; ","")&amp;IF(AND(NOT(OR(B247="to_candidate",AV247="proposed_name")),E247=""),"missing branch_id; ","")&amp;IF(AND(NOT(OR(B247="to_candidate",AV247="proposed_name")),G247=""),"missing first_name; ","")&amp;IF(AND(NOT(OR(B247="to_candidate",AV247="proposed_name")),I247=""),"missing last_name; ","")&amp;IF(AND(NOT(OR(B247="to_candidate",AV247="proposed_name")),U247=""),"missing final_geo_unit_id; ","")&amp;IF(AV247="","missing final_destination; ","")&amp;IF(AND(NOT(OR(B247="to_candidate",AV247="proposed_name")),(COUNTIFS('أرقام التواصل'!$A$6:$A$505,"client",'أرقام التواصل'!$B$6:$B$505,A247,'أرقام التواصل'!$I$6:$I$505,"TRUE")+COUNTIFS('أرقام التواصل'!$A$6:$A$505,"client",'أرقام التواصل'!$B$6:$B$505,A247,'أرقام التواصل'!$C$6:$C$505,1))=0),"missing primary contact in أرقام التواصل; ","")&amp;IF(OR(B247="to_candidate",AV247="proposed_name"),IF(AW247="","missing proposed_move_reason; ","")&amp;IF(AX247="","missing proposed_name_key; ",""),"")))))</f>
        <v/>
      </c>
    </row>
    <row r="248" spans="1:53">
      <c r="A248" s="11"/>
      <c r="B248" s="12"/>
      <c r="C248" s="13"/>
      <c r="D248" s="12"/>
      <c r="E248" s="12"/>
      <c r="F248" s="12"/>
      <c r="G248" s="12"/>
      <c r="H248" s="12"/>
      <c r="I248" s="12"/>
      <c r="J248" s="12"/>
      <c r="K248" s="12" t="str">
        <f t="shared" si="5"/>
        <v/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 t="str">
        <f t="shared" si="6"/>
        <v/>
      </c>
      <c r="V248" s="12"/>
      <c r="W248" s="14"/>
      <c r="X248" s="14"/>
      <c r="Y248" s="13"/>
      <c r="Z248" s="12"/>
      <c r="AA248" s="12"/>
      <c r="AB248" s="12"/>
      <c r="AC248" s="12"/>
      <c r="AD248" s="15"/>
      <c r="AE248" s="12"/>
      <c r="AF248" s="13"/>
      <c r="AG248" s="12"/>
      <c r="AH248" s="12"/>
      <c r="AI248" s="15"/>
      <c r="AJ248" s="12"/>
      <c r="AK248" s="12"/>
      <c r="AL248" s="12"/>
      <c r="AM248" s="12"/>
      <c r="AN248" s="12"/>
      <c r="AO248" s="12"/>
      <c r="AP248" s="12"/>
      <c r="AQ248" s="15"/>
      <c r="AR248" s="12"/>
      <c r="AS248" s="12"/>
      <c r="AT248" s="12"/>
      <c r="AU248" s="12"/>
      <c r="AV248" s="12"/>
      <c r="AW248" s="12"/>
      <c r="AX248" s="13"/>
      <c r="AY248" s="12"/>
      <c r="AZ248" s="12" t="str">
        <f>IF(AND(A248="",B248="",E248="",G248="",I248="",AV248="",AX248=""),"",IF(OR(B248="skip",AV248="skip"),"SKIP",IF(OR(B248="to_candidate",AV248="proposed_name"),IF(OR(A248="",AW248="",AX248="",COUNTIF($A$6:$A$505,A248)&gt;1),"REVIEW","TO_PROPOSED"),IF(OR(B248="",A248="",E248="",G248="",I248="",U248="",AV248="",COUNTIF($A$6:$A$505,A248)&gt;1,(COUNTIFS('أرقام التواصل'!$A$6:$A$505,"client",'أرقام التواصل'!$B$6:$B$505,A248,'أرقام التواصل'!$I$6:$I$505,"TRUE")+COUNTIFS('أرقام التواصل'!$A$6:$A$505,"client",'أرقام التواصل'!$B$6:$B$505,A248,'أرقام التواصل'!$C$6:$C$505,1))=0),"REVIEW","READY"))))</f>
        <v/>
      </c>
      <c r="BA248" s="16" t="str">
        <f>IF(AZ248="","",IF(OR(AZ248="READY",AZ248="TO_PROPOSED"),"",IF(AZ248="SKIP","Skipped by decision",TRIM(IF(B248="","missing import_action; ","")&amp;IF(A248="","missing migration_customer_key; ","")&amp;IF(AND(A248&lt;&gt;"",COUNTIF($A$6:$A$505,A248)&gt;1),"duplicate migration_customer_key; ","")&amp;IF(AND(NOT(OR(B248="to_candidate",AV248="proposed_name")),E248=""),"missing branch_id; ","")&amp;IF(AND(NOT(OR(B248="to_candidate",AV248="proposed_name")),G248=""),"missing first_name; ","")&amp;IF(AND(NOT(OR(B248="to_candidate",AV248="proposed_name")),I248=""),"missing last_name; ","")&amp;IF(AND(NOT(OR(B248="to_candidate",AV248="proposed_name")),U248=""),"missing final_geo_unit_id; ","")&amp;IF(AV248="","missing final_destination; ","")&amp;IF(AND(NOT(OR(B248="to_candidate",AV248="proposed_name")),(COUNTIFS('أرقام التواصل'!$A$6:$A$505,"client",'أرقام التواصل'!$B$6:$B$505,A248,'أرقام التواصل'!$I$6:$I$505,"TRUE")+COUNTIFS('أرقام التواصل'!$A$6:$A$505,"client",'أرقام التواصل'!$B$6:$B$505,A248,'أرقام التواصل'!$C$6:$C$505,1))=0),"missing primary contact in أرقام التواصل; ","")&amp;IF(OR(B248="to_candidate",AV248="proposed_name"),IF(AW248="","missing proposed_move_reason; ","")&amp;IF(AX248="","missing proposed_name_key; ",""),"")))))</f>
        <v/>
      </c>
    </row>
    <row r="249" spans="1:53">
      <c r="A249" s="11"/>
      <c r="B249" s="12"/>
      <c r="C249" s="13"/>
      <c r="D249" s="12"/>
      <c r="E249" s="12"/>
      <c r="F249" s="12"/>
      <c r="G249" s="12"/>
      <c r="H249" s="12"/>
      <c r="I249" s="12"/>
      <c r="J249" s="12"/>
      <c r="K249" s="12" t="str">
        <f t="shared" si="5"/>
        <v/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 t="str">
        <f t="shared" si="6"/>
        <v/>
      </c>
      <c r="V249" s="12"/>
      <c r="W249" s="14"/>
      <c r="X249" s="14"/>
      <c r="Y249" s="13"/>
      <c r="Z249" s="12"/>
      <c r="AA249" s="12"/>
      <c r="AB249" s="12"/>
      <c r="AC249" s="12"/>
      <c r="AD249" s="15"/>
      <c r="AE249" s="12"/>
      <c r="AF249" s="13"/>
      <c r="AG249" s="12"/>
      <c r="AH249" s="12"/>
      <c r="AI249" s="15"/>
      <c r="AJ249" s="12"/>
      <c r="AK249" s="12"/>
      <c r="AL249" s="12"/>
      <c r="AM249" s="12"/>
      <c r="AN249" s="12"/>
      <c r="AO249" s="12"/>
      <c r="AP249" s="12"/>
      <c r="AQ249" s="15"/>
      <c r="AR249" s="12"/>
      <c r="AS249" s="12"/>
      <c r="AT249" s="12"/>
      <c r="AU249" s="12"/>
      <c r="AV249" s="12"/>
      <c r="AW249" s="12"/>
      <c r="AX249" s="13"/>
      <c r="AY249" s="12"/>
      <c r="AZ249" s="12" t="str">
        <f>IF(AND(A249="",B249="",E249="",G249="",I249="",AV249="",AX249=""),"",IF(OR(B249="skip",AV249="skip"),"SKIP",IF(OR(B249="to_candidate",AV249="proposed_name"),IF(OR(A249="",AW249="",AX249="",COUNTIF($A$6:$A$505,A249)&gt;1),"REVIEW","TO_PROPOSED"),IF(OR(B249="",A249="",E249="",G249="",I249="",U249="",AV249="",COUNTIF($A$6:$A$505,A249)&gt;1,(COUNTIFS('أرقام التواصل'!$A$6:$A$505,"client",'أرقام التواصل'!$B$6:$B$505,A249,'أرقام التواصل'!$I$6:$I$505,"TRUE")+COUNTIFS('أرقام التواصل'!$A$6:$A$505,"client",'أرقام التواصل'!$B$6:$B$505,A249,'أرقام التواصل'!$C$6:$C$505,1))=0),"REVIEW","READY"))))</f>
        <v/>
      </c>
      <c r="BA249" s="16" t="str">
        <f>IF(AZ249="","",IF(OR(AZ249="READY",AZ249="TO_PROPOSED"),"",IF(AZ249="SKIP","Skipped by decision",TRIM(IF(B249="","missing import_action; ","")&amp;IF(A249="","missing migration_customer_key; ","")&amp;IF(AND(A249&lt;&gt;"",COUNTIF($A$6:$A$505,A249)&gt;1),"duplicate migration_customer_key; ","")&amp;IF(AND(NOT(OR(B249="to_candidate",AV249="proposed_name")),E249=""),"missing branch_id; ","")&amp;IF(AND(NOT(OR(B249="to_candidate",AV249="proposed_name")),G249=""),"missing first_name; ","")&amp;IF(AND(NOT(OR(B249="to_candidate",AV249="proposed_name")),I249=""),"missing last_name; ","")&amp;IF(AND(NOT(OR(B249="to_candidate",AV249="proposed_name")),U249=""),"missing final_geo_unit_id; ","")&amp;IF(AV249="","missing final_destination; ","")&amp;IF(AND(NOT(OR(B249="to_candidate",AV249="proposed_name")),(COUNTIFS('أرقام التواصل'!$A$6:$A$505,"client",'أرقام التواصل'!$B$6:$B$505,A249,'أرقام التواصل'!$I$6:$I$505,"TRUE")+COUNTIFS('أرقام التواصل'!$A$6:$A$505,"client",'أرقام التواصل'!$B$6:$B$505,A249,'أرقام التواصل'!$C$6:$C$505,1))=0),"missing primary contact in أرقام التواصل; ","")&amp;IF(OR(B249="to_candidate",AV249="proposed_name"),IF(AW249="","missing proposed_move_reason; ","")&amp;IF(AX249="","missing proposed_name_key; ",""),"")))))</f>
        <v/>
      </c>
    </row>
    <row r="250" spans="1:53">
      <c r="A250" s="11"/>
      <c r="B250" s="12"/>
      <c r="C250" s="13"/>
      <c r="D250" s="12"/>
      <c r="E250" s="12"/>
      <c r="F250" s="12"/>
      <c r="G250" s="12"/>
      <c r="H250" s="12"/>
      <c r="I250" s="12"/>
      <c r="J250" s="12"/>
      <c r="K250" s="12" t="str">
        <f t="shared" si="5"/>
        <v/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 t="str">
        <f t="shared" si="6"/>
        <v/>
      </c>
      <c r="V250" s="12"/>
      <c r="W250" s="14"/>
      <c r="X250" s="14"/>
      <c r="Y250" s="13"/>
      <c r="Z250" s="12"/>
      <c r="AA250" s="12"/>
      <c r="AB250" s="12"/>
      <c r="AC250" s="12"/>
      <c r="AD250" s="15"/>
      <c r="AE250" s="12"/>
      <c r="AF250" s="13"/>
      <c r="AG250" s="12"/>
      <c r="AH250" s="12"/>
      <c r="AI250" s="15"/>
      <c r="AJ250" s="12"/>
      <c r="AK250" s="12"/>
      <c r="AL250" s="12"/>
      <c r="AM250" s="12"/>
      <c r="AN250" s="12"/>
      <c r="AO250" s="12"/>
      <c r="AP250" s="12"/>
      <c r="AQ250" s="15"/>
      <c r="AR250" s="12"/>
      <c r="AS250" s="12"/>
      <c r="AT250" s="12"/>
      <c r="AU250" s="12"/>
      <c r="AV250" s="12"/>
      <c r="AW250" s="12"/>
      <c r="AX250" s="13"/>
      <c r="AY250" s="12"/>
      <c r="AZ250" s="12" t="str">
        <f>IF(AND(A250="",B250="",E250="",G250="",I250="",AV250="",AX250=""),"",IF(OR(B250="skip",AV250="skip"),"SKIP",IF(OR(B250="to_candidate",AV250="proposed_name"),IF(OR(A250="",AW250="",AX250="",COUNTIF($A$6:$A$505,A250)&gt;1),"REVIEW","TO_PROPOSED"),IF(OR(B250="",A250="",E250="",G250="",I250="",U250="",AV250="",COUNTIF($A$6:$A$505,A250)&gt;1,(COUNTIFS('أرقام التواصل'!$A$6:$A$505,"client",'أرقام التواصل'!$B$6:$B$505,A250,'أرقام التواصل'!$I$6:$I$505,"TRUE")+COUNTIFS('أرقام التواصل'!$A$6:$A$505,"client",'أرقام التواصل'!$B$6:$B$505,A250,'أرقام التواصل'!$C$6:$C$505,1))=0),"REVIEW","READY"))))</f>
        <v/>
      </c>
      <c r="BA250" s="16" t="str">
        <f>IF(AZ250="","",IF(OR(AZ250="READY",AZ250="TO_PROPOSED"),"",IF(AZ250="SKIP","Skipped by decision",TRIM(IF(B250="","missing import_action; ","")&amp;IF(A250="","missing migration_customer_key; ","")&amp;IF(AND(A250&lt;&gt;"",COUNTIF($A$6:$A$505,A250)&gt;1),"duplicate migration_customer_key; ","")&amp;IF(AND(NOT(OR(B250="to_candidate",AV250="proposed_name")),E250=""),"missing branch_id; ","")&amp;IF(AND(NOT(OR(B250="to_candidate",AV250="proposed_name")),G250=""),"missing first_name; ","")&amp;IF(AND(NOT(OR(B250="to_candidate",AV250="proposed_name")),I250=""),"missing last_name; ","")&amp;IF(AND(NOT(OR(B250="to_candidate",AV250="proposed_name")),U250=""),"missing final_geo_unit_id; ","")&amp;IF(AV250="","missing final_destination; ","")&amp;IF(AND(NOT(OR(B250="to_candidate",AV250="proposed_name")),(COUNTIFS('أرقام التواصل'!$A$6:$A$505,"client",'أرقام التواصل'!$B$6:$B$505,A250,'أرقام التواصل'!$I$6:$I$505,"TRUE")+COUNTIFS('أرقام التواصل'!$A$6:$A$505,"client",'أرقام التواصل'!$B$6:$B$505,A250,'أرقام التواصل'!$C$6:$C$505,1))=0),"missing primary contact in أرقام التواصل; ","")&amp;IF(OR(B250="to_candidate",AV250="proposed_name"),IF(AW250="","missing proposed_move_reason; ","")&amp;IF(AX250="","missing proposed_name_key; ",""),"")))))</f>
        <v/>
      </c>
    </row>
    <row r="251" spans="1:53">
      <c r="A251" s="11"/>
      <c r="B251" s="12"/>
      <c r="C251" s="13"/>
      <c r="D251" s="12"/>
      <c r="E251" s="12"/>
      <c r="F251" s="12"/>
      <c r="G251" s="12"/>
      <c r="H251" s="12"/>
      <c r="I251" s="12"/>
      <c r="J251" s="12"/>
      <c r="K251" s="12" t="str">
        <f t="shared" si="5"/>
        <v/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 t="str">
        <f t="shared" si="6"/>
        <v/>
      </c>
      <c r="V251" s="12"/>
      <c r="W251" s="14"/>
      <c r="X251" s="14"/>
      <c r="Y251" s="13"/>
      <c r="Z251" s="12"/>
      <c r="AA251" s="12"/>
      <c r="AB251" s="12"/>
      <c r="AC251" s="12"/>
      <c r="AD251" s="15"/>
      <c r="AE251" s="12"/>
      <c r="AF251" s="13"/>
      <c r="AG251" s="12"/>
      <c r="AH251" s="12"/>
      <c r="AI251" s="15"/>
      <c r="AJ251" s="12"/>
      <c r="AK251" s="12"/>
      <c r="AL251" s="12"/>
      <c r="AM251" s="12"/>
      <c r="AN251" s="12"/>
      <c r="AO251" s="12"/>
      <c r="AP251" s="12"/>
      <c r="AQ251" s="15"/>
      <c r="AR251" s="12"/>
      <c r="AS251" s="12"/>
      <c r="AT251" s="12"/>
      <c r="AU251" s="12"/>
      <c r="AV251" s="12"/>
      <c r="AW251" s="12"/>
      <c r="AX251" s="13"/>
      <c r="AY251" s="12"/>
      <c r="AZ251" s="12" t="str">
        <f>IF(AND(A251="",B251="",E251="",G251="",I251="",AV251="",AX251=""),"",IF(OR(B251="skip",AV251="skip"),"SKIP",IF(OR(B251="to_candidate",AV251="proposed_name"),IF(OR(A251="",AW251="",AX251="",COUNTIF($A$6:$A$505,A251)&gt;1),"REVIEW","TO_PROPOSED"),IF(OR(B251="",A251="",E251="",G251="",I251="",U251="",AV251="",COUNTIF($A$6:$A$505,A251)&gt;1,(COUNTIFS('أرقام التواصل'!$A$6:$A$505,"client",'أرقام التواصل'!$B$6:$B$505,A251,'أرقام التواصل'!$I$6:$I$505,"TRUE")+COUNTIFS('أرقام التواصل'!$A$6:$A$505,"client",'أرقام التواصل'!$B$6:$B$505,A251,'أرقام التواصل'!$C$6:$C$505,1))=0),"REVIEW","READY"))))</f>
        <v/>
      </c>
      <c r="BA251" s="16" t="str">
        <f>IF(AZ251="","",IF(OR(AZ251="READY",AZ251="TO_PROPOSED"),"",IF(AZ251="SKIP","Skipped by decision",TRIM(IF(B251="","missing import_action; ","")&amp;IF(A251="","missing migration_customer_key; ","")&amp;IF(AND(A251&lt;&gt;"",COUNTIF($A$6:$A$505,A251)&gt;1),"duplicate migration_customer_key; ","")&amp;IF(AND(NOT(OR(B251="to_candidate",AV251="proposed_name")),E251=""),"missing branch_id; ","")&amp;IF(AND(NOT(OR(B251="to_candidate",AV251="proposed_name")),G251=""),"missing first_name; ","")&amp;IF(AND(NOT(OR(B251="to_candidate",AV251="proposed_name")),I251=""),"missing last_name; ","")&amp;IF(AND(NOT(OR(B251="to_candidate",AV251="proposed_name")),U251=""),"missing final_geo_unit_id; ","")&amp;IF(AV251="","missing final_destination; ","")&amp;IF(AND(NOT(OR(B251="to_candidate",AV251="proposed_name")),(COUNTIFS('أرقام التواصل'!$A$6:$A$505,"client",'أرقام التواصل'!$B$6:$B$505,A251,'أرقام التواصل'!$I$6:$I$505,"TRUE")+COUNTIFS('أرقام التواصل'!$A$6:$A$505,"client",'أرقام التواصل'!$B$6:$B$505,A251,'أرقام التواصل'!$C$6:$C$505,1))=0),"missing primary contact in أرقام التواصل; ","")&amp;IF(OR(B251="to_candidate",AV251="proposed_name"),IF(AW251="","missing proposed_move_reason; ","")&amp;IF(AX251="","missing proposed_name_key; ",""),"")))))</f>
        <v/>
      </c>
    </row>
    <row r="252" spans="1:53">
      <c r="A252" s="11"/>
      <c r="B252" s="12"/>
      <c r="C252" s="13"/>
      <c r="D252" s="12"/>
      <c r="E252" s="12"/>
      <c r="F252" s="12"/>
      <c r="G252" s="12"/>
      <c r="H252" s="12"/>
      <c r="I252" s="12"/>
      <c r="J252" s="12"/>
      <c r="K252" s="12" t="str">
        <f t="shared" si="5"/>
        <v/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 t="str">
        <f t="shared" si="6"/>
        <v/>
      </c>
      <c r="V252" s="12"/>
      <c r="W252" s="14"/>
      <c r="X252" s="14"/>
      <c r="Y252" s="13"/>
      <c r="Z252" s="12"/>
      <c r="AA252" s="12"/>
      <c r="AB252" s="12"/>
      <c r="AC252" s="12"/>
      <c r="AD252" s="15"/>
      <c r="AE252" s="12"/>
      <c r="AF252" s="13"/>
      <c r="AG252" s="12"/>
      <c r="AH252" s="12"/>
      <c r="AI252" s="15"/>
      <c r="AJ252" s="12"/>
      <c r="AK252" s="12"/>
      <c r="AL252" s="12"/>
      <c r="AM252" s="12"/>
      <c r="AN252" s="12"/>
      <c r="AO252" s="12"/>
      <c r="AP252" s="12"/>
      <c r="AQ252" s="15"/>
      <c r="AR252" s="12"/>
      <c r="AS252" s="12"/>
      <c r="AT252" s="12"/>
      <c r="AU252" s="12"/>
      <c r="AV252" s="12"/>
      <c r="AW252" s="12"/>
      <c r="AX252" s="13"/>
      <c r="AY252" s="12"/>
      <c r="AZ252" s="12" t="str">
        <f>IF(AND(A252="",B252="",E252="",G252="",I252="",AV252="",AX252=""),"",IF(OR(B252="skip",AV252="skip"),"SKIP",IF(OR(B252="to_candidate",AV252="proposed_name"),IF(OR(A252="",AW252="",AX252="",COUNTIF($A$6:$A$505,A252)&gt;1),"REVIEW","TO_PROPOSED"),IF(OR(B252="",A252="",E252="",G252="",I252="",U252="",AV252="",COUNTIF($A$6:$A$505,A252)&gt;1,(COUNTIFS('أرقام التواصل'!$A$6:$A$505,"client",'أرقام التواصل'!$B$6:$B$505,A252,'أرقام التواصل'!$I$6:$I$505,"TRUE")+COUNTIFS('أرقام التواصل'!$A$6:$A$505,"client",'أرقام التواصل'!$B$6:$B$505,A252,'أرقام التواصل'!$C$6:$C$505,1))=0),"REVIEW","READY"))))</f>
        <v/>
      </c>
      <c r="BA252" s="16" t="str">
        <f>IF(AZ252="","",IF(OR(AZ252="READY",AZ252="TO_PROPOSED"),"",IF(AZ252="SKIP","Skipped by decision",TRIM(IF(B252="","missing import_action; ","")&amp;IF(A252="","missing migration_customer_key; ","")&amp;IF(AND(A252&lt;&gt;"",COUNTIF($A$6:$A$505,A252)&gt;1),"duplicate migration_customer_key; ","")&amp;IF(AND(NOT(OR(B252="to_candidate",AV252="proposed_name")),E252=""),"missing branch_id; ","")&amp;IF(AND(NOT(OR(B252="to_candidate",AV252="proposed_name")),G252=""),"missing first_name; ","")&amp;IF(AND(NOT(OR(B252="to_candidate",AV252="proposed_name")),I252=""),"missing last_name; ","")&amp;IF(AND(NOT(OR(B252="to_candidate",AV252="proposed_name")),U252=""),"missing final_geo_unit_id; ","")&amp;IF(AV252="","missing final_destination; ","")&amp;IF(AND(NOT(OR(B252="to_candidate",AV252="proposed_name")),(COUNTIFS('أرقام التواصل'!$A$6:$A$505,"client",'أرقام التواصل'!$B$6:$B$505,A252,'أرقام التواصل'!$I$6:$I$505,"TRUE")+COUNTIFS('أرقام التواصل'!$A$6:$A$505,"client",'أرقام التواصل'!$B$6:$B$505,A252,'أرقام التواصل'!$C$6:$C$505,1))=0),"missing primary contact in أرقام التواصل; ","")&amp;IF(OR(B252="to_candidate",AV252="proposed_name"),IF(AW252="","missing proposed_move_reason; ","")&amp;IF(AX252="","missing proposed_name_key; ",""),"")))))</f>
        <v/>
      </c>
    </row>
    <row r="253" spans="1:53">
      <c r="A253" s="11"/>
      <c r="B253" s="12"/>
      <c r="C253" s="13"/>
      <c r="D253" s="12"/>
      <c r="E253" s="12"/>
      <c r="F253" s="12"/>
      <c r="G253" s="12"/>
      <c r="H253" s="12"/>
      <c r="I253" s="12"/>
      <c r="J253" s="12"/>
      <c r="K253" s="12" t="str">
        <f t="shared" si="5"/>
        <v/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 t="str">
        <f t="shared" si="6"/>
        <v/>
      </c>
      <c r="V253" s="12"/>
      <c r="W253" s="14"/>
      <c r="X253" s="14"/>
      <c r="Y253" s="13"/>
      <c r="Z253" s="12"/>
      <c r="AA253" s="12"/>
      <c r="AB253" s="12"/>
      <c r="AC253" s="12"/>
      <c r="AD253" s="15"/>
      <c r="AE253" s="12"/>
      <c r="AF253" s="13"/>
      <c r="AG253" s="12"/>
      <c r="AH253" s="12"/>
      <c r="AI253" s="15"/>
      <c r="AJ253" s="12"/>
      <c r="AK253" s="12"/>
      <c r="AL253" s="12"/>
      <c r="AM253" s="12"/>
      <c r="AN253" s="12"/>
      <c r="AO253" s="12"/>
      <c r="AP253" s="12"/>
      <c r="AQ253" s="15"/>
      <c r="AR253" s="12"/>
      <c r="AS253" s="12"/>
      <c r="AT253" s="12"/>
      <c r="AU253" s="12"/>
      <c r="AV253" s="12"/>
      <c r="AW253" s="12"/>
      <c r="AX253" s="13"/>
      <c r="AY253" s="12"/>
      <c r="AZ253" s="12" t="str">
        <f>IF(AND(A253="",B253="",E253="",G253="",I253="",AV253="",AX253=""),"",IF(OR(B253="skip",AV253="skip"),"SKIP",IF(OR(B253="to_candidate",AV253="proposed_name"),IF(OR(A253="",AW253="",AX253="",COUNTIF($A$6:$A$505,A253)&gt;1),"REVIEW","TO_PROPOSED"),IF(OR(B253="",A253="",E253="",G253="",I253="",U253="",AV253="",COUNTIF($A$6:$A$505,A253)&gt;1,(COUNTIFS('أرقام التواصل'!$A$6:$A$505,"client",'أرقام التواصل'!$B$6:$B$505,A253,'أرقام التواصل'!$I$6:$I$505,"TRUE")+COUNTIFS('أرقام التواصل'!$A$6:$A$505,"client",'أرقام التواصل'!$B$6:$B$505,A253,'أرقام التواصل'!$C$6:$C$505,1))=0),"REVIEW","READY"))))</f>
        <v/>
      </c>
      <c r="BA253" s="16" t="str">
        <f>IF(AZ253="","",IF(OR(AZ253="READY",AZ253="TO_PROPOSED"),"",IF(AZ253="SKIP","Skipped by decision",TRIM(IF(B253="","missing import_action; ","")&amp;IF(A253="","missing migration_customer_key; ","")&amp;IF(AND(A253&lt;&gt;"",COUNTIF($A$6:$A$505,A253)&gt;1),"duplicate migration_customer_key; ","")&amp;IF(AND(NOT(OR(B253="to_candidate",AV253="proposed_name")),E253=""),"missing branch_id; ","")&amp;IF(AND(NOT(OR(B253="to_candidate",AV253="proposed_name")),G253=""),"missing first_name; ","")&amp;IF(AND(NOT(OR(B253="to_candidate",AV253="proposed_name")),I253=""),"missing last_name; ","")&amp;IF(AND(NOT(OR(B253="to_candidate",AV253="proposed_name")),U253=""),"missing final_geo_unit_id; ","")&amp;IF(AV253="","missing final_destination; ","")&amp;IF(AND(NOT(OR(B253="to_candidate",AV253="proposed_name")),(COUNTIFS('أرقام التواصل'!$A$6:$A$505,"client",'أرقام التواصل'!$B$6:$B$505,A253,'أرقام التواصل'!$I$6:$I$505,"TRUE")+COUNTIFS('أرقام التواصل'!$A$6:$A$505,"client",'أرقام التواصل'!$B$6:$B$505,A253,'أرقام التواصل'!$C$6:$C$505,1))=0),"missing primary contact in أرقام التواصل; ","")&amp;IF(OR(B253="to_candidate",AV253="proposed_name"),IF(AW253="","missing proposed_move_reason; ","")&amp;IF(AX253="","missing proposed_name_key; ",""),"")))))</f>
        <v/>
      </c>
    </row>
    <row r="254" spans="1:53">
      <c r="A254" s="11"/>
      <c r="B254" s="12"/>
      <c r="C254" s="13"/>
      <c r="D254" s="12"/>
      <c r="E254" s="12"/>
      <c r="F254" s="12"/>
      <c r="G254" s="12"/>
      <c r="H254" s="12"/>
      <c r="I254" s="12"/>
      <c r="J254" s="12"/>
      <c r="K254" s="12" t="str">
        <f t="shared" si="5"/>
        <v/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 t="str">
        <f t="shared" si="6"/>
        <v/>
      </c>
      <c r="V254" s="12"/>
      <c r="W254" s="14"/>
      <c r="X254" s="14"/>
      <c r="Y254" s="13"/>
      <c r="Z254" s="12"/>
      <c r="AA254" s="12"/>
      <c r="AB254" s="12"/>
      <c r="AC254" s="12"/>
      <c r="AD254" s="15"/>
      <c r="AE254" s="12"/>
      <c r="AF254" s="13"/>
      <c r="AG254" s="12"/>
      <c r="AH254" s="12"/>
      <c r="AI254" s="15"/>
      <c r="AJ254" s="12"/>
      <c r="AK254" s="12"/>
      <c r="AL254" s="12"/>
      <c r="AM254" s="12"/>
      <c r="AN254" s="12"/>
      <c r="AO254" s="12"/>
      <c r="AP254" s="12"/>
      <c r="AQ254" s="15"/>
      <c r="AR254" s="12"/>
      <c r="AS254" s="12"/>
      <c r="AT254" s="12"/>
      <c r="AU254" s="12"/>
      <c r="AV254" s="12"/>
      <c r="AW254" s="12"/>
      <c r="AX254" s="13"/>
      <c r="AY254" s="12"/>
      <c r="AZ254" s="12" t="str">
        <f>IF(AND(A254="",B254="",E254="",G254="",I254="",AV254="",AX254=""),"",IF(OR(B254="skip",AV254="skip"),"SKIP",IF(OR(B254="to_candidate",AV254="proposed_name"),IF(OR(A254="",AW254="",AX254="",COUNTIF($A$6:$A$505,A254)&gt;1),"REVIEW","TO_PROPOSED"),IF(OR(B254="",A254="",E254="",G254="",I254="",U254="",AV254="",COUNTIF($A$6:$A$505,A254)&gt;1,(COUNTIFS('أرقام التواصل'!$A$6:$A$505,"client",'أرقام التواصل'!$B$6:$B$505,A254,'أرقام التواصل'!$I$6:$I$505,"TRUE")+COUNTIFS('أرقام التواصل'!$A$6:$A$505,"client",'أرقام التواصل'!$B$6:$B$505,A254,'أرقام التواصل'!$C$6:$C$505,1))=0),"REVIEW","READY"))))</f>
        <v/>
      </c>
      <c r="BA254" s="16" t="str">
        <f>IF(AZ254="","",IF(OR(AZ254="READY",AZ254="TO_PROPOSED"),"",IF(AZ254="SKIP","Skipped by decision",TRIM(IF(B254="","missing import_action; ","")&amp;IF(A254="","missing migration_customer_key; ","")&amp;IF(AND(A254&lt;&gt;"",COUNTIF($A$6:$A$505,A254)&gt;1),"duplicate migration_customer_key; ","")&amp;IF(AND(NOT(OR(B254="to_candidate",AV254="proposed_name")),E254=""),"missing branch_id; ","")&amp;IF(AND(NOT(OR(B254="to_candidate",AV254="proposed_name")),G254=""),"missing first_name; ","")&amp;IF(AND(NOT(OR(B254="to_candidate",AV254="proposed_name")),I254=""),"missing last_name; ","")&amp;IF(AND(NOT(OR(B254="to_candidate",AV254="proposed_name")),U254=""),"missing final_geo_unit_id; ","")&amp;IF(AV254="","missing final_destination; ","")&amp;IF(AND(NOT(OR(B254="to_candidate",AV254="proposed_name")),(COUNTIFS('أرقام التواصل'!$A$6:$A$505,"client",'أرقام التواصل'!$B$6:$B$505,A254,'أرقام التواصل'!$I$6:$I$505,"TRUE")+COUNTIFS('أرقام التواصل'!$A$6:$A$505,"client",'أرقام التواصل'!$B$6:$B$505,A254,'أرقام التواصل'!$C$6:$C$505,1))=0),"missing primary contact in أرقام التواصل; ","")&amp;IF(OR(B254="to_candidate",AV254="proposed_name"),IF(AW254="","missing proposed_move_reason; ","")&amp;IF(AX254="","missing proposed_name_key; ",""),"")))))</f>
        <v/>
      </c>
    </row>
    <row r="255" spans="1:53">
      <c r="A255" s="11"/>
      <c r="B255" s="12"/>
      <c r="C255" s="13"/>
      <c r="D255" s="12"/>
      <c r="E255" s="12"/>
      <c r="F255" s="12"/>
      <c r="G255" s="12"/>
      <c r="H255" s="12"/>
      <c r="I255" s="12"/>
      <c r="J255" s="12"/>
      <c r="K255" s="12" t="str">
        <f t="shared" si="5"/>
        <v/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 t="str">
        <f t="shared" si="6"/>
        <v/>
      </c>
      <c r="V255" s="12"/>
      <c r="W255" s="14"/>
      <c r="X255" s="14"/>
      <c r="Y255" s="13"/>
      <c r="Z255" s="12"/>
      <c r="AA255" s="12"/>
      <c r="AB255" s="12"/>
      <c r="AC255" s="12"/>
      <c r="AD255" s="15"/>
      <c r="AE255" s="12"/>
      <c r="AF255" s="13"/>
      <c r="AG255" s="12"/>
      <c r="AH255" s="12"/>
      <c r="AI255" s="15"/>
      <c r="AJ255" s="12"/>
      <c r="AK255" s="12"/>
      <c r="AL255" s="12"/>
      <c r="AM255" s="12"/>
      <c r="AN255" s="12"/>
      <c r="AO255" s="12"/>
      <c r="AP255" s="12"/>
      <c r="AQ255" s="15"/>
      <c r="AR255" s="12"/>
      <c r="AS255" s="12"/>
      <c r="AT255" s="12"/>
      <c r="AU255" s="12"/>
      <c r="AV255" s="12"/>
      <c r="AW255" s="12"/>
      <c r="AX255" s="13"/>
      <c r="AY255" s="12"/>
      <c r="AZ255" s="12" t="str">
        <f>IF(AND(A255="",B255="",E255="",G255="",I255="",AV255="",AX255=""),"",IF(OR(B255="skip",AV255="skip"),"SKIP",IF(OR(B255="to_candidate",AV255="proposed_name"),IF(OR(A255="",AW255="",AX255="",COUNTIF($A$6:$A$505,A255)&gt;1),"REVIEW","TO_PROPOSED"),IF(OR(B255="",A255="",E255="",G255="",I255="",U255="",AV255="",COUNTIF($A$6:$A$505,A255)&gt;1,(COUNTIFS('أرقام التواصل'!$A$6:$A$505,"client",'أرقام التواصل'!$B$6:$B$505,A255,'أرقام التواصل'!$I$6:$I$505,"TRUE")+COUNTIFS('أرقام التواصل'!$A$6:$A$505,"client",'أرقام التواصل'!$B$6:$B$505,A255,'أرقام التواصل'!$C$6:$C$505,1))=0),"REVIEW","READY"))))</f>
        <v/>
      </c>
      <c r="BA255" s="16" t="str">
        <f>IF(AZ255="","",IF(OR(AZ255="READY",AZ255="TO_PROPOSED"),"",IF(AZ255="SKIP","Skipped by decision",TRIM(IF(B255="","missing import_action; ","")&amp;IF(A255="","missing migration_customer_key; ","")&amp;IF(AND(A255&lt;&gt;"",COUNTIF($A$6:$A$505,A255)&gt;1),"duplicate migration_customer_key; ","")&amp;IF(AND(NOT(OR(B255="to_candidate",AV255="proposed_name")),E255=""),"missing branch_id; ","")&amp;IF(AND(NOT(OR(B255="to_candidate",AV255="proposed_name")),G255=""),"missing first_name; ","")&amp;IF(AND(NOT(OR(B255="to_candidate",AV255="proposed_name")),I255=""),"missing last_name; ","")&amp;IF(AND(NOT(OR(B255="to_candidate",AV255="proposed_name")),U255=""),"missing final_geo_unit_id; ","")&amp;IF(AV255="","missing final_destination; ","")&amp;IF(AND(NOT(OR(B255="to_candidate",AV255="proposed_name")),(COUNTIFS('أرقام التواصل'!$A$6:$A$505,"client",'أرقام التواصل'!$B$6:$B$505,A255,'أرقام التواصل'!$I$6:$I$505,"TRUE")+COUNTIFS('أرقام التواصل'!$A$6:$A$505,"client",'أرقام التواصل'!$B$6:$B$505,A255,'أرقام التواصل'!$C$6:$C$505,1))=0),"missing primary contact in أرقام التواصل; ","")&amp;IF(OR(B255="to_candidate",AV255="proposed_name"),IF(AW255="","missing proposed_move_reason; ","")&amp;IF(AX255="","missing proposed_name_key; ",""),"")))))</f>
        <v/>
      </c>
    </row>
    <row r="256" spans="1:53">
      <c r="A256" s="11"/>
      <c r="B256" s="12"/>
      <c r="C256" s="13"/>
      <c r="D256" s="12"/>
      <c r="E256" s="12"/>
      <c r="F256" s="12"/>
      <c r="G256" s="12"/>
      <c r="H256" s="12"/>
      <c r="I256" s="12"/>
      <c r="J256" s="12"/>
      <c r="K256" s="12" t="str">
        <f t="shared" si="5"/>
        <v/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 t="str">
        <f t="shared" si="6"/>
        <v/>
      </c>
      <c r="V256" s="12"/>
      <c r="W256" s="14"/>
      <c r="X256" s="14"/>
      <c r="Y256" s="13"/>
      <c r="Z256" s="12"/>
      <c r="AA256" s="12"/>
      <c r="AB256" s="12"/>
      <c r="AC256" s="12"/>
      <c r="AD256" s="15"/>
      <c r="AE256" s="12"/>
      <c r="AF256" s="13"/>
      <c r="AG256" s="12"/>
      <c r="AH256" s="12"/>
      <c r="AI256" s="15"/>
      <c r="AJ256" s="12"/>
      <c r="AK256" s="12"/>
      <c r="AL256" s="12"/>
      <c r="AM256" s="12"/>
      <c r="AN256" s="12"/>
      <c r="AO256" s="12"/>
      <c r="AP256" s="12"/>
      <c r="AQ256" s="15"/>
      <c r="AR256" s="12"/>
      <c r="AS256" s="12"/>
      <c r="AT256" s="12"/>
      <c r="AU256" s="12"/>
      <c r="AV256" s="12"/>
      <c r="AW256" s="12"/>
      <c r="AX256" s="13"/>
      <c r="AY256" s="12"/>
      <c r="AZ256" s="12" t="str">
        <f>IF(AND(A256="",B256="",E256="",G256="",I256="",AV256="",AX256=""),"",IF(OR(B256="skip",AV256="skip"),"SKIP",IF(OR(B256="to_candidate",AV256="proposed_name"),IF(OR(A256="",AW256="",AX256="",COUNTIF($A$6:$A$505,A256)&gt;1),"REVIEW","TO_PROPOSED"),IF(OR(B256="",A256="",E256="",G256="",I256="",U256="",AV256="",COUNTIF($A$6:$A$505,A256)&gt;1,(COUNTIFS('أرقام التواصل'!$A$6:$A$505,"client",'أرقام التواصل'!$B$6:$B$505,A256,'أرقام التواصل'!$I$6:$I$505,"TRUE")+COUNTIFS('أرقام التواصل'!$A$6:$A$505,"client",'أرقام التواصل'!$B$6:$B$505,A256,'أرقام التواصل'!$C$6:$C$505,1))=0),"REVIEW","READY"))))</f>
        <v/>
      </c>
      <c r="BA256" s="16" t="str">
        <f>IF(AZ256="","",IF(OR(AZ256="READY",AZ256="TO_PROPOSED"),"",IF(AZ256="SKIP","Skipped by decision",TRIM(IF(B256="","missing import_action; ","")&amp;IF(A256="","missing migration_customer_key; ","")&amp;IF(AND(A256&lt;&gt;"",COUNTIF($A$6:$A$505,A256)&gt;1),"duplicate migration_customer_key; ","")&amp;IF(AND(NOT(OR(B256="to_candidate",AV256="proposed_name")),E256=""),"missing branch_id; ","")&amp;IF(AND(NOT(OR(B256="to_candidate",AV256="proposed_name")),G256=""),"missing first_name; ","")&amp;IF(AND(NOT(OR(B256="to_candidate",AV256="proposed_name")),I256=""),"missing last_name; ","")&amp;IF(AND(NOT(OR(B256="to_candidate",AV256="proposed_name")),U256=""),"missing final_geo_unit_id; ","")&amp;IF(AV256="","missing final_destination; ","")&amp;IF(AND(NOT(OR(B256="to_candidate",AV256="proposed_name")),(COUNTIFS('أرقام التواصل'!$A$6:$A$505,"client",'أرقام التواصل'!$B$6:$B$505,A256,'أرقام التواصل'!$I$6:$I$505,"TRUE")+COUNTIFS('أرقام التواصل'!$A$6:$A$505,"client",'أرقام التواصل'!$B$6:$B$505,A256,'أرقام التواصل'!$C$6:$C$505,1))=0),"missing primary contact in أرقام التواصل; ","")&amp;IF(OR(B256="to_candidate",AV256="proposed_name"),IF(AW256="","missing proposed_move_reason; ","")&amp;IF(AX256="","missing proposed_name_key; ",""),"")))))</f>
        <v/>
      </c>
    </row>
    <row r="257" spans="1:53">
      <c r="A257" s="11"/>
      <c r="B257" s="12"/>
      <c r="C257" s="13"/>
      <c r="D257" s="12"/>
      <c r="E257" s="12"/>
      <c r="F257" s="12"/>
      <c r="G257" s="12"/>
      <c r="H257" s="12"/>
      <c r="I257" s="12"/>
      <c r="J257" s="12"/>
      <c r="K257" s="12" t="str">
        <f t="shared" si="5"/>
        <v/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 t="str">
        <f t="shared" si="6"/>
        <v/>
      </c>
      <c r="V257" s="12"/>
      <c r="W257" s="14"/>
      <c r="X257" s="14"/>
      <c r="Y257" s="13"/>
      <c r="Z257" s="12"/>
      <c r="AA257" s="12"/>
      <c r="AB257" s="12"/>
      <c r="AC257" s="12"/>
      <c r="AD257" s="15"/>
      <c r="AE257" s="12"/>
      <c r="AF257" s="13"/>
      <c r="AG257" s="12"/>
      <c r="AH257" s="12"/>
      <c r="AI257" s="15"/>
      <c r="AJ257" s="12"/>
      <c r="AK257" s="12"/>
      <c r="AL257" s="12"/>
      <c r="AM257" s="12"/>
      <c r="AN257" s="12"/>
      <c r="AO257" s="12"/>
      <c r="AP257" s="12"/>
      <c r="AQ257" s="15"/>
      <c r="AR257" s="12"/>
      <c r="AS257" s="12"/>
      <c r="AT257" s="12"/>
      <c r="AU257" s="12"/>
      <c r="AV257" s="12"/>
      <c r="AW257" s="12"/>
      <c r="AX257" s="13"/>
      <c r="AY257" s="12"/>
      <c r="AZ257" s="12" t="str">
        <f>IF(AND(A257="",B257="",E257="",G257="",I257="",AV257="",AX257=""),"",IF(OR(B257="skip",AV257="skip"),"SKIP",IF(OR(B257="to_candidate",AV257="proposed_name"),IF(OR(A257="",AW257="",AX257="",COUNTIF($A$6:$A$505,A257)&gt;1),"REVIEW","TO_PROPOSED"),IF(OR(B257="",A257="",E257="",G257="",I257="",U257="",AV257="",COUNTIF($A$6:$A$505,A257)&gt;1,(COUNTIFS('أرقام التواصل'!$A$6:$A$505,"client",'أرقام التواصل'!$B$6:$B$505,A257,'أرقام التواصل'!$I$6:$I$505,"TRUE")+COUNTIFS('أرقام التواصل'!$A$6:$A$505,"client",'أرقام التواصل'!$B$6:$B$505,A257,'أرقام التواصل'!$C$6:$C$505,1))=0),"REVIEW","READY"))))</f>
        <v/>
      </c>
      <c r="BA257" s="16" t="str">
        <f>IF(AZ257="","",IF(OR(AZ257="READY",AZ257="TO_PROPOSED"),"",IF(AZ257="SKIP","Skipped by decision",TRIM(IF(B257="","missing import_action; ","")&amp;IF(A257="","missing migration_customer_key; ","")&amp;IF(AND(A257&lt;&gt;"",COUNTIF($A$6:$A$505,A257)&gt;1),"duplicate migration_customer_key; ","")&amp;IF(AND(NOT(OR(B257="to_candidate",AV257="proposed_name")),E257=""),"missing branch_id; ","")&amp;IF(AND(NOT(OR(B257="to_candidate",AV257="proposed_name")),G257=""),"missing first_name; ","")&amp;IF(AND(NOT(OR(B257="to_candidate",AV257="proposed_name")),I257=""),"missing last_name; ","")&amp;IF(AND(NOT(OR(B257="to_candidate",AV257="proposed_name")),U257=""),"missing final_geo_unit_id; ","")&amp;IF(AV257="","missing final_destination; ","")&amp;IF(AND(NOT(OR(B257="to_candidate",AV257="proposed_name")),(COUNTIFS('أرقام التواصل'!$A$6:$A$505,"client",'أرقام التواصل'!$B$6:$B$505,A257,'أرقام التواصل'!$I$6:$I$505,"TRUE")+COUNTIFS('أرقام التواصل'!$A$6:$A$505,"client",'أرقام التواصل'!$B$6:$B$505,A257,'أرقام التواصل'!$C$6:$C$505,1))=0),"missing primary contact in أرقام التواصل; ","")&amp;IF(OR(B257="to_candidate",AV257="proposed_name"),IF(AW257="","missing proposed_move_reason; ","")&amp;IF(AX257="","missing proposed_name_key; ",""),"")))))</f>
        <v/>
      </c>
    </row>
    <row r="258" spans="1:53">
      <c r="A258" s="11"/>
      <c r="B258" s="12"/>
      <c r="C258" s="13"/>
      <c r="D258" s="12"/>
      <c r="E258" s="12"/>
      <c r="F258" s="12"/>
      <c r="G258" s="12"/>
      <c r="H258" s="12"/>
      <c r="I258" s="12"/>
      <c r="J258" s="12"/>
      <c r="K258" s="12" t="str">
        <f t="shared" si="5"/>
        <v/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 t="str">
        <f t="shared" si="6"/>
        <v/>
      </c>
      <c r="V258" s="12"/>
      <c r="W258" s="14"/>
      <c r="X258" s="14"/>
      <c r="Y258" s="13"/>
      <c r="Z258" s="12"/>
      <c r="AA258" s="12"/>
      <c r="AB258" s="12"/>
      <c r="AC258" s="12"/>
      <c r="AD258" s="15"/>
      <c r="AE258" s="12"/>
      <c r="AF258" s="13"/>
      <c r="AG258" s="12"/>
      <c r="AH258" s="12"/>
      <c r="AI258" s="15"/>
      <c r="AJ258" s="12"/>
      <c r="AK258" s="12"/>
      <c r="AL258" s="12"/>
      <c r="AM258" s="12"/>
      <c r="AN258" s="12"/>
      <c r="AO258" s="12"/>
      <c r="AP258" s="12"/>
      <c r="AQ258" s="15"/>
      <c r="AR258" s="12"/>
      <c r="AS258" s="12"/>
      <c r="AT258" s="12"/>
      <c r="AU258" s="12"/>
      <c r="AV258" s="12"/>
      <c r="AW258" s="12"/>
      <c r="AX258" s="13"/>
      <c r="AY258" s="12"/>
      <c r="AZ258" s="12" t="str">
        <f>IF(AND(A258="",B258="",E258="",G258="",I258="",AV258="",AX258=""),"",IF(OR(B258="skip",AV258="skip"),"SKIP",IF(OR(B258="to_candidate",AV258="proposed_name"),IF(OR(A258="",AW258="",AX258="",COUNTIF($A$6:$A$505,A258)&gt;1),"REVIEW","TO_PROPOSED"),IF(OR(B258="",A258="",E258="",G258="",I258="",U258="",AV258="",COUNTIF($A$6:$A$505,A258)&gt;1,(COUNTIFS('أرقام التواصل'!$A$6:$A$505,"client",'أرقام التواصل'!$B$6:$B$505,A258,'أرقام التواصل'!$I$6:$I$505,"TRUE")+COUNTIFS('أرقام التواصل'!$A$6:$A$505,"client",'أرقام التواصل'!$B$6:$B$505,A258,'أرقام التواصل'!$C$6:$C$505,1))=0),"REVIEW","READY"))))</f>
        <v/>
      </c>
      <c r="BA258" s="16" t="str">
        <f>IF(AZ258="","",IF(OR(AZ258="READY",AZ258="TO_PROPOSED"),"",IF(AZ258="SKIP","Skipped by decision",TRIM(IF(B258="","missing import_action; ","")&amp;IF(A258="","missing migration_customer_key; ","")&amp;IF(AND(A258&lt;&gt;"",COUNTIF($A$6:$A$505,A258)&gt;1),"duplicate migration_customer_key; ","")&amp;IF(AND(NOT(OR(B258="to_candidate",AV258="proposed_name")),E258=""),"missing branch_id; ","")&amp;IF(AND(NOT(OR(B258="to_candidate",AV258="proposed_name")),G258=""),"missing first_name; ","")&amp;IF(AND(NOT(OR(B258="to_candidate",AV258="proposed_name")),I258=""),"missing last_name; ","")&amp;IF(AND(NOT(OR(B258="to_candidate",AV258="proposed_name")),U258=""),"missing final_geo_unit_id; ","")&amp;IF(AV258="","missing final_destination; ","")&amp;IF(AND(NOT(OR(B258="to_candidate",AV258="proposed_name")),(COUNTIFS('أرقام التواصل'!$A$6:$A$505,"client",'أرقام التواصل'!$B$6:$B$505,A258,'أرقام التواصل'!$I$6:$I$505,"TRUE")+COUNTIFS('أرقام التواصل'!$A$6:$A$505,"client",'أرقام التواصل'!$B$6:$B$505,A258,'أرقام التواصل'!$C$6:$C$505,1))=0),"missing primary contact in أرقام التواصل; ","")&amp;IF(OR(B258="to_candidate",AV258="proposed_name"),IF(AW258="","missing proposed_move_reason; ","")&amp;IF(AX258="","missing proposed_name_key; ",""),"")))))</f>
        <v/>
      </c>
    </row>
    <row r="259" spans="1:53">
      <c r="A259" s="11"/>
      <c r="B259" s="12"/>
      <c r="C259" s="13"/>
      <c r="D259" s="12"/>
      <c r="E259" s="12"/>
      <c r="F259" s="12"/>
      <c r="G259" s="12"/>
      <c r="H259" s="12"/>
      <c r="I259" s="12"/>
      <c r="J259" s="12"/>
      <c r="K259" s="12" t="str">
        <f t="shared" si="5"/>
        <v/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 t="str">
        <f t="shared" si="6"/>
        <v/>
      </c>
      <c r="V259" s="12"/>
      <c r="W259" s="14"/>
      <c r="X259" s="14"/>
      <c r="Y259" s="13"/>
      <c r="Z259" s="12"/>
      <c r="AA259" s="12"/>
      <c r="AB259" s="12"/>
      <c r="AC259" s="12"/>
      <c r="AD259" s="15"/>
      <c r="AE259" s="12"/>
      <c r="AF259" s="13"/>
      <c r="AG259" s="12"/>
      <c r="AH259" s="12"/>
      <c r="AI259" s="15"/>
      <c r="AJ259" s="12"/>
      <c r="AK259" s="12"/>
      <c r="AL259" s="12"/>
      <c r="AM259" s="12"/>
      <c r="AN259" s="12"/>
      <c r="AO259" s="12"/>
      <c r="AP259" s="12"/>
      <c r="AQ259" s="15"/>
      <c r="AR259" s="12"/>
      <c r="AS259" s="12"/>
      <c r="AT259" s="12"/>
      <c r="AU259" s="12"/>
      <c r="AV259" s="12"/>
      <c r="AW259" s="12"/>
      <c r="AX259" s="13"/>
      <c r="AY259" s="12"/>
      <c r="AZ259" s="12" t="str">
        <f>IF(AND(A259="",B259="",E259="",G259="",I259="",AV259="",AX259=""),"",IF(OR(B259="skip",AV259="skip"),"SKIP",IF(OR(B259="to_candidate",AV259="proposed_name"),IF(OR(A259="",AW259="",AX259="",COUNTIF($A$6:$A$505,A259)&gt;1),"REVIEW","TO_PROPOSED"),IF(OR(B259="",A259="",E259="",G259="",I259="",U259="",AV259="",COUNTIF($A$6:$A$505,A259)&gt;1,(COUNTIFS('أرقام التواصل'!$A$6:$A$505,"client",'أرقام التواصل'!$B$6:$B$505,A259,'أرقام التواصل'!$I$6:$I$505,"TRUE")+COUNTIFS('أرقام التواصل'!$A$6:$A$505,"client",'أرقام التواصل'!$B$6:$B$505,A259,'أرقام التواصل'!$C$6:$C$505,1))=0),"REVIEW","READY"))))</f>
        <v/>
      </c>
      <c r="BA259" s="16" t="str">
        <f>IF(AZ259="","",IF(OR(AZ259="READY",AZ259="TO_PROPOSED"),"",IF(AZ259="SKIP","Skipped by decision",TRIM(IF(B259="","missing import_action; ","")&amp;IF(A259="","missing migration_customer_key; ","")&amp;IF(AND(A259&lt;&gt;"",COUNTIF($A$6:$A$505,A259)&gt;1),"duplicate migration_customer_key; ","")&amp;IF(AND(NOT(OR(B259="to_candidate",AV259="proposed_name")),E259=""),"missing branch_id; ","")&amp;IF(AND(NOT(OR(B259="to_candidate",AV259="proposed_name")),G259=""),"missing first_name; ","")&amp;IF(AND(NOT(OR(B259="to_candidate",AV259="proposed_name")),I259=""),"missing last_name; ","")&amp;IF(AND(NOT(OR(B259="to_candidate",AV259="proposed_name")),U259=""),"missing final_geo_unit_id; ","")&amp;IF(AV259="","missing final_destination; ","")&amp;IF(AND(NOT(OR(B259="to_candidate",AV259="proposed_name")),(COUNTIFS('أرقام التواصل'!$A$6:$A$505,"client",'أرقام التواصل'!$B$6:$B$505,A259,'أرقام التواصل'!$I$6:$I$505,"TRUE")+COUNTIFS('أرقام التواصل'!$A$6:$A$505,"client",'أرقام التواصل'!$B$6:$B$505,A259,'أرقام التواصل'!$C$6:$C$505,1))=0),"missing primary contact in أرقام التواصل; ","")&amp;IF(OR(B259="to_candidate",AV259="proposed_name"),IF(AW259="","missing proposed_move_reason; ","")&amp;IF(AX259="","missing proposed_name_key; ",""),"")))))</f>
        <v/>
      </c>
    </row>
    <row r="260" spans="1:53">
      <c r="A260" s="11"/>
      <c r="B260" s="12"/>
      <c r="C260" s="13"/>
      <c r="D260" s="12"/>
      <c r="E260" s="12"/>
      <c r="F260" s="12"/>
      <c r="G260" s="12"/>
      <c r="H260" s="12"/>
      <c r="I260" s="12"/>
      <c r="J260" s="12"/>
      <c r="K260" s="12" t="str">
        <f t="shared" si="5"/>
        <v/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 t="str">
        <f t="shared" si="6"/>
        <v/>
      </c>
      <c r="V260" s="12"/>
      <c r="W260" s="14"/>
      <c r="X260" s="14"/>
      <c r="Y260" s="13"/>
      <c r="Z260" s="12"/>
      <c r="AA260" s="12"/>
      <c r="AB260" s="12"/>
      <c r="AC260" s="12"/>
      <c r="AD260" s="15"/>
      <c r="AE260" s="12"/>
      <c r="AF260" s="13"/>
      <c r="AG260" s="12"/>
      <c r="AH260" s="12"/>
      <c r="AI260" s="15"/>
      <c r="AJ260" s="12"/>
      <c r="AK260" s="12"/>
      <c r="AL260" s="12"/>
      <c r="AM260" s="12"/>
      <c r="AN260" s="12"/>
      <c r="AO260" s="12"/>
      <c r="AP260" s="12"/>
      <c r="AQ260" s="15"/>
      <c r="AR260" s="12"/>
      <c r="AS260" s="12"/>
      <c r="AT260" s="12"/>
      <c r="AU260" s="12"/>
      <c r="AV260" s="12"/>
      <c r="AW260" s="12"/>
      <c r="AX260" s="13"/>
      <c r="AY260" s="12"/>
      <c r="AZ260" s="12" t="str">
        <f>IF(AND(A260="",B260="",E260="",G260="",I260="",AV260="",AX260=""),"",IF(OR(B260="skip",AV260="skip"),"SKIP",IF(OR(B260="to_candidate",AV260="proposed_name"),IF(OR(A260="",AW260="",AX260="",COUNTIF($A$6:$A$505,A260)&gt;1),"REVIEW","TO_PROPOSED"),IF(OR(B260="",A260="",E260="",G260="",I260="",U260="",AV260="",COUNTIF($A$6:$A$505,A260)&gt;1,(COUNTIFS('أرقام التواصل'!$A$6:$A$505,"client",'أرقام التواصل'!$B$6:$B$505,A260,'أرقام التواصل'!$I$6:$I$505,"TRUE")+COUNTIFS('أرقام التواصل'!$A$6:$A$505,"client",'أرقام التواصل'!$B$6:$B$505,A260,'أرقام التواصل'!$C$6:$C$505,1))=0),"REVIEW","READY"))))</f>
        <v/>
      </c>
      <c r="BA260" s="16" t="str">
        <f>IF(AZ260="","",IF(OR(AZ260="READY",AZ260="TO_PROPOSED"),"",IF(AZ260="SKIP","Skipped by decision",TRIM(IF(B260="","missing import_action; ","")&amp;IF(A260="","missing migration_customer_key; ","")&amp;IF(AND(A260&lt;&gt;"",COUNTIF($A$6:$A$505,A260)&gt;1),"duplicate migration_customer_key; ","")&amp;IF(AND(NOT(OR(B260="to_candidate",AV260="proposed_name")),E260=""),"missing branch_id; ","")&amp;IF(AND(NOT(OR(B260="to_candidate",AV260="proposed_name")),G260=""),"missing first_name; ","")&amp;IF(AND(NOT(OR(B260="to_candidate",AV260="proposed_name")),I260=""),"missing last_name; ","")&amp;IF(AND(NOT(OR(B260="to_candidate",AV260="proposed_name")),U260=""),"missing final_geo_unit_id; ","")&amp;IF(AV260="","missing final_destination; ","")&amp;IF(AND(NOT(OR(B260="to_candidate",AV260="proposed_name")),(COUNTIFS('أرقام التواصل'!$A$6:$A$505,"client",'أرقام التواصل'!$B$6:$B$505,A260,'أرقام التواصل'!$I$6:$I$505,"TRUE")+COUNTIFS('أرقام التواصل'!$A$6:$A$505,"client",'أرقام التواصل'!$B$6:$B$505,A260,'أرقام التواصل'!$C$6:$C$505,1))=0),"missing primary contact in أرقام التواصل; ","")&amp;IF(OR(B260="to_candidate",AV260="proposed_name"),IF(AW260="","missing proposed_move_reason; ","")&amp;IF(AX260="","missing proposed_name_key; ",""),"")))))</f>
        <v/>
      </c>
    </row>
    <row r="261" spans="1:53">
      <c r="A261" s="11"/>
      <c r="B261" s="12"/>
      <c r="C261" s="13"/>
      <c r="D261" s="12"/>
      <c r="E261" s="12"/>
      <c r="F261" s="12"/>
      <c r="G261" s="12"/>
      <c r="H261" s="12"/>
      <c r="I261" s="12"/>
      <c r="J261" s="12"/>
      <c r="K261" s="12" t="str">
        <f t="shared" si="5"/>
        <v/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 t="str">
        <f t="shared" si="6"/>
        <v/>
      </c>
      <c r="V261" s="12"/>
      <c r="W261" s="14"/>
      <c r="X261" s="14"/>
      <c r="Y261" s="13"/>
      <c r="Z261" s="12"/>
      <c r="AA261" s="12"/>
      <c r="AB261" s="12"/>
      <c r="AC261" s="12"/>
      <c r="AD261" s="15"/>
      <c r="AE261" s="12"/>
      <c r="AF261" s="13"/>
      <c r="AG261" s="12"/>
      <c r="AH261" s="12"/>
      <c r="AI261" s="15"/>
      <c r="AJ261" s="12"/>
      <c r="AK261" s="12"/>
      <c r="AL261" s="12"/>
      <c r="AM261" s="12"/>
      <c r="AN261" s="12"/>
      <c r="AO261" s="12"/>
      <c r="AP261" s="12"/>
      <c r="AQ261" s="15"/>
      <c r="AR261" s="12"/>
      <c r="AS261" s="12"/>
      <c r="AT261" s="12"/>
      <c r="AU261" s="12"/>
      <c r="AV261" s="12"/>
      <c r="AW261" s="12"/>
      <c r="AX261" s="13"/>
      <c r="AY261" s="12"/>
      <c r="AZ261" s="12" t="str">
        <f>IF(AND(A261="",B261="",E261="",G261="",I261="",AV261="",AX261=""),"",IF(OR(B261="skip",AV261="skip"),"SKIP",IF(OR(B261="to_candidate",AV261="proposed_name"),IF(OR(A261="",AW261="",AX261="",COUNTIF($A$6:$A$505,A261)&gt;1),"REVIEW","TO_PROPOSED"),IF(OR(B261="",A261="",E261="",G261="",I261="",U261="",AV261="",COUNTIF($A$6:$A$505,A261)&gt;1,(COUNTIFS('أرقام التواصل'!$A$6:$A$505,"client",'أرقام التواصل'!$B$6:$B$505,A261,'أرقام التواصل'!$I$6:$I$505,"TRUE")+COUNTIFS('أرقام التواصل'!$A$6:$A$505,"client",'أرقام التواصل'!$B$6:$B$505,A261,'أرقام التواصل'!$C$6:$C$505,1))=0),"REVIEW","READY"))))</f>
        <v/>
      </c>
      <c r="BA261" s="16" t="str">
        <f>IF(AZ261="","",IF(OR(AZ261="READY",AZ261="TO_PROPOSED"),"",IF(AZ261="SKIP","Skipped by decision",TRIM(IF(B261="","missing import_action; ","")&amp;IF(A261="","missing migration_customer_key; ","")&amp;IF(AND(A261&lt;&gt;"",COUNTIF($A$6:$A$505,A261)&gt;1),"duplicate migration_customer_key; ","")&amp;IF(AND(NOT(OR(B261="to_candidate",AV261="proposed_name")),E261=""),"missing branch_id; ","")&amp;IF(AND(NOT(OR(B261="to_candidate",AV261="proposed_name")),G261=""),"missing first_name; ","")&amp;IF(AND(NOT(OR(B261="to_candidate",AV261="proposed_name")),I261=""),"missing last_name; ","")&amp;IF(AND(NOT(OR(B261="to_candidate",AV261="proposed_name")),U261=""),"missing final_geo_unit_id; ","")&amp;IF(AV261="","missing final_destination; ","")&amp;IF(AND(NOT(OR(B261="to_candidate",AV261="proposed_name")),(COUNTIFS('أرقام التواصل'!$A$6:$A$505,"client",'أرقام التواصل'!$B$6:$B$505,A261,'أرقام التواصل'!$I$6:$I$505,"TRUE")+COUNTIFS('أرقام التواصل'!$A$6:$A$505,"client",'أرقام التواصل'!$B$6:$B$505,A261,'أرقام التواصل'!$C$6:$C$505,1))=0),"missing primary contact in أرقام التواصل; ","")&amp;IF(OR(B261="to_candidate",AV261="proposed_name"),IF(AW261="","missing proposed_move_reason; ","")&amp;IF(AX261="","missing proposed_name_key; ",""),"")))))</f>
        <v/>
      </c>
    </row>
    <row r="262" spans="1:53">
      <c r="A262" s="11"/>
      <c r="B262" s="12"/>
      <c r="C262" s="13"/>
      <c r="D262" s="12"/>
      <c r="E262" s="12"/>
      <c r="F262" s="12"/>
      <c r="G262" s="12"/>
      <c r="H262" s="12"/>
      <c r="I262" s="12"/>
      <c r="J262" s="12"/>
      <c r="K262" s="12" t="str">
        <f t="shared" ref="K262:K325" si="7">IF(TRIM(G262&amp;" "&amp;H262&amp;" "&amp;I262&amp;IF(J262&lt;&gt;""," ("&amp;J262&amp;")",""))="","",TRIM(G262&amp;" "&amp;H262&amp;" "&amp;I262&amp;IF(J262&lt;&gt;""," ("&amp;J262&amp;")","")))</f>
        <v/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 t="str">
        <f t="shared" ref="U262:U325" si="8">IF(AND(L262="",N262="",P262="",R262=""),"",IF(R262&lt;&gt;"",R262,IF(P262&lt;&gt;"",P262,IF(N262&lt;&gt;"",N262,L262))))</f>
        <v/>
      </c>
      <c r="V262" s="12"/>
      <c r="W262" s="14"/>
      <c r="X262" s="14"/>
      <c r="Y262" s="13"/>
      <c r="Z262" s="12"/>
      <c r="AA262" s="12"/>
      <c r="AB262" s="12"/>
      <c r="AC262" s="12"/>
      <c r="AD262" s="15"/>
      <c r="AE262" s="12"/>
      <c r="AF262" s="13"/>
      <c r="AG262" s="12"/>
      <c r="AH262" s="12"/>
      <c r="AI262" s="15"/>
      <c r="AJ262" s="12"/>
      <c r="AK262" s="12"/>
      <c r="AL262" s="12"/>
      <c r="AM262" s="12"/>
      <c r="AN262" s="12"/>
      <c r="AO262" s="12"/>
      <c r="AP262" s="12"/>
      <c r="AQ262" s="15"/>
      <c r="AR262" s="12"/>
      <c r="AS262" s="12"/>
      <c r="AT262" s="12"/>
      <c r="AU262" s="12"/>
      <c r="AV262" s="12"/>
      <c r="AW262" s="12"/>
      <c r="AX262" s="13"/>
      <c r="AY262" s="12"/>
      <c r="AZ262" s="12" t="str">
        <f>IF(AND(A262="",B262="",E262="",G262="",I262="",AV262="",AX262=""),"",IF(OR(B262="skip",AV262="skip"),"SKIP",IF(OR(B262="to_candidate",AV262="proposed_name"),IF(OR(A262="",AW262="",AX262="",COUNTIF($A$6:$A$505,A262)&gt;1),"REVIEW","TO_PROPOSED"),IF(OR(B262="",A262="",E262="",G262="",I262="",U262="",AV262="",COUNTIF($A$6:$A$505,A262)&gt;1,(COUNTIFS('أرقام التواصل'!$A$6:$A$505,"client",'أرقام التواصل'!$B$6:$B$505,A262,'أرقام التواصل'!$I$6:$I$505,"TRUE")+COUNTIFS('أرقام التواصل'!$A$6:$A$505,"client",'أرقام التواصل'!$B$6:$B$505,A262,'أرقام التواصل'!$C$6:$C$505,1))=0),"REVIEW","READY"))))</f>
        <v/>
      </c>
      <c r="BA262" s="16" t="str">
        <f>IF(AZ262="","",IF(OR(AZ262="READY",AZ262="TO_PROPOSED"),"",IF(AZ262="SKIP","Skipped by decision",TRIM(IF(B262="","missing import_action; ","")&amp;IF(A262="","missing migration_customer_key; ","")&amp;IF(AND(A262&lt;&gt;"",COUNTIF($A$6:$A$505,A262)&gt;1),"duplicate migration_customer_key; ","")&amp;IF(AND(NOT(OR(B262="to_candidate",AV262="proposed_name")),E262=""),"missing branch_id; ","")&amp;IF(AND(NOT(OR(B262="to_candidate",AV262="proposed_name")),G262=""),"missing first_name; ","")&amp;IF(AND(NOT(OR(B262="to_candidate",AV262="proposed_name")),I262=""),"missing last_name; ","")&amp;IF(AND(NOT(OR(B262="to_candidate",AV262="proposed_name")),U262=""),"missing final_geo_unit_id; ","")&amp;IF(AV262="","missing final_destination; ","")&amp;IF(AND(NOT(OR(B262="to_candidate",AV262="proposed_name")),(COUNTIFS('أرقام التواصل'!$A$6:$A$505,"client",'أرقام التواصل'!$B$6:$B$505,A262,'أرقام التواصل'!$I$6:$I$505,"TRUE")+COUNTIFS('أرقام التواصل'!$A$6:$A$505,"client",'أرقام التواصل'!$B$6:$B$505,A262,'أرقام التواصل'!$C$6:$C$505,1))=0),"missing primary contact in أرقام التواصل; ","")&amp;IF(OR(B262="to_candidate",AV262="proposed_name"),IF(AW262="","missing proposed_move_reason; ","")&amp;IF(AX262="","missing proposed_name_key; ",""),"")))))</f>
        <v/>
      </c>
    </row>
    <row r="263" spans="1:53">
      <c r="A263" s="11"/>
      <c r="B263" s="12"/>
      <c r="C263" s="13"/>
      <c r="D263" s="12"/>
      <c r="E263" s="12"/>
      <c r="F263" s="12"/>
      <c r="G263" s="12"/>
      <c r="H263" s="12"/>
      <c r="I263" s="12"/>
      <c r="J263" s="12"/>
      <c r="K263" s="12" t="str">
        <f t="shared" si="7"/>
        <v/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 t="str">
        <f t="shared" si="8"/>
        <v/>
      </c>
      <c r="V263" s="12"/>
      <c r="W263" s="14"/>
      <c r="X263" s="14"/>
      <c r="Y263" s="13"/>
      <c r="Z263" s="12"/>
      <c r="AA263" s="12"/>
      <c r="AB263" s="12"/>
      <c r="AC263" s="12"/>
      <c r="AD263" s="15"/>
      <c r="AE263" s="12"/>
      <c r="AF263" s="13"/>
      <c r="AG263" s="12"/>
      <c r="AH263" s="12"/>
      <c r="AI263" s="15"/>
      <c r="AJ263" s="12"/>
      <c r="AK263" s="12"/>
      <c r="AL263" s="12"/>
      <c r="AM263" s="12"/>
      <c r="AN263" s="12"/>
      <c r="AO263" s="12"/>
      <c r="AP263" s="12"/>
      <c r="AQ263" s="15"/>
      <c r="AR263" s="12"/>
      <c r="AS263" s="12"/>
      <c r="AT263" s="12"/>
      <c r="AU263" s="12"/>
      <c r="AV263" s="12"/>
      <c r="AW263" s="12"/>
      <c r="AX263" s="13"/>
      <c r="AY263" s="12"/>
      <c r="AZ263" s="12" t="str">
        <f>IF(AND(A263="",B263="",E263="",G263="",I263="",AV263="",AX263=""),"",IF(OR(B263="skip",AV263="skip"),"SKIP",IF(OR(B263="to_candidate",AV263="proposed_name"),IF(OR(A263="",AW263="",AX263="",COUNTIF($A$6:$A$505,A263)&gt;1),"REVIEW","TO_PROPOSED"),IF(OR(B263="",A263="",E263="",G263="",I263="",U263="",AV263="",COUNTIF($A$6:$A$505,A263)&gt;1,(COUNTIFS('أرقام التواصل'!$A$6:$A$505,"client",'أرقام التواصل'!$B$6:$B$505,A263,'أرقام التواصل'!$I$6:$I$505,"TRUE")+COUNTIFS('أرقام التواصل'!$A$6:$A$505,"client",'أرقام التواصل'!$B$6:$B$505,A263,'أرقام التواصل'!$C$6:$C$505,1))=0),"REVIEW","READY"))))</f>
        <v/>
      </c>
      <c r="BA263" s="16" t="str">
        <f>IF(AZ263="","",IF(OR(AZ263="READY",AZ263="TO_PROPOSED"),"",IF(AZ263="SKIP","Skipped by decision",TRIM(IF(B263="","missing import_action; ","")&amp;IF(A263="","missing migration_customer_key; ","")&amp;IF(AND(A263&lt;&gt;"",COUNTIF($A$6:$A$505,A263)&gt;1),"duplicate migration_customer_key; ","")&amp;IF(AND(NOT(OR(B263="to_candidate",AV263="proposed_name")),E263=""),"missing branch_id; ","")&amp;IF(AND(NOT(OR(B263="to_candidate",AV263="proposed_name")),G263=""),"missing first_name; ","")&amp;IF(AND(NOT(OR(B263="to_candidate",AV263="proposed_name")),I263=""),"missing last_name; ","")&amp;IF(AND(NOT(OR(B263="to_candidate",AV263="proposed_name")),U263=""),"missing final_geo_unit_id; ","")&amp;IF(AV263="","missing final_destination; ","")&amp;IF(AND(NOT(OR(B263="to_candidate",AV263="proposed_name")),(COUNTIFS('أرقام التواصل'!$A$6:$A$505,"client",'أرقام التواصل'!$B$6:$B$505,A263,'أرقام التواصل'!$I$6:$I$505,"TRUE")+COUNTIFS('أرقام التواصل'!$A$6:$A$505,"client",'أرقام التواصل'!$B$6:$B$505,A263,'أرقام التواصل'!$C$6:$C$505,1))=0),"missing primary contact in أرقام التواصل; ","")&amp;IF(OR(B263="to_candidate",AV263="proposed_name"),IF(AW263="","missing proposed_move_reason; ","")&amp;IF(AX263="","missing proposed_name_key; ",""),"")))))</f>
        <v/>
      </c>
    </row>
    <row r="264" spans="1:53">
      <c r="A264" s="11"/>
      <c r="B264" s="12"/>
      <c r="C264" s="13"/>
      <c r="D264" s="12"/>
      <c r="E264" s="12"/>
      <c r="F264" s="12"/>
      <c r="G264" s="12"/>
      <c r="H264" s="12"/>
      <c r="I264" s="12"/>
      <c r="J264" s="12"/>
      <c r="K264" s="12" t="str">
        <f t="shared" si="7"/>
        <v/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 t="str">
        <f t="shared" si="8"/>
        <v/>
      </c>
      <c r="V264" s="12"/>
      <c r="W264" s="14"/>
      <c r="X264" s="14"/>
      <c r="Y264" s="13"/>
      <c r="Z264" s="12"/>
      <c r="AA264" s="12"/>
      <c r="AB264" s="12"/>
      <c r="AC264" s="12"/>
      <c r="AD264" s="15"/>
      <c r="AE264" s="12"/>
      <c r="AF264" s="13"/>
      <c r="AG264" s="12"/>
      <c r="AH264" s="12"/>
      <c r="AI264" s="15"/>
      <c r="AJ264" s="12"/>
      <c r="AK264" s="12"/>
      <c r="AL264" s="12"/>
      <c r="AM264" s="12"/>
      <c r="AN264" s="12"/>
      <c r="AO264" s="12"/>
      <c r="AP264" s="12"/>
      <c r="AQ264" s="15"/>
      <c r="AR264" s="12"/>
      <c r="AS264" s="12"/>
      <c r="AT264" s="12"/>
      <c r="AU264" s="12"/>
      <c r="AV264" s="12"/>
      <c r="AW264" s="12"/>
      <c r="AX264" s="13"/>
      <c r="AY264" s="12"/>
      <c r="AZ264" s="12" t="str">
        <f>IF(AND(A264="",B264="",E264="",G264="",I264="",AV264="",AX264=""),"",IF(OR(B264="skip",AV264="skip"),"SKIP",IF(OR(B264="to_candidate",AV264="proposed_name"),IF(OR(A264="",AW264="",AX264="",COUNTIF($A$6:$A$505,A264)&gt;1),"REVIEW","TO_PROPOSED"),IF(OR(B264="",A264="",E264="",G264="",I264="",U264="",AV264="",COUNTIF($A$6:$A$505,A264)&gt;1,(COUNTIFS('أرقام التواصل'!$A$6:$A$505,"client",'أرقام التواصل'!$B$6:$B$505,A264,'أرقام التواصل'!$I$6:$I$505,"TRUE")+COUNTIFS('أرقام التواصل'!$A$6:$A$505,"client",'أرقام التواصل'!$B$6:$B$505,A264,'أرقام التواصل'!$C$6:$C$505,1))=0),"REVIEW","READY"))))</f>
        <v/>
      </c>
      <c r="BA264" s="16" t="str">
        <f>IF(AZ264="","",IF(OR(AZ264="READY",AZ264="TO_PROPOSED"),"",IF(AZ264="SKIP","Skipped by decision",TRIM(IF(B264="","missing import_action; ","")&amp;IF(A264="","missing migration_customer_key; ","")&amp;IF(AND(A264&lt;&gt;"",COUNTIF($A$6:$A$505,A264)&gt;1),"duplicate migration_customer_key; ","")&amp;IF(AND(NOT(OR(B264="to_candidate",AV264="proposed_name")),E264=""),"missing branch_id; ","")&amp;IF(AND(NOT(OR(B264="to_candidate",AV264="proposed_name")),G264=""),"missing first_name; ","")&amp;IF(AND(NOT(OR(B264="to_candidate",AV264="proposed_name")),I264=""),"missing last_name; ","")&amp;IF(AND(NOT(OR(B264="to_candidate",AV264="proposed_name")),U264=""),"missing final_geo_unit_id; ","")&amp;IF(AV264="","missing final_destination; ","")&amp;IF(AND(NOT(OR(B264="to_candidate",AV264="proposed_name")),(COUNTIFS('أرقام التواصل'!$A$6:$A$505,"client",'أرقام التواصل'!$B$6:$B$505,A264,'أرقام التواصل'!$I$6:$I$505,"TRUE")+COUNTIFS('أرقام التواصل'!$A$6:$A$505,"client",'أرقام التواصل'!$B$6:$B$505,A264,'أرقام التواصل'!$C$6:$C$505,1))=0),"missing primary contact in أرقام التواصل; ","")&amp;IF(OR(B264="to_candidate",AV264="proposed_name"),IF(AW264="","missing proposed_move_reason; ","")&amp;IF(AX264="","missing proposed_name_key; ",""),"")))))</f>
        <v/>
      </c>
    </row>
    <row r="265" spans="1:53">
      <c r="A265" s="11"/>
      <c r="B265" s="12"/>
      <c r="C265" s="13"/>
      <c r="D265" s="12"/>
      <c r="E265" s="12"/>
      <c r="F265" s="12"/>
      <c r="G265" s="12"/>
      <c r="H265" s="12"/>
      <c r="I265" s="12"/>
      <c r="J265" s="12"/>
      <c r="K265" s="12" t="str">
        <f t="shared" si="7"/>
        <v/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 t="str">
        <f t="shared" si="8"/>
        <v/>
      </c>
      <c r="V265" s="12"/>
      <c r="W265" s="14"/>
      <c r="X265" s="14"/>
      <c r="Y265" s="13"/>
      <c r="Z265" s="12"/>
      <c r="AA265" s="12"/>
      <c r="AB265" s="12"/>
      <c r="AC265" s="12"/>
      <c r="AD265" s="15"/>
      <c r="AE265" s="12"/>
      <c r="AF265" s="13"/>
      <c r="AG265" s="12"/>
      <c r="AH265" s="12"/>
      <c r="AI265" s="15"/>
      <c r="AJ265" s="12"/>
      <c r="AK265" s="12"/>
      <c r="AL265" s="12"/>
      <c r="AM265" s="12"/>
      <c r="AN265" s="12"/>
      <c r="AO265" s="12"/>
      <c r="AP265" s="12"/>
      <c r="AQ265" s="15"/>
      <c r="AR265" s="12"/>
      <c r="AS265" s="12"/>
      <c r="AT265" s="12"/>
      <c r="AU265" s="12"/>
      <c r="AV265" s="12"/>
      <c r="AW265" s="12"/>
      <c r="AX265" s="13"/>
      <c r="AY265" s="12"/>
      <c r="AZ265" s="12" t="str">
        <f>IF(AND(A265="",B265="",E265="",G265="",I265="",AV265="",AX265=""),"",IF(OR(B265="skip",AV265="skip"),"SKIP",IF(OR(B265="to_candidate",AV265="proposed_name"),IF(OR(A265="",AW265="",AX265="",COUNTIF($A$6:$A$505,A265)&gt;1),"REVIEW","TO_PROPOSED"),IF(OR(B265="",A265="",E265="",G265="",I265="",U265="",AV265="",COUNTIF($A$6:$A$505,A265)&gt;1,(COUNTIFS('أرقام التواصل'!$A$6:$A$505,"client",'أرقام التواصل'!$B$6:$B$505,A265,'أرقام التواصل'!$I$6:$I$505,"TRUE")+COUNTIFS('أرقام التواصل'!$A$6:$A$505,"client",'أرقام التواصل'!$B$6:$B$505,A265,'أرقام التواصل'!$C$6:$C$505,1))=0),"REVIEW","READY"))))</f>
        <v/>
      </c>
      <c r="BA265" s="16" t="str">
        <f>IF(AZ265="","",IF(OR(AZ265="READY",AZ265="TO_PROPOSED"),"",IF(AZ265="SKIP","Skipped by decision",TRIM(IF(B265="","missing import_action; ","")&amp;IF(A265="","missing migration_customer_key; ","")&amp;IF(AND(A265&lt;&gt;"",COUNTIF($A$6:$A$505,A265)&gt;1),"duplicate migration_customer_key; ","")&amp;IF(AND(NOT(OR(B265="to_candidate",AV265="proposed_name")),E265=""),"missing branch_id; ","")&amp;IF(AND(NOT(OR(B265="to_candidate",AV265="proposed_name")),G265=""),"missing first_name; ","")&amp;IF(AND(NOT(OR(B265="to_candidate",AV265="proposed_name")),I265=""),"missing last_name; ","")&amp;IF(AND(NOT(OR(B265="to_candidate",AV265="proposed_name")),U265=""),"missing final_geo_unit_id; ","")&amp;IF(AV265="","missing final_destination; ","")&amp;IF(AND(NOT(OR(B265="to_candidate",AV265="proposed_name")),(COUNTIFS('أرقام التواصل'!$A$6:$A$505,"client",'أرقام التواصل'!$B$6:$B$505,A265,'أرقام التواصل'!$I$6:$I$505,"TRUE")+COUNTIFS('أرقام التواصل'!$A$6:$A$505,"client",'أرقام التواصل'!$B$6:$B$505,A265,'أرقام التواصل'!$C$6:$C$505,1))=0),"missing primary contact in أرقام التواصل; ","")&amp;IF(OR(B265="to_candidate",AV265="proposed_name"),IF(AW265="","missing proposed_move_reason; ","")&amp;IF(AX265="","missing proposed_name_key; ",""),"")))))</f>
        <v/>
      </c>
    </row>
    <row r="266" spans="1:53">
      <c r="A266" s="11"/>
      <c r="B266" s="12"/>
      <c r="C266" s="13"/>
      <c r="D266" s="12"/>
      <c r="E266" s="12"/>
      <c r="F266" s="12"/>
      <c r="G266" s="12"/>
      <c r="H266" s="12"/>
      <c r="I266" s="12"/>
      <c r="J266" s="12"/>
      <c r="K266" s="12" t="str">
        <f t="shared" si="7"/>
        <v/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 t="str">
        <f t="shared" si="8"/>
        <v/>
      </c>
      <c r="V266" s="12"/>
      <c r="W266" s="14"/>
      <c r="X266" s="14"/>
      <c r="Y266" s="13"/>
      <c r="Z266" s="12"/>
      <c r="AA266" s="12"/>
      <c r="AB266" s="12"/>
      <c r="AC266" s="12"/>
      <c r="AD266" s="15"/>
      <c r="AE266" s="12"/>
      <c r="AF266" s="13"/>
      <c r="AG266" s="12"/>
      <c r="AH266" s="12"/>
      <c r="AI266" s="15"/>
      <c r="AJ266" s="12"/>
      <c r="AK266" s="12"/>
      <c r="AL266" s="12"/>
      <c r="AM266" s="12"/>
      <c r="AN266" s="12"/>
      <c r="AO266" s="12"/>
      <c r="AP266" s="12"/>
      <c r="AQ266" s="15"/>
      <c r="AR266" s="12"/>
      <c r="AS266" s="12"/>
      <c r="AT266" s="12"/>
      <c r="AU266" s="12"/>
      <c r="AV266" s="12"/>
      <c r="AW266" s="12"/>
      <c r="AX266" s="13"/>
      <c r="AY266" s="12"/>
      <c r="AZ266" s="12" t="str">
        <f>IF(AND(A266="",B266="",E266="",G266="",I266="",AV266="",AX266=""),"",IF(OR(B266="skip",AV266="skip"),"SKIP",IF(OR(B266="to_candidate",AV266="proposed_name"),IF(OR(A266="",AW266="",AX266="",COUNTIF($A$6:$A$505,A266)&gt;1),"REVIEW","TO_PROPOSED"),IF(OR(B266="",A266="",E266="",G266="",I266="",U266="",AV266="",COUNTIF($A$6:$A$505,A266)&gt;1,(COUNTIFS('أرقام التواصل'!$A$6:$A$505,"client",'أرقام التواصل'!$B$6:$B$505,A266,'أرقام التواصل'!$I$6:$I$505,"TRUE")+COUNTIFS('أرقام التواصل'!$A$6:$A$505,"client",'أرقام التواصل'!$B$6:$B$505,A266,'أرقام التواصل'!$C$6:$C$505,1))=0),"REVIEW","READY"))))</f>
        <v/>
      </c>
      <c r="BA266" s="16" t="str">
        <f>IF(AZ266="","",IF(OR(AZ266="READY",AZ266="TO_PROPOSED"),"",IF(AZ266="SKIP","Skipped by decision",TRIM(IF(B266="","missing import_action; ","")&amp;IF(A266="","missing migration_customer_key; ","")&amp;IF(AND(A266&lt;&gt;"",COUNTIF($A$6:$A$505,A266)&gt;1),"duplicate migration_customer_key; ","")&amp;IF(AND(NOT(OR(B266="to_candidate",AV266="proposed_name")),E266=""),"missing branch_id; ","")&amp;IF(AND(NOT(OR(B266="to_candidate",AV266="proposed_name")),G266=""),"missing first_name; ","")&amp;IF(AND(NOT(OR(B266="to_candidate",AV266="proposed_name")),I266=""),"missing last_name; ","")&amp;IF(AND(NOT(OR(B266="to_candidate",AV266="proposed_name")),U266=""),"missing final_geo_unit_id; ","")&amp;IF(AV266="","missing final_destination; ","")&amp;IF(AND(NOT(OR(B266="to_candidate",AV266="proposed_name")),(COUNTIFS('أرقام التواصل'!$A$6:$A$505,"client",'أرقام التواصل'!$B$6:$B$505,A266,'أرقام التواصل'!$I$6:$I$505,"TRUE")+COUNTIFS('أرقام التواصل'!$A$6:$A$505,"client",'أرقام التواصل'!$B$6:$B$505,A266,'أرقام التواصل'!$C$6:$C$505,1))=0),"missing primary contact in أرقام التواصل; ","")&amp;IF(OR(B266="to_candidate",AV266="proposed_name"),IF(AW266="","missing proposed_move_reason; ","")&amp;IF(AX266="","missing proposed_name_key; ",""),"")))))</f>
        <v/>
      </c>
    </row>
    <row r="267" spans="1:53">
      <c r="A267" s="11"/>
      <c r="B267" s="12"/>
      <c r="C267" s="13"/>
      <c r="D267" s="12"/>
      <c r="E267" s="12"/>
      <c r="F267" s="12"/>
      <c r="G267" s="12"/>
      <c r="H267" s="12"/>
      <c r="I267" s="12"/>
      <c r="J267" s="12"/>
      <c r="K267" s="12" t="str">
        <f t="shared" si="7"/>
        <v/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 t="str">
        <f t="shared" si="8"/>
        <v/>
      </c>
      <c r="V267" s="12"/>
      <c r="W267" s="14"/>
      <c r="X267" s="14"/>
      <c r="Y267" s="13"/>
      <c r="Z267" s="12"/>
      <c r="AA267" s="12"/>
      <c r="AB267" s="12"/>
      <c r="AC267" s="12"/>
      <c r="AD267" s="15"/>
      <c r="AE267" s="12"/>
      <c r="AF267" s="13"/>
      <c r="AG267" s="12"/>
      <c r="AH267" s="12"/>
      <c r="AI267" s="15"/>
      <c r="AJ267" s="12"/>
      <c r="AK267" s="12"/>
      <c r="AL267" s="12"/>
      <c r="AM267" s="12"/>
      <c r="AN267" s="12"/>
      <c r="AO267" s="12"/>
      <c r="AP267" s="12"/>
      <c r="AQ267" s="15"/>
      <c r="AR267" s="12"/>
      <c r="AS267" s="12"/>
      <c r="AT267" s="12"/>
      <c r="AU267" s="12"/>
      <c r="AV267" s="12"/>
      <c r="AW267" s="12"/>
      <c r="AX267" s="13"/>
      <c r="AY267" s="12"/>
      <c r="AZ267" s="12" t="str">
        <f>IF(AND(A267="",B267="",E267="",G267="",I267="",AV267="",AX267=""),"",IF(OR(B267="skip",AV267="skip"),"SKIP",IF(OR(B267="to_candidate",AV267="proposed_name"),IF(OR(A267="",AW267="",AX267="",COUNTIF($A$6:$A$505,A267)&gt;1),"REVIEW","TO_PROPOSED"),IF(OR(B267="",A267="",E267="",G267="",I267="",U267="",AV267="",COUNTIF($A$6:$A$505,A267)&gt;1,(COUNTIFS('أرقام التواصل'!$A$6:$A$505,"client",'أرقام التواصل'!$B$6:$B$505,A267,'أرقام التواصل'!$I$6:$I$505,"TRUE")+COUNTIFS('أرقام التواصل'!$A$6:$A$505,"client",'أرقام التواصل'!$B$6:$B$505,A267,'أرقام التواصل'!$C$6:$C$505,1))=0),"REVIEW","READY"))))</f>
        <v/>
      </c>
      <c r="BA267" s="16" t="str">
        <f>IF(AZ267="","",IF(OR(AZ267="READY",AZ267="TO_PROPOSED"),"",IF(AZ267="SKIP","Skipped by decision",TRIM(IF(B267="","missing import_action; ","")&amp;IF(A267="","missing migration_customer_key; ","")&amp;IF(AND(A267&lt;&gt;"",COUNTIF($A$6:$A$505,A267)&gt;1),"duplicate migration_customer_key; ","")&amp;IF(AND(NOT(OR(B267="to_candidate",AV267="proposed_name")),E267=""),"missing branch_id; ","")&amp;IF(AND(NOT(OR(B267="to_candidate",AV267="proposed_name")),G267=""),"missing first_name; ","")&amp;IF(AND(NOT(OR(B267="to_candidate",AV267="proposed_name")),I267=""),"missing last_name; ","")&amp;IF(AND(NOT(OR(B267="to_candidate",AV267="proposed_name")),U267=""),"missing final_geo_unit_id; ","")&amp;IF(AV267="","missing final_destination; ","")&amp;IF(AND(NOT(OR(B267="to_candidate",AV267="proposed_name")),(COUNTIFS('أرقام التواصل'!$A$6:$A$505,"client",'أرقام التواصل'!$B$6:$B$505,A267,'أرقام التواصل'!$I$6:$I$505,"TRUE")+COUNTIFS('أرقام التواصل'!$A$6:$A$505,"client",'أرقام التواصل'!$B$6:$B$505,A267,'أرقام التواصل'!$C$6:$C$505,1))=0),"missing primary contact in أرقام التواصل; ","")&amp;IF(OR(B267="to_candidate",AV267="proposed_name"),IF(AW267="","missing proposed_move_reason; ","")&amp;IF(AX267="","missing proposed_name_key; ",""),"")))))</f>
        <v/>
      </c>
    </row>
    <row r="268" spans="1:53">
      <c r="A268" s="11"/>
      <c r="B268" s="12"/>
      <c r="C268" s="13"/>
      <c r="D268" s="12"/>
      <c r="E268" s="12"/>
      <c r="F268" s="12"/>
      <c r="G268" s="12"/>
      <c r="H268" s="12"/>
      <c r="I268" s="12"/>
      <c r="J268" s="12"/>
      <c r="K268" s="12" t="str">
        <f t="shared" si="7"/>
        <v/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 t="str">
        <f t="shared" si="8"/>
        <v/>
      </c>
      <c r="V268" s="12"/>
      <c r="W268" s="14"/>
      <c r="X268" s="14"/>
      <c r="Y268" s="13"/>
      <c r="Z268" s="12"/>
      <c r="AA268" s="12"/>
      <c r="AB268" s="12"/>
      <c r="AC268" s="12"/>
      <c r="AD268" s="15"/>
      <c r="AE268" s="12"/>
      <c r="AF268" s="13"/>
      <c r="AG268" s="12"/>
      <c r="AH268" s="12"/>
      <c r="AI268" s="15"/>
      <c r="AJ268" s="12"/>
      <c r="AK268" s="12"/>
      <c r="AL268" s="12"/>
      <c r="AM268" s="12"/>
      <c r="AN268" s="12"/>
      <c r="AO268" s="12"/>
      <c r="AP268" s="12"/>
      <c r="AQ268" s="15"/>
      <c r="AR268" s="12"/>
      <c r="AS268" s="12"/>
      <c r="AT268" s="12"/>
      <c r="AU268" s="12"/>
      <c r="AV268" s="12"/>
      <c r="AW268" s="12"/>
      <c r="AX268" s="13"/>
      <c r="AY268" s="12"/>
      <c r="AZ268" s="12" t="str">
        <f>IF(AND(A268="",B268="",E268="",G268="",I268="",AV268="",AX268=""),"",IF(OR(B268="skip",AV268="skip"),"SKIP",IF(OR(B268="to_candidate",AV268="proposed_name"),IF(OR(A268="",AW268="",AX268="",COUNTIF($A$6:$A$505,A268)&gt;1),"REVIEW","TO_PROPOSED"),IF(OR(B268="",A268="",E268="",G268="",I268="",U268="",AV268="",COUNTIF($A$6:$A$505,A268)&gt;1,(COUNTIFS('أرقام التواصل'!$A$6:$A$505,"client",'أرقام التواصل'!$B$6:$B$505,A268,'أرقام التواصل'!$I$6:$I$505,"TRUE")+COUNTIFS('أرقام التواصل'!$A$6:$A$505,"client",'أرقام التواصل'!$B$6:$B$505,A268,'أرقام التواصل'!$C$6:$C$505,1))=0),"REVIEW","READY"))))</f>
        <v/>
      </c>
      <c r="BA268" s="16" t="str">
        <f>IF(AZ268="","",IF(OR(AZ268="READY",AZ268="TO_PROPOSED"),"",IF(AZ268="SKIP","Skipped by decision",TRIM(IF(B268="","missing import_action; ","")&amp;IF(A268="","missing migration_customer_key; ","")&amp;IF(AND(A268&lt;&gt;"",COUNTIF($A$6:$A$505,A268)&gt;1),"duplicate migration_customer_key; ","")&amp;IF(AND(NOT(OR(B268="to_candidate",AV268="proposed_name")),E268=""),"missing branch_id; ","")&amp;IF(AND(NOT(OR(B268="to_candidate",AV268="proposed_name")),G268=""),"missing first_name; ","")&amp;IF(AND(NOT(OR(B268="to_candidate",AV268="proposed_name")),I268=""),"missing last_name; ","")&amp;IF(AND(NOT(OR(B268="to_candidate",AV268="proposed_name")),U268=""),"missing final_geo_unit_id; ","")&amp;IF(AV268="","missing final_destination; ","")&amp;IF(AND(NOT(OR(B268="to_candidate",AV268="proposed_name")),(COUNTIFS('أرقام التواصل'!$A$6:$A$505,"client",'أرقام التواصل'!$B$6:$B$505,A268,'أرقام التواصل'!$I$6:$I$505,"TRUE")+COUNTIFS('أرقام التواصل'!$A$6:$A$505,"client",'أرقام التواصل'!$B$6:$B$505,A268,'أرقام التواصل'!$C$6:$C$505,1))=0),"missing primary contact in أرقام التواصل; ","")&amp;IF(OR(B268="to_candidate",AV268="proposed_name"),IF(AW268="","missing proposed_move_reason; ","")&amp;IF(AX268="","missing proposed_name_key; ",""),"")))))</f>
        <v/>
      </c>
    </row>
    <row r="269" spans="1:53">
      <c r="A269" s="11"/>
      <c r="B269" s="12"/>
      <c r="C269" s="13"/>
      <c r="D269" s="12"/>
      <c r="E269" s="12"/>
      <c r="F269" s="12"/>
      <c r="G269" s="12"/>
      <c r="H269" s="12"/>
      <c r="I269" s="12"/>
      <c r="J269" s="12"/>
      <c r="K269" s="12" t="str">
        <f t="shared" si="7"/>
        <v/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 t="str">
        <f t="shared" si="8"/>
        <v/>
      </c>
      <c r="V269" s="12"/>
      <c r="W269" s="14"/>
      <c r="X269" s="14"/>
      <c r="Y269" s="13"/>
      <c r="Z269" s="12"/>
      <c r="AA269" s="12"/>
      <c r="AB269" s="12"/>
      <c r="AC269" s="12"/>
      <c r="AD269" s="15"/>
      <c r="AE269" s="12"/>
      <c r="AF269" s="13"/>
      <c r="AG269" s="12"/>
      <c r="AH269" s="12"/>
      <c r="AI269" s="15"/>
      <c r="AJ269" s="12"/>
      <c r="AK269" s="12"/>
      <c r="AL269" s="12"/>
      <c r="AM269" s="12"/>
      <c r="AN269" s="12"/>
      <c r="AO269" s="12"/>
      <c r="AP269" s="12"/>
      <c r="AQ269" s="15"/>
      <c r="AR269" s="12"/>
      <c r="AS269" s="12"/>
      <c r="AT269" s="12"/>
      <c r="AU269" s="12"/>
      <c r="AV269" s="12"/>
      <c r="AW269" s="12"/>
      <c r="AX269" s="13"/>
      <c r="AY269" s="12"/>
      <c r="AZ269" s="12" t="str">
        <f>IF(AND(A269="",B269="",E269="",G269="",I269="",AV269="",AX269=""),"",IF(OR(B269="skip",AV269="skip"),"SKIP",IF(OR(B269="to_candidate",AV269="proposed_name"),IF(OR(A269="",AW269="",AX269="",COUNTIF($A$6:$A$505,A269)&gt;1),"REVIEW","TO_PROPOSED"),IF(OR(B269="",A269="",E269="",G269="",I269="",U269="",AV269="",COUNTIF($A$6:$A$505,A269)&gt;1,(COUNTIFS('أرقام التواصل'!$A$6:$A$505,"client",'أرقام التواصل'!$B$6:$B$505,A269,'أرقام التواصل'!$I$6:$I$505,"TRUE")+COUNTIFS('أرقام التواصل'!$A$6:$A$505,"client",'أرقام التواصل'!$B$6:$B$505,A269,'أرقام التواصل'!$C$6:$C$505,1))=0),"REVIEW","READY"))))</f>
        <v/>
      </c>
      <c r="BA269" s="16" t="str">
        <f>IF(AZ269="","",IF(OR(AZ269="READY",AZ269="TO_PROPOSED"),"",IF(AZ269="SKIP","Skipped by decision",TRIM(IF(B269="","missing import_action; ","")&amp;IF(A269="","missing migration_customer_key; ","")&amp;IF(AND(A269&lt;&gt;"",COUNTIF($A$6:$A$505,A269)&gt;1),"duplicate migration_customer_key; ","")&amp;IF(AND(NOT(OR(B269="to_candidate",AV269="proposed_name")),E269=""),"missing branch_id; ","")&amp;IF(AND(NOT(OR(B269="to_candidate",AV269="proposed_name")),G269=""),"missing first_name; ","")&amp;IF(AND(NOT(OR(B269="to_candidate",AV269="proposed_name")),I269=""),"missing last_name; ","")&amp;IF(AND(NOT(OR(B269="to_candidate",AV269="proposed_name")),U269=""),"missing final_geo_unit_id; ","")&amp;IF(AV269="","missing final_destination; ","")&amp;IF(AND(NOT(OR(B269="to_candidate",AV269="proposed_name")),(COUNTIFS('أرقام التواصل'!$A$6:$A$505,"client",'أرقام التواصل'!$B$6:$B$505,A269,'أرقام التواصل'!$I$6:$I$505,"TRUE")+COUNTIFS('أرقام التواصل'!$A$6:$A$505,"client",'أرقام التواصل'!$B$6:$B$505,A269,'أرقام التواصل'!$C$6:$C$505,1))=0),"missing primary contact in أرقام التواصل; ","")&amp;IF(OR(B269="to_candidate",AV269="proposed_name"),IF(AW269="","missing proposed_move_reason; ","")&amp;IF(AX269="","missing proposed_name_key; ",""),"")))))</f>
        <v/>
      </c>
    </row>
    <row r="270" spans="1:53">
      <c r="A270" s="11"/>
      <c r="B270" s="12"/>
      <c r="C270" s="13"/>
      <c r="D270" s="12"/>
      <c r="E270" s="12"/>
      <c r="F270" s="12"/>
      <c r="G270" s="12"/>
      <c r="H270" s="12"/>
      <c r="I270" s="12"/>
      <c r="J270" s="12"/>
      <c r="K270" s="12" t="str">
        <f t="shared" si="7"/>
        <v/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 t="str">
        <f t="shared" si="8"/>
        <v/>
      </c>
      <c r="V270" s="12"/>
      <c r="W270" s="14"/>
      <c r="X270" s="14"/>
      <c r="Y270" s="13"/>
      <c r="Z270" s="12"/>
      <c r="AA270" s="12"/>
      <c r="AB270" s="12"/>
      <c r="AC270" s="12"/>
      <c r="AD270" s="15"/>
      <c r="AE270" s="12"/>
      <c r="AF270" s="13"/>
      <c r="AG270" s="12"/>
      <c r="AH270" s="12"/>
      <c r="AI270" s="15"/>
      <c r="AJ270" s="12"/>
      <c r="AK270" s="12"/>
      <c r="AL270" s="12"/>
      <c r="AM270" s="12"/>
      <c r="AN270" s="12"/>
      <c r="AO270" s="12"/>
      <c r="AP270" s="12"/>
      <c r="AQ270" s="15"/>
      <c r="AR270" s="12"/>
      <c r="AS270" s="12"/>
      <c r="AT270" s="12"/>
      <c r="AU270" s="12"/>
      <c r="AV270" s="12"/>
      <c r="AW270" s="12"/>
      <c r="AX270" s="13"/>
      <c r="AY270" s="12"/>
      <c r="AZ270" s="12" t="str">
        <f>IF(AND(A270="",B270="",E270="",G270="",I270="",AV270="",AX270=""),"",IF(OR(B270="skip",AV270="skip"),"SKIP",IF(OR(B270="to_candidate",AV270="proposed_name"),IF(OR(A270="",AW270="",AX270="",COUNTIF($A$6:$A$505,A270)&gt;1),"REVIEW","TO_PROPOSED"),IF(OR(B270="",A270="",E270="",G270="",I270="",U270="",AV270="",COUNTIF($A$6:$A$505,A270)&gt;1,(COUNTIFS('أرقام التواصل'!$A$6:$A$505,"client",'أرقام التواصل'!$B$6:$B$505,A270,'أرقام التواصل'!$I$6:$I$505,"TRUE")+COUNTIFS('أرقام التواصل'!$A$6:$A$505,"client",'أرقام التواصل'!$B$6:$B$505,A270,'أرقام التواصل'!$C$6:$C$505,1))=0),"REVIEW","READY"))))</f>
        <v/>
      </c>
      <c r="BA270" s="16" t="str">
        <f>IF(AZ270="","",IF(OR(AZ270="READY",AZ270="TO_PROPOSED"),"",IF(AZ270="SKIP","Skipped by decision",TRIM(IF(B270="","missing import_action; ","")&amp;IF(A270="","missing migration_customer_key; ","")&amp;IF(AND(A270&lt;&gt;"",COUNTIF($A$6:$A$505,A270)&gt;1),"duplicate migration_customer_key; ","")&amp;IF(AND(NOT(OR(B270="to_candidate",AV270="proposed_name")),E270=""),"missing branch_id; ","")&amp;IF(AND(NOT(OR(B270="to_candidate",AV270="proposed_name")),G270=""),"missing first_name; ","")&amp;IF(AND(NOT(OR(B270="to_candidate",AV270="proposed_name")),I270=""),"missing last_name; ","")&amp;IF(AND(NOT(OR(B270="to_candidate",AV270="proposed_name")),U270=""),"missing final_geo_unit_id; ","")&amp;IF(AV270="","missing final_destination; ","")&amp;IF(AND(NOT(OR(B270="to_candidate",AV270="proposed_name")),(COUNTIFS('أرقام التواصل'!$A$6:$A$505,"client",'أرقام التواصل'!$B$6:$B$505,A270,'أرقام التواصل'!$I$6:$I$505,"TRUE")+COUNTIFS('أرقام التواصل'!$A$6:$A$505,"client",'أرقام التواصل'!$B$6:$B$505,A270,'أرقام التواصل'!$C$6:$C$505,1))=0),"missing primary contact in أرقام التواصل; ","")&amp;IF(OR(B270="to_candidate",AV270="proposed_name"),IF(AW270="","missing proposed_move_reason; ","")&amp;IF(AX270="","missing proposed_name_key; ",""),"")))))</f>
        <v/>
      </c>
    </row>
    <row r="271" spans="1:53">
      <c r="A271" s="11"/>
      <c r="B271" s="12"/>
      <c r="C271" s="13"/>
      <c r="D271" s="12"/>
      <c r="E271" s="12"/>
      <c r="F271" s="12"/>
      <c r="G271" s="12"/>
      <c r="H271" s="12"/>
      <c r="I271" s="12"/>
      <c r="J271" s="12"/>
      <c r="K271" s="12" t="str">
        <f t="shared" si="7"/>
        <v/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 t="str">
        <f t="shared" si="8"/>
        <v/>
      </c>
      <c r="V271" s="12"/>
      <c r="W271" s="14"/>
      <c r="X271" s="14"/>
      <c r="Y271" s="13"/>
      <c r="Z271" s="12"/>
      <c r="AA271" s="12"/>
      <c r="AB271" s="12"/>
      <c r="AC271" s="12"/>
      <c r="AD271" s="15"/>
      <c r="AE271" s="12"/>
      <c r="AF271" s="13"/>
      <c r="AG271" s="12"/>
      <c r="AH271" s="12"/>
      <c r="AI271" s="15"/>
      <c r="AJ271" s="12"/>
      <c r="AK271" s="12"/>
      <c r="AL271" s="12"/>
      <c r="AM271" s="12"/>
      <c r="AN271" s="12"/>
      <c r="AO271" s="12"/>
      <c r="AP271" s="12"/>
      <c r="AQ271" s="15"/>
      <c r="AR271" s="12"/>
      <c r="AS271" s="12"/>
      <c r="AT271" s="12"/>
      <c r="AU271" s="12"/>
      <c r="AV271" s="12"/>
      <c r="AW271" s="12"/>
      <c r="AX271" s="13"/>
      <c r="AY271" s="12"/>
      <c r="AZ271" s="12" t="str">
        <f>IF(AND(A271="",B271="",E271="",G271="",I271="",AV271="",AX271=""),"",IF(OR(B271="skip",AV271="skip"),"SKIP",IF(OR(B271="to_candidate",AV271="proposed_name"),IF(OR(A271="",AW271="",AX271="",COUNTIF($A$6:$A$505,A271)&gt;1),"REVIEW","TO_PROPOSED"),IF(OR(B271="",A271="",E271="",G271="",I271="",U271="",AV271="",COUNTIF($A$6:$A$505,A271)&gt;1,(COUNTIFS('أرقام التواصل'!$A$6:$A$505,"client",'أرقام التواصل'!$B$6:$B$505,A271,'أرقام التواصل'!$I$6:$I$505,"TRUE")+COUNTIFS('أرقام التواصل'!$A$6:$A$505,"client",'أرقام التواصل'!$B$6:$B$505,A271,'أرقام التواصل'!$C$6:$C$505,1))=0),"REVIEW","READY"))))</f>
        <v/>
      </c>
      <c r="BA271" s="16" t="str">
        <f>IF(AZ271="","",IF(OR(AZ271="READY",AZ271="TO_PROPOSED"),"",IF(AZ271="SKIP","Skipped by decision",TRIM(IF(B271="","missing import_action; ","")&amp;IF(A271="","missing migration_customer_key; ","")&amp;IF(AND(A271&lt;&gt;"",COUNTIF($A$6:$A$505,A271)&gt;1),"duplicate migration_customer_key; ","")&amp;IF(AND(NOT(OR(B271="to_candidate",AV271="proposed_name")),E271=""),"missing branch_id; ","")&amp;IF(AND(NOT(OR(B271="to_candidate",AV271="proposed_name")),G271=""),"missing first_name; ","")&amp;IF(AND(NOT(OR(B271="to_candidate",AV271="proposed_name")),I271=""),"missing last_name; ","")&amp;IF(AND(NOT(OR(B271="to_candidate",AV271="proposed_name")),U271=""),"missing final_geo_unit_id; ","")&amp;IF(AV271="","missing final_destination; ","")&amp;IF(AND(NOT(OR(B271="to_candidate",AV271="proposed_name")),(COUNTIFS('أرقام التواصل'!$A$6:$A$505,"client",'أرقام التواصل'!$B$6:$B$505,A271,'أرقام التواصل'!$I$6:$I$505,"TRUE")+COUNTIFS('أرقام التواصل'!$A$6:$A$505,"client",'أرقام التواصل'!$B$6:$B$505,A271,'أرقام التواصل'!$C$6:$C$505,1))=0),"missing primary contact in أرقام التواصل; ","")&amp;IF(OR(B271="to_candidate",AV271="proposed_name"),IF(AW271="","missing proposed_move_reason; ","")&amp;IF(AX271="","missing proposed_name_key; ",""),"")))))</f>
        <v/>
      </c>
    </row>
    <row r="272" spans="1:53">
      <c r="A272" s="11"/>
      <c r="B272" s="12"/>
      <c r="C272" s="13"/>
      <c r="D272" s="12"/>
      <c r="E272" s="12"/>
      <c r="F272" s="12"/>
      <c r="G272" s="12"/>
      <c r="H272" s="12"/>
      <c r="I272" s="12"/>
      <c r="J272" s="12"/>
      <c r="K272" s="12" t="str">
        <f t="shared" si="7"/>
        <v/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 t="str">
        <f t="shared" si="8"/>
        <v/>
      </c>
      <c r="V272" s="12"/>
      <c r="W272" s="14"/>
      <c r="X272" s="14"/>
      <c r="Y272" s="13"/>
      <c r="Z272" s="12"/>
      <c r="AA272" s="12"/>
      <c r="AB272" s="12"/>
      <c r="AC272" s="12"/>
      <c r="AD272" s="15"/>
      <c r="AE272" s="12"/>
      <c r="AF272" s="13"/>
      <c r="AG272" s="12"/>
      <c r="AH272" s="12"/>
      <c r="AI272" s="15"/>
      <c r="AJ272" s="12"/>
      <c r="AK272" s="12"/>
      <c r="AL272" s="12"/>
      <c r="AM272" s="12"/>
      <c r="AN272" s="12"/>
      <c r="AO272" s="12"/>
      <c r="AP272" s="12"/>
      <c r="AQ272" s="15"/>
      <c r="AR272" s="12"/>
      <c r="AS272" s="12"/>
      <c r="AT272" s="12"/>
      <c r="AU272" s="12"/>
      <c r="AV272" s="12"/>
      <c r="AW272" s="12"/>
      <c r="AX272" s="13"/>
      <c r="AY272" s="12"/>
      <c r="AZ272" s="12" t="str">
        <f>IF(AND(A272="",B272="",E272="",G272="",I272="",AV272="",AX272=""),"",IF(OR(B272="skip",AV272="skip"),"SKIP",IF(OR(B272="to_candidate",AV272="proposed_name"),IF(OR(A272="",AW272="",AX272="",COUNTIF($A$6:$A$505,A272)&gt;1),"REVIEW","TO_PROPOSED"),IF(OR(B272="",A272="",E272="",G272="",I272="",U272="",AV272="",COUNTIF($A$6:$A$505,A272)&gt;1,(COUNTIFS('أرقام التواصل'!$A$6:$A$505,"client",'أرقام التواصل'!$B$6:$B$505,A272,'أرقام التواصل'!$I$6:$I$505,"TRUE")+COUNTIFS('أرقام التواصل'!$A$6:$A$505,"client",'أرقام التواصل'!$B$6:$B$505,A272,'أرقام التواصل'!$C$6:$C$505,1))=0),"REVIEW","READY"))))</f>
        <v/>
      </c>
      <c r="BA272" s="16" t="str">
        <f>IF(AZ272="","",IF(OR(AZ272="READY",AZ272="TO_PROPOSED"),"",IF(AZ272="SKIP","Skipped by decision",TRIM(IF(B272="","missing import_action; ","")&amp;IF(A272="","missing migration_customer_key; ","")&amp;IF(AND(A272&lt;&gt;"",COUNTIF($A$6:$A$505,A272)&gt;1),"duplicate migration_customer_key; ","")&amp;IF(AND(NOT(OR(B272="to_candidate",AV272="proposed_name")),E272=""),"missing branch_id; ","")&amp;IF(AND(NOT(OR(B272="to_candidate",AV272="proposed_name")),G272=""),"missing first_name; ","")&amp;IF(AND(NOT(OR(B272="to_candidate",AV272="proposed_name")),I272=""),"missing last_name; ","")&amp;IF(AND(NOT(OR(B272="to_candidate",AV272="proposed_name")),U272=""),"missing final_geo_unit_id; ","")&amp;IF(AV272="","missing final_destination; ","")&amp;IF(AND(NOT(OR(B272="to_candidate",AV272="proposed_name")),(COUNTIFS('أرقام التواصل'!$A$6:$A$505,"client",'أرقام التواصل'!$B$6:$B$505,A272,'أرقام التواصل'!$I$6:$I$505,"TRUE")+COUNTIFS('أرقام التواصل'!$A$6:$A$505,"client",'أرقام التواصل'!$B$6:$B$505,A272,'أرقام التواصل'!$C$6:$C$505,1))=0),"missing primary contact in أرقام التواصل; ","")&amp;IF(OR(B272="to_candidate",AV272="proposed_name"),IF(AW272="","missing proposed_move_reason; ","")&amp;IF(AX272="","missing proposed_name_key; ",""),"")))))</f>
        <v/>
      </c>
    </row>
    <row r="273" spans="1:53">
      <c r="A273" s="11"/>
      <c r="B273" s="12"/>
      <c r="C273" s="13"/>
      <c r="D273" s="12"/>
      <c r="E273" s="12"/>
      <c r="F273" s="12"/>
      <c r="G273" s="12"/>
      <c r="H273" s="12"/>
      <c r="I273" s="12"/>
      <c r="J273" s="12"/>
      <c r="K273" s="12" t="str">
        <f t="shared" si="7"/>
        <v/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 t="str">
        <f t="shared" si="8"/>
        <v/>
      </c>
      <c r="V273" s="12"/>
      <c r="W273" s="14"/>
      <c r="X273" s="14"/>
      <c r="Y273" s="13"/>
      <c r="Z273" s="12"/>
      <c r="AA273" s="12"/>
      <c r="AB273" s="12"/>
      <c r="AC273" s="12"/>
      <c r="AD273" s="15"/>
      <c r="AE273" s="12"/>
      <c r="AF273" s="13"/>
      <c r="AG273" s="12"/>
      <c r="AH273" s="12"/>
      <c r="AI273" s="15"/>
      <c r="AJ273" s="12"/>
      <c r="AK273" s="12"/>
      <c r="AL273" s="12"/>
      <c r="AM273" s="12"/>
      <c r="AN273" s="12"/>
      <c r="AO273" s="12"/>
      <c r="AP273" s="12"/>
      <c r="AQ273" s="15"/>
      <c r="AR273" s="12"/>
      <c r="AS273" s="12"/>
      <c r="AT273" s="12"/>
      <c r="AU273" s="12"/>
      <c r="AV273" s="12"/>
      <c r="AW273" s="12"/>
      <c r="AX273" s="13"/>
      <c r="AY273" s="12"/>
      <c r="AZ273" s="12" t="str">
        <f>IF(AND(A273="",B273="",E273="",G273="",I273="",AV273="",AX273=""),"",IF(OR(B273="skip",AV273="skip"),"SKIP",IF(OR(B273="to_candidate",AV273="proposed_name"),IF(OR(A273="",AW273="",AX273="",COUNTIF($A$6:$A$505,A273)&gt;1),"REVIEW","TO_PROPOSED"),IF(OR(B273="",A273="",E273="",G273="",I273="",U273="",AV273="",COUNTIF($A$6:$A$505,A273)&gt;1,(COUNTIFS('أرقام التواصل'!$A$6:$A$505,"client",'أرقام التواصل'!$B$6:$B$505,A273,'أرقام التواصل'!$I$6:$I$505,"TRUE")+COUNTIFS('أرقام التواصل'!$A$6:$A$505,"client",'أرقام التواصل'!$B$6:$B$505,A273,'أرقام التواصل'!$C$6:$C$505,1))=0),"REVIEW","READY"))))</f>
        <v/>
      </c>
      <c r="BA273" s="16" t="str">
        <f>IF(AZ273="","",IF(OR(AZ273="READY",AZ273="TO_PROPOSED"),"",IF(AZ273="SKIP","Skipped by decision",TRIM(IF(B273="","missing import_action; ","")&amp;IF(A273="","missing migration_customer_key; ","")&amp;IF(AND(A273&lt;&gt;"",COUNTIF($A$6:$A$505,A273)&gt;1),"duplicate migration_customer_key; ","")&amp;IF(AND(NOT(OR(B273="to_candidate",AV273="proposed_name")),E273=""),"missing branch_id; ","")&amp;IF(AND(NOT(OR(B273="to_candidate",AV273="proposed_name")),G273=""),"missing first_name; ","")&amp;IF(AND(NOT(OR(B273="to_candidate",AV273="proposed_name")),I273=""),"missing last_name; ","")&amp;IF(AND(NOT(OR(B273="to_candidate",AV273="proposed_name")),U273=""),"missing final_geo_unit_id; ","")&amp;IF(AV273="","missing final_destination; ","")&amp;IF(AND(NOT(OR(B273="to_candidate",AV273="proposed_name")),(COUNTIFS('أرقام التواصل'!$A$6:$A$505,"client",'أرقام التواصل'!$B$6:$B$505,A273,'أرقام التواصل'!$I$6:$I$505,"TRUE")+COUNTIFS('أرقام التواصل'!$A$6:$A$505,"client",'أرقام التواصل'!$B$6:$B$505,A273,'أرقام التواصل'!$C$6:$C$505,1))=0),"missing primary contact in أرقام التواصل; ","")&amp;IF(OR(B273="to_candidate",AV273="proposed_name"),IF(AW273="","missing proposed_move_reason; ","")&amp;IF(AX273="","missing proposed_name_key; ",""),"")))))</f>
        <v/>
      </c>
    </row>
    <row r="274" spans="1:53">
      <c r="A274" s="11"/>
      <c r="B274" s="12"/>
      <c r="C274" s="13"/>
      <c r="D274" s="12"/>
      <c r="E274" s="12"/>
      <c r="F274" s="12"/>
      <c r="G274" s="12"/>
      <c r="H274" s="12"/>
      <c r="I274" s="12"/>
      <c r="J274" s="12"/>
      <c r="K274" s="12" t="str">
        <f t="shared" si="7"/>
        <v/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 t="str">
        <f t="shared" si="8"/>
        <v/>
      </c>
      <c r="V274" s="12"/>
      <c r="W274" s="14"/>
      <c r="X274" s="14"/>
      <c r="Y274" s="13"/>
      <c r="Z274" s="12"/>
      <c r="AA274" s="12"/>
      <c r="AB274" s="12"/>
      <c r="AC274" s="12"/>
      <c r="AD274" s="15"/>
      <c r="AE274" s="12"/>
      <c r="AF274" s="13"/>
      <c r="AG274" s="12"/>
      <c r="AH274" s="12"/>
      <c r="AI274" s="15"/>
      <c r="AJ274" s="12"/>
      <c r="AK274" s="12"/>
      <c r="AL274" s="12"/>
      <c r="AM274" s="12"/>
      <c r="AN274" s="12"/>
      <c r="AO274" s="12"/>
      <c r="AP274" s="12"/>
      <c r="AQ274" s="15"/>
      <c r="AR274" s="12"/>
      <c r="AS274" s="12"/>
      <c r="AT274" s="12"/>
      <c r="AU274" s="12"/>
      <c r="AV274" s="12"/>
      <c r="AW274" s="12"/>
      <c r="AX274" s="13"/>
      <c r="AY274" s="12"/>
      <c r="AZ274" s="12" t="str">
        <f>IF(AND(A274="",B274="",E274="",G274="",I274="",AV274="",AX274=""),"",IF(OR(B274="skip",AV274="skip"),"SKIP",IF(OR(B274="to_candidate",AV274="proposed_name"),IF(OR(A274="",AW274="",AX274="",COUNTIF($A$6:$A$505,A274)&gt;1),"REVIEW","TO_PROPOSED"),IF(OR(B274="",A274="",E274="",G274="",I274="",U274="",AV274="",COUNTIF($A$6:$A$505,A274)&gt;1,(COUNTIFS('أرقام التواصل'!$A$6:$A$505,"client",'أرقام التواصل'!$B$6:$B$505,A274,'أرقام التواصل'!$I$6:$I$505,"TRUE")+COUNTIFS('أرقام التواصل'!$A$6:$A$505,"client",'أرقام التواصل'!$B$6:$B$505,A274,'أرقام التواصل'!$C$6:$C$505,1))=0),"REVIEW","READY"))))</f>
        <v/>
      </c>
      <c r="BA274" s="16" t="str">
        <f>IF(AZ274="","",IF(OR(AZ274="READY",AZ274="TO_PROPOSED"),"",IF(AZ274="SKIP","Skipped by decision",TRIM(IF(B274="","missing import_action; ","")&amp;IF(A274="","missing migration_customer_key; ","")&amp;IF(AND(A274&lt;&gt;"",COUNTIF($A$6:$A$505,A274)&gt;1),"duplicate migration_customer_key; ","")&amp;IF(AND(NOT(OR(B274="to_candidate",AV274="proposed_name")),E274=""),"missing branch_id; ","")&amp;IF(AND(NOT(OR(B274="to_candidate",AV274="proposed_name")),G274=""),"missing first_name; ","")&amp;IF(AND(NOT(OR(B274="to_candidate",AV274="proposed_name")),I274=""),"missing last_name; ","")&amp;IF(AND(NOT(OR(B274="to_candidate",AV274="proposed_name")),U274=""),"missing final_geo_unit_id; ","")&amp;IF(AV274="","missing final_destination; ","")&amp;IF(AND(NOT(OR(B274="to_candidate",AV274="proposed_name")),(COUNTIFS('أرقام التواصل'!$A$6:$A$505,"client",'أرقام التواصل'!$B$6:$B$505,A274,'أرقام التواصل'!$I$6:$I$505,"TRUE")+COUNTIFS('أرقام التواصل'!$A$6:$A$505,"client",'أرقام التواصل'!$B$6:$B$505,A274,'أرقام التواصل'!$C$6:$C$505,1))=0),"missing primary contact in أرقام التواصل; ","")&amp;IF(OR(B274="to_candidate",AV274="proposed_name"),IF(AW274="","missing proposed_move_reason; ","")&amp;IF(AX274="","missing proposed_name_key; ",""),"")))))</f>
        <v/>
      </c>
    </row>
    <row r="275" spans="1:53">
      <c r="A275" s="11"/>
      <c r="B275" s="12"/>
      <c r="C275" s="13"/>
      <c r="D275" s="12"/>
      <c r="E275" s="12"/>
      <c r="F275" s="12"/>
      <c r="G275" s="12"/>
      <c r="H275" s="12"/>
      <c r="I275" s="12"/>
      <c r="J275" s="12"/>
      <c r="K275" s="12" t="str">
        <f t="shared" si="7"/>
        <v/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 t="str">
        <f t="shared" si="8"/>
        <v/>
      </c>
      <c r="V275" s="12"/>
      <c r="W275" s="14"/>
      <c r="X275" s="14"/>
      <c r="Y275" s="13"/>
      <c r="Z275" s="12"/>
      <c r="AA275" s="12"/>
      <c r="AB275" s="12"/>
      <c r="AC275" s="12"/>
      <c r="AD275" s="15"/>
      <c r="AE275" s="12"/>
      <c r="AF275" s="13"/>
      <c r="AG275" s="12"/>
      <c r="AH275" s="12"/>
      <c r="AI275" s="15"/>
      <c r="AJ275" s="12"/>
      <c r="AK275" s="12"/>
      <c r="AL275" s="12"/>
      <c r="AM275" s="12"/>
      <c r="AN275" s="12"/>
      <c r="AO275" s="12"/>
      <c r="AP275" s="12"/>
      <c r="AQ275" s="15"/>
      <c r="AR275" s="12"/>
      <c r="AS275" s="12"/>
      <c r="AT275" s="12"/>
      <c r="AU275" s="12"/>
      <c r="AV275" s="12"/>
      <c r="AW275" s="12"/>
      <c r="AX275" s="13"/>
      <c r="AY275" s="12"/>
      <c r="AZ275" s="12" t="str">
        <f>IF(AND(A275="",B275="",E275="",G275="",I275="",AV275="",AX275=""),"",IF(OR(B275="skip",AV275="skip"),"SKIP",IF(OR(B275="to_candidate",AV275="proposed_name"),IF(OR(A275="",AW275="",AX275="",COUNTIF($A$6:$A$505,A275)&gt;1),"REVIEW","TO_PROPOSED"),IF(OR(B275="",A275="",E275="",G275="",I275="",U275="",AV275="",COUNTIF($A$6:$A$505,A275)&gt;1,(COUNTIFS('أرقام التواصل'!$A$6:$A$505,"client",'أرقام التواصل'!$B$6:$B$505,A275,'أرقام التواصل'!$I$6:$I$505,"TRUE")+COUNTIFS('أرقام التواصل'!$A$6:$A$505,"client",'أرقام التواصل'!$B$6:$B$505,A275,'أرقام التواصل'!$C$6:$C$505,1))=0),"REVIEW","READY"))))</f>
        <v/>
      </c>
      <c r="BA275" s="16" t="str">
        <f>IF(AZ275="","",IF(OR(AZ275="READY",AZ275="TO_PROPOSED"),"",IF(AZ275="SKIP","Skipped by decision",TRIM(IF(B275="","missing import_action; ","")&amp;IF(A275="","missing migration_customer_key; ","")&amp;IF(AND(A275&lt;&gt;"",COUNTIF($A$6:$A$505,A275)&gt;1),"duplicate migration_customer_key; ","")&amp;IF(AND(NOT(OR(B275="to_candidate",AV275="proposed_name")),E275=""),"missing branch_id; ","")&amp;IF(AND(NOT(OR(B275="to_candidate",AV275="proposed_name")),G275=""),"missing first_name; ","")&amp;IF(AND(NOT(OR(B275="to_candidate",AV275="proposed_name")),I275=""),"missing last_name; ","")&amp;IF(AND(NOT(OR(B275="to_candidate",AV275="proposed_name")),U275=""),"missing final_geo_unit_id; ","")&amp;IF(AV275="","missing final_destination; ","")&amp;IF(AND(NOT(OR(B275="to_candidate",AV275="proposed_name")),(COUNTIFS('أرقام التواصل'!$A$6:$A$505,"client",'أرقام التواصل'!$B$6:$B$505,A275,'أرقام التواصل'!$I$6:$I$505,"TRUE")+COUNTIFS('أرقام التواصل'!$A$6:$A$505,"client",'أرقام التواصل'!$B$6:$B$505,A275,'أرقام التواصل'!$C$6:$C$505,1))=0),"missing primary contact in أرقام التواصل; ","")&amp;IF(OR(B275="to_candidate",AV275="proposed_name"),IF(AW275="","missing proposed_move_reason; ","")&amp;IF(AX275="","missing proposed_name_key; ",""),"")))))</f>
        <v/>
      </c>
    </row>
    <row r="276" spans="1:53">
      <c r="A276" s="11"/>
      <c r="B276" s="12"/>
      <c r="C276" s="13"/>
      <c r="D276" s="12"/>
      <c r="E276" s="12"/>
      <c r="F276" s="12"/>
      <c r="G276" s="12"/>
      <c r="H276" s="12"/>
      <c r="I276" s="12"/>
      <c r="J276" s="12"/>
      <c r="K276" s="12" t="str">
        <f t="shared" si="7"/>
        <v/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 t="str">
        <f t="shared" si="8"/>
        <v/>
      </c>
      <c r="V276" s="12"/>
      <c r="W276" s="14"/>
      <c r="X276" s="14"/>
      <c r="Y276" s="13"/>
      <c r="Z276" s="12"/>
      <c r="AA276" s="12"/>
      <c r="AB276" s="12"/>
      <c r="AC276" s="12"/>
      <c r="AD276" s="15"/>
      <c r="AE276" s="12"/>
      <c r="AF276" s="13"/>
      <c r="AG276" s="12"/>
      <c r="AH276" s="12"/>
      <c r="AI276" s="15"/>
      <c r="AJ276" s="12"/>
      <c r="AK276" s="12"/>
      <c r="AL276" s="12"/>
      <c r="AM276" s="12"/>
      <c r="AN276" s="12"/>
      <c r="AO276" s="12"/>
      <c r="AP276" s="12"/>
      <c r="AQ276" s="15"/>
      <c r="AR276" s="12"/>
      <c r="AS276" s="12"/>
      <c r="AT276" s="12"/>
      <c r="AU276" s="12"/>
      <c r="AV276" s="12"/>
      <c r="AW276" s="12"/>
      <c r="AX276" s="13"/>
      <c r="AY276" s="12"/>
      <c r="AZ276" s="12" t="str">
        <f>IF(AND(A276="",B276="",E276="",G276="",I276="",AV276="",AX276=""),"",IF(OR(B276="skip",AV276="skip"),"SKIP",IF(OR(B276="to_candidate",AV276="proposed_name"),IF(OR(A276="",AW276="",AX276="",COUNTIF($A$6:$A$505,A276)&gt;1),"REVIEW","TO_PROPOSED"),IF(OR(B276="",A276="",E276="",G276="",I276="",U276="",AV276="",COUNTIF($A$6:$A$505,A276)&gt;1,(COUNTIFS('أرقام التواصل'!$A$6:$A$505,"client",'أرقام التواصل'!$B$6:$B$505,A276,'أرقام التواصل'!$I$6:$I$505,"TRUE")+COUNTIFS('أرقام التواصل'!$A$6:$A$505,"client",'أرقام التواصل'!$B$6:$B$505,A276,'أرقام التواصل'!$C$6:$C$505,1))=0),"REVIEW","READY"))))</f>
        <v/>
      </c>
      <c r="BA276" s="16" t="str">
        <f>IF(AZ276="","",IF(OR(AZ276="READY",AZ276="TO_PROPOSED"),"",IF(AZ276="SKIP","Skipped by decision",TRIM(IF(B276="","missing import_action; ","")&amp;IF(A276="","missing migration_customer_key; ","")&amp;IF(AND(A276&lt;&gt;"",COUNTIF($A$6:$A$505,A276)&gt;1),"duplicate migration_customer_key; ","")&amp;IF(AND(NOT(OR(B276="to_candidate",AV276="proposed_name")),E276=""),"missing branch_id; ","")&amp;IF(AND(NOT(OR(B276="to_candidate",AV276="proposed_name")),G276=""),"missing first_name; ","")&amp;IF(AND(NOT(OR(B276="to_candidate",AV276="proposed_name")),I276=""),"missing last_name; ","")&amp;IF(AND(NOT(OR(B276="to_candidate",AV276="proposed_name")),U276=""),"missing final_geo_unit_id; ","")&amp;IF(AV276="","missing final_destination; ","")&amp;IF(AND(NOT(OR(B276="to_candidate",AV276="proposed_name")),(COUNTIFS('أرقام التواصل'!$A$6:$A$505,"client",'أرقام التواصل'!$B$6:$B$505,A276,'أرقام التواصل'!$I$6:$I$505,"TRUE")+COUNTIFS('أرقام التواصل'!$A$6:$A$505,"client",'أرقام التواصل'!$B$6:$B$505,A276,'أرقام التواصل'!$C$6:$C$505,1))=0),"missing primary contact in أرقام التواصل; ","")&amp;IF(OR(B276="to_candidate",AV276="proposed_name"),IF(AW276="","missing proposed_move_reason; ","")&amp;IF(AX276="","missing proposed_name_key; ",""),"")))))</f>
        <v/>
      </c>
    </row>
    <row r="277" spans="1:53">
      <c r="A277" s="11"/>
      <c r="B277" s="12"/>
      <c r="C277" s="13"/>
      <c r="D277" s="12"/>
      <c r="E277" s="12"/>
      <c r="F277" s="12"/>
      <c r="G277" s="12"/>
      <c r="H277" s="12"/>
      <c r="I277" s="12"/>
      <c r="J277" s="12"/>
      <c r="K277" s="12" t="str">
        <f t="shared" si="7"/>
        <v/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 t="str">
        <f t="shared" si="8"/>
        <v/>
      </c>
      <c r="V277" s="12"/>
      <c r="W277" s="14"/>
      <c r="X277" s="14"/>
      <c r="Y277" s="13"/>
      <c r="Z277" s="12"/>
      <c r="AA277" s="12"/>
      <c r="AB277" s="12"/>
      <c r="AC277" s="12"/>
      <c r="AD277" s="15"/>
      <c r="AE277" s="12"/>
      <c r="AF277" s="13"/>
      <c r="AG277" s="12"/>
      <c r="AH277" s="12"/>
      <c r="AI277" s="15"/>
      <c r="AJ277" s="12"/>
      <c r="AK277" s="12"/>
      <c r="AL277" s="12"/>
      <c r="AM277" s="12"/>
      <c r="AN277" s="12"/>
      <c r="AO277" s="12"/>
      <c r="AP277" s="12"/>
      <c r="AQ277" s="15"/>
      <c r="AR277" s="12"/>
      <c r="AS277" s="12"/>
      <c r="AT277" s="12"/>
      <c r="AU277" s="12"/>
      <c r="AV277" s="12"/>
      <c r="AW277" s="12"/>
      <c r="AX277" s="13"/>
      <c r="AY277" s="12"/>
      <c r="AZ277" s="12" t="str">
        <f>IF(AND(A277="",B277="",E277="",G277="",I277="",AV277="",AX277=""),"",IF(OR(B277="skip",AV277="skip"),"SKIP",IF(OR(B277="to_candidate",AV277="proposed_name"),IF(OR(A277="",AW277="",AX277="",COUNTIF($A$6:$A$505,A277)&gt;1),"REVIEW","TO_PROPOSED"),IF(OR(B277="",A277="",E277="",G277="",I277="",U277="",AV277="",COUNTIF($A$6:$A$505,A277)&gt;1,(COUNTIFS('أرقام التواصل'!$A$6:$A$505,"client",'أرقام التواصل'!$B$6:$B$505,A277,'أرقام التواصل'!$I$6:$I$505,"TRUE")+COUNTIFS('أرقام التواصل'!$A$6:$A$505,"client",'أرقام التواصل'!$B$6:$B$505,A277,'أرقام التواصل'!$C$6:$C$505,1))=0),"REVIEW","READY"))))</f>
        <v/>
      </c>
      <c r="BA277" s="16" t="str">
        <f>IF(AZ277="","",IF(OR(AZ277="READY",AZ277="TO_PROPOSED"),"",IF(AZ277="SKIP","Skipped by decision",TRIM(IF(B277="","missing import_action; ","")&amp;IF(A277="","missing migration_customer_key; ","")&amp;IF(AND(A277&lt;&gt;"",COUNTIF($A$6:$A$505,A277)&gt;1),"duplicate migration_customer_key; ","")&amp;IF(AND(NOT(OR(B277="to_candidate",AV277="proposed_name")),E277=""),"missing branch_id; ","")&amp;IF(AND(NOT(OR(B277="to_candidate",AV277="proposed_name")),G277=""),"missing first_name; ","")&amp;IF(AND(NOT(OR(B277="to_candidate",AV277="proposed_name")),I277=""),"missing last_name; ","")&amp;IF(AND(NOT(OR(B277="to_candidate",AV277="proposed_name")),U277=""),"missing final_geo_unit_id; ","")&amp;IF(AV277="","missing final_destination; ","")&amp;IF(AND(NOT(OR(B277="to_candidate",AV277="proposed_name")),(COUNTIFS('أرقام التواصل'!$A$6:$A$505,"client",'أرقام التواصل'!$B$6:$B$505,A277,'أرقام التواصل'!$I$6:$I$505,"TRUE")+COUNTIFS('أرقام التواصل'!$A$6:$A$505,"client",'أرقام التواصل'!$B$6:$B$505,A277,'أرقام التواصل'!$C$6:$C$505,1))=0),"missing primary contact in أرقام التواصل; ","")&amp;IF(OR(B277="to_candidate",AV277="proposed_name"),IF(AW277="","missing proposed_move_reason; ","")&amp;IF(AX277="","missing proposed_name_key; ",""),"")))))</f>
        <v/>
      </c>
    </row>
    <row r="278" spans="1:53">
      <c r="A278" s="11"/>
      <c r="B278" s="12"/>
      <c r="C278" s="13"/>
      <c r="D278" s="12"/>
      <c r="E278" s="12"/>
      <c r="F278" s="12"/>
      <c r="G278" s="12"/>
      <c r="H278" s="12"/>
      <c r="I278" s="12"/>
      <c r="J278" s="12"/>
      <c r="K278" s="12" t="str">
        <f t="shared" si="7"/>
        <v/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 t="str">
        <f t="shared" si="8"/>
        <v/>
      </c>
      <c r="V278" s="12"/>
      <c r="W278" s="14"/>
      <c r="X278" s="14"/>
      <c r="Y278" s="13"/>
      <c r="Z278" s="12"/>
      <c r="AA278" s="12"/>
      <c r="AB278" s="12"/>
      <c r="AC278" s="12"/>
      <c r="AD278" s="15"/>
      <c r="AE278" s="12"/>
      <c r="AF278" s="13"/>
      <c r="AG278" s="12"/>
      <c r="AH278" s="12"/>
      <c r="AI278" s="15"/>
      <c r="AJ278" s="12"/>
      <c r="AK278" s="12"/>
      <c r="AL278" s="12"/>
      <c r="AM278" s="12"/>
      <c r="AN278" s="12"/>
      <c r="AO278" s="12"/>
      <c r="AP278" s="12"/>
      <c r="AQ278" s="15"/>
      <c r="AR278" s="12"/>
      <c r="AS278" s="12"/>
      <c r="AT278" s="12"/>
      <c r="AU278" s="12"/>
      <c r="AV278" s="12"/>
      <c r="AW278" s="12"/>
      <c r="AX278" s="13"/>
      <c r="AY278" s="12"/>
      <c r="AZ278" s="12" t="str">
        <f>IF(AND(A278="",B278="",E278="",G278="",I278="",AV278="",AX278=""),"",IF(OR(B278="skip",AV278="skip"),"SKIP",IF(OR(B278="to_candidate",AV278="proposed_name"),IF(OR(A278="",AW278="",AX278="",COUNTIF($A$6:$A$505,A278)&gt;1),"REVIEW","TO_PROPOSED"),IF(OR(B278="",A278="",E278="",G278="",I278="",U278="",AV278="",COUNTIF($A$6:$A$505,A278)&gt;1,(COUNTIFS('أرقام التواصل'!$A$6:$A$505,"client",'أرقام التواصل'!$B$6:$B$505,A278,'أرقام التواصل'!$I$6:$I$505,"TRUE")+COUNTIFS('أرقام التواصل'!$A$6:$A$505,"client",'أرقام التواصل'!$B$6:$B$505,A278,'أرقام التواصل'!$C$6:$C$505,1))=0),"REVIEW","READY"))))</f>
        <v/>
      </c>
      <c r="BA278" s="16" t="str">
        <f>IF(AZ278="","",IF(OR(AZ278="READY",AZ278="TO_PROPOSED"),"",IF(AZ278="SKIP","Skipped by decision",TRIM(IF(B278="","missing import_action; ","")&amp;IF(A278="","missing migration_customer_key; ","")&amp;IF(AND(A278&lt;&gt;"",COUNTIF($A$6:$A$505,A278)&gt;1),"duplicate migration_customer_key; ","")&amp;IF(AND(NOT(OR(B278="to_candidate",AV278="proposed_name")),E278=""),"missing branch_id; ","")&amp;IF(AND(NOT(OR(B278="to_candidate",AV278="proposed_name")),G278=""),"missing first_name; ","")&amp;IF(AND(NOT(OR(B278="to_candidate",AV278="proposed_name")),I278=""),"missing last_name; ","")&amp;IF(AND(NOT(OR(B278="to_candidate",AV278="proposed_name")),U278=""),"missing final_geo_unit_id; ","")&amp;IF(AV278="","missing final_destination; ","")&amp;IF(AND(NOT(OR(B278="to_candidate",AV278="proposed_name")),(COUNTIFS('أرقام التواصل'!$A$6:$A$505,"client",'أرقام التواصل'!$B$6:$B$505,A278,'أرقام التواصل'!$I$6:$I$505,"TRUE")+COUNTIFS('أرقام التواصل'!$A$6:$A$505,"client",'أرقام التواصل'!$B$6:$B$505,A278,'أرقام التواصل'!$C$6:$C$505,1))=0),"missing primary contact in أرقام التواصل; ","")&amp;IF(OR(B278="to_candidate",AV278="proposed_name"),IF(AW278="","missing proposed_move_reason; ","")&amp;IF(AX278="","missing proposed_name_key; ",""),"")))))</f>
        <v/>
      </c>
    </row>
    <row r="279" spans="1:53">
      <c r="A279" s="11"/>
      <c r="B279" s="12"/>
      <c r="C279" s="13"/>
      <c r="D279" s="12"/>
      <c r="E279" s="12"/>
      <c r="F279" s="12"/>
      <c r="G279" s="12"/>
      <c r="H279" s="12"/>
      <c r="I279" s="12"/>
      <c r="J279" s="12"/>
      <c r="K279" s="12" t="str">
        <f t="shared" si="7"/>
        <v/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 t="str">
        <f t="shared" si="8"/>
        <v/>
      </c>
      <c r="V279" s="12"/>
      <c r="W279" s="14"/>
      <c r="X279" s="14"/>
      <c r="Y279" s="13"/>
      <c r="Z279" s="12"/>
      <c r="AA279" s="12"/>
      <c r="AB279" s="12"/>
      <c r="AC279" s="12"/>
      <c r="AD279" s="15"/>
      <c r="AE279" s="12"/>
      <c r="AF279" s="13"/>
      <c r="AG279" s="12"/>
      <c r="AH279" s="12"/>
      <c r="AI279" s="15"/>
      <c r="AJ279" s="12"/>
      <c r="AK279" s="12"/>
      <c r="AL279" s="12"/>
      <c r="AM279" s="12"/>
      <c r="AN279" s="12"/>
      <c r="AO279" s="12"/>
      <c r="AP279" s="12"/>
      <c r="AQ279" s="15"/>
      <c r="AR279" s="12"/>
      <c r="AS279" s="12"/>
      <c r="AT279" s="12"/>
      <c r="AU279" s="12"/>
      <c r="AV279" s="12"/>
      <c r="AW279" s="12"/>
      <c r="AX279" s="13"/>
      <c r="AY279" s="12"/>
      <c r="AZ279" s="12" t="str">
        <f>IF(AND(A279="",B279="",E279="",G279="",I279="",AV279="",AX279=""),"",IF(OR(B279="skip",AV279="skip"),"SKIP",IF(OR(B279="to_candidate",AV279="proposed_name"),IF(OR(A279="",AW279="",AX279="",COUNTIF($A$6:$A$505,A279)&gt;1),"REVIEW","TO_PROPOSED"),IF(OR(B279="",A279="",E279="",G279="",I279="",U279="",AV279="",COUNTIF($A$6:$A$505,A279)&gt;1,(COUNTIFS('أرقام التواصل'!$A$6:$A$505,"client",'أرقام التواصل'!$B$6:$B$505,A279,'أرقام التواصل'!$I$6:$I$505,"TRUE")+COUNTIFS('أرقام التواصل'!$A$6:$A$505,"client",'أرقام التواصل'!$B$6:$B$505,A279,'أرقام التواصل'!$C$6:$C$505,1))=0),"REVIEW","READY"))))</f>
        <v/>
      </c>
      <c r="BA279" s="16" t="str">
        <f>IF(AZ279="","",IF(OR(AZ279="READY",AZ279="TO_PROPOSED"),"",IF(AZ279="SKIP","Skipped by decision",TRIM(IF(B279="","missing import_action; ","")&amp;IF(A279="","missing migration_customer_key; ","")&amp;IF(AND(A279&lt;&gt;"",COUNTIF($A$6:$A$505,A279)&gt;1),"duplicate migration_customer_key; ","")&amp;IF(AND(NOT(OR(B279="to_candidate",AV279="proposed_name")),E279=""),"missing branch_id; ","")&amp;IF(AND(NOT(OR(B279="to_candidate",AV279="proposed_name")),G279=""),"missing first_name; ","")&amp;IF(AND(NOT(OR(B279="to_candidate",AV279="proposed_name")),I279=""),"missing last_name; ","")&amp;IF(AND(NOT(OR(B279="to_candidate",AV279="proposed_name")),U279=""),"missing final_geo_unit_id; ","")&amp;IF(AV279="","missing final_destination; ","")&amp;IF(AND(NOT(OR(B279="to_candidate",AV279="proposed_name")),(COUNTIFS('أرقام التواصل'!$A$6:$A$505,"client",'أرقام التواصل'!$B$6:$B$505,A279,'أرقام التواصل'!$I$6:$I$505,"TRUE")+COUNTIFS('أرقام التواصل'!$A$6:$A$505,"client",'أرقام التواصل'!$B$6:$B$505,A279,'أرقام التواصل'!$C$6:$C$505,1))=0),"missing primary contact in أرقام التواصل; ","")&amp;IF(OR(B279="to_candidate",AV279="proposed_name"),IF(AW279="","missing proposed_move_reason; ","")&amp;IF(AX279="","missing proposed_name_key; ",""),"")))))</f>
        <v/>
      </c>
    </row>
    <row r="280" spans="1:53">
      <c r="A280" s="11"/>
      <c r="B280" s="12"/>
      <c r="C280" s="13"/>
      <c r="D280" s="12"/>
      <c r="E280" s="12"/>
      <c r="F280" s="12"/>
      <c r="G280" s="12"/>
      <c r="H280" s="12"/>
      <c r="I280" s="12"/>
      <c r="J280" s="12"/>
      <c r="K280" s="12" t="str">
        <f t="shared" si="7"/>
        <v/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 t="str">
        <f t="shared" si="8"/>
        <v/>
      </c>
      <c r="V280" s="12"/>
      <c r="W280" s="14"/>
      <c r="X280" s="14"/>
      <c r="Y280" s="13"/>
      <c r="Z280" s="12"/>
      <c r="AA280" s="12"/>
      <c r="AB280" s="12"/>
      <c r="AC280" s="12"/>
      <c r="AD280" s="15"/>
      <c r="AE280" s="12"/>
      <c r="AF280" s="13"/>
      <c r="AG280" s="12"/>
      <c r="AH280" s="12"/>
      <c r="AI280" s="15"/>
      <c r="AJ280" s="12"/>
      <c r="AK280" s="12"/>
      <c r="AL280" s="12"/>
      <c r="AM280" s="12"/>
      <c r="AN280" s="12"/>
      <c r="AO280" s="12"/>
      <c r="AP280" s="12"/>
      <c r="AQ280" s="15"/>
      <c r="AR280" s="12"/>
      <c r="AS280" s="12"/>
      <c r="AT280" s="12"/>
      <c r="AU280" s="12"/>
      <c r="AV280" s="12"/>
      <c r="AW280" s="12"/>
      <c r="AX280" s="13"/>
      <c r="AY280" s="12"/>
      <c r="AZ280" s="12" t="str">
        <f>IF(AND(A280="",B280="",E280="",G280="",I280="",AV280="",AX280=""),"",IF(OR(B280="skip",AV280="skip"),"SKIP",IF(OR(B280="to_candidate",AV280="proposed_name"),IF(OR(A280="",AW280="",AX280="",COUNTIF($A$6:$A$505,A280)&gt;1),"REVIEW","TO_PROPOSED"),IF(OR(B280="",A280="",E280="",G280="",I280="",U280="",AV280="",COUNTIF($A$6:$A$505,A280)&gt;1,(COUNTIFS('أرقام التواصل'!$A$6:$A$505,"client",'أرقام التواصل'!$B$6:$B$505,A280,'أرقام التواصل'!$I$6:$I$505,"TRUE")+COUNTIFS('أرقام التواصل'!$A$6:$A$505,"client",'أرقام التواصل'!$B$6:$B$505,A280,'أرقام التواصل'!$C$6:$C$505,1))=0),"REVIEW","READY"))))</f>
        <v/>
      </c>
      <c r="BA280" s="16" t="str">
        <f>IF(AZ280="","",IF(OR(AZ280="READY",AZ280="TO_PROPOSED"),"",IF(AZ280="SKIP","Skipped by decision",TRIM(IF(B280="","missing import_action; ","")&amp;IF(A280="","missing migration_customer_key; ","")&amp;IF(AND(A280&lt;&gt;"",COUNTIF($A$6:$A$505,A280)&gt;1),"duplicate migration_customer_key; ","")&amp;IF(AND(NOT(OR(B280="to_candidate",AV280="proposed_name")),E280=""),"missing branch_id; ","")&amp;IF(AND(NOT(OR(B280="to_candidate",AV280="proposed_name")),G280=""),"missing first_name; ","")&amp;IF(AND(NOT(OR(B280="to_candidate",AV280="proposed_name")),I280=""),"missing last_name; ","")&amp;IF(AND(NOT(OR(B280="to_candidate",AV280="proposed_name")),U280=""),"missing final_geo_unit_id; ","")&amp;IF(AV280="","missing final_destination; ","")&amp;IF(AND(NOT(OR(B280="to_candidate",AV280="proposed_name")),(COUNTIFS('أرقام التواصل'!$A$6:$A$505,"client",'أرقام التواصل'!$B$6:$B$505,A280,'أرقام التواصل'!$I$6:$I$505,"TRUE")+COUNTIFS('أرقام التواصل'!$A$6:$A$505,"client",'أرقام التواصل'!$B$6:$B$505,A280,'أرقام التواصل'!$C$6:$C$505,1))=0),"missing primary contact in أرقام التواصل; ","")&amp;IF(OR(B280="to_candidate",AV280="proposed_name"),IF(AW280="","missing proposed_move_reason; ","")&amp;IF(AX280="","missing proposed_name_key; ",""),"")))))</f>
        <v/>
      </c>
    </row>
    <row r="281" spans="1:53">
      <c r="A281" s="11"/>
      <c r="B281" s="12"/>
      <c r="C281" s="13"/>
      <c r="D281" s="12"/>
      <c r="E281" s="12"/>
      <c r="F281" s="12"/>
      <c r="G281" s="12"/>
      <c r="H281" s="12"/>
      <c r="I281" s="12"/>
      <c r="J281" s="12"/>
      <c r="K281" s="12" t="str">
        <f t="shared" si="7"/>
        <v/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 t="str">
        <f t="shared" si="8"/>
        <v/>
      </c>
      <c r="V281" s="12"/>
      <c r="W281" s="14"/>
      <c r="X281" s="14"/>
      <c r="Y281" s="13"/>
      <c r="Z281" s="12"/>
      <c r="AA281" s="12"/>
      <c r="AB281" s="12"/>
      <c r="AC281" s="12"/>
      <c r="AD281" s="15"/>
      <c r="AE281" s="12"/>
      <c r="AF281" s="13"/>
      <c r="AG281" s="12"/>
      <c r="AH281" s="12"/>
      <c r="AI281" s="15"/>
      <c r="AJ281" s="12"/>
      <c r="AK281" s="12"/>
      <c r="AL281" s="12"/>
      <c r="AM281" s="12"/>
      <c r="AN281" s="12"/>
      <c r="AO281" s="12"/>
      <c r="AP281" s="12"/>
      <c r="AQ281" s="15"/>
      <c r="AR281" s="12"/>
      <c r="AS281" s="12"/>
      <c r="AT281" s="12"/>
      <c r="AU281" s="12"/>
      <c r="AV281" s="12"/>
      <c r="AW281" s="12"/>
      <c r="AX281" s="13"/>
      <c r="AY281" s="12"/>
      <c r="AZ281" s="12" t="str">
        <f>IF(AND(A281="",B281="",E281="",G281="",I281="",AV281="",AX281=""),"",IF(OR(B281="skip",AV281="skip"),"SKIP",IF(OR(B281="to_candidate",AV281="proposed_name"),IF(OR(A281="",AW281="",AX281="",COUNTIF($A$6:$A$505,A281)&gt;1),"REVIEW","TO_PROPOSED"),IF(OR(B281="",A281="",E281="",G281="",I281="",U281="",AV281="",COUNTIF($A$6:$A$505,A281)&gt;1,(COUNTIFS('أرقام التواصل'!$A$6:$A$505,"client",'أرقام التواصل'!$B$6:$B$505,A281,'أرقام التواصل'!$I$6:$I$505,"TRUE")+COUNTIFS('أرقام التواصل'!$A$6:$A$505,"client",'أرقام التواصل'!$B$6:$B$505,A281,'أرقام التواصل'!$C$6:$C$505,1))=0),"REVIEW","READY"))))</f>
        <v/>
      </c>
      <c r="BA281" s="16" t="str">
        <f>IF(AZ281="","",IF(OR(AZ281="READY",AZ281="TO_PROPOSED"),"",IF(AZ281="SKIP","Skipped by decision",TRIM(IF(B281="","missing import_action; ","")&amp;IF(A281="","missing migration_customer_key; ","")&amp;IF(AND(A281&lt;&gt;"",COUNTIF($A$6:$A$505,A281)&gt;1),"duplicate migration_customer_key; ","")&amp;IF(AND(NOT(OR(B281="to_candidate",AV281="proposed_name")),E281=""),"missing branch_id; ","")&amp;IF(AND(NOT(OR(B281="to_candidate",AV281="proposed_name")),G281=""),"missing first_name; ","")&amp;IF(AND(NOT(OR(B281="to_candidate",AV281="proposed_name")),I281=""),"missing last_name; ","")&amp;IF(AND(NOT(OR(B281="to_candidate",AV281="proposed_name")),U281=""),"missing final_geo_unit_id; ","")&amp;IF(AV281="","missing final_destination; ","")&amp;IF(AND(NOT(OR(B281="to_candidate",AV281="proposed_name")),(COUNTIFS('أرقام التواصل'!$A$6:$A$505,"client",'أرقام التواصل'!$B$6:$B$505,A281,'أرقام التواصل'!$I$6:$I$505,"TRUE")+COUNTIFS('أرقام التواصل'!$A$6:$A$505,"client",'أرقام التواصل'!$B$6:$B$505,A281,'أرقام التواصل'!$C$6:$C$505,1))=0),"missing primary contact in أرقام التواصل; ","")&amp;IF(OR(B281="to_candidate",AV281="proposed_name"),IF(AW281="","missing proposed_move_reason; ","")&amp;IF(AX281="","missing proposed_name_key; ",""),"")))))</f>
        <v/>
      </c>
    </row>
    <row r="282" spans="1:53">
      <c r="A282" s="11"/>
      <c r="B282" s="12"/>
      <c r="C282" s="13"/>
      <c r="D282" s="12"/>
      <c r="E282" s="12"/>
      <c r="F282" s="12"/>
      <c r="G282" s="12"/>
      <c r="H282" s="12"/>
      <c r="I282" s="12"/>
      <c r="J282" s="12"/>
      <c r="K282" s="12" t="str">
        <f t="shared" si="7"/>
        <v/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 t="str">
        <f t="shared" si="8"/>
        <v/>
      </c>
      <c r="V282" s="12"/>
      <c r="W282" s="14"/>
      <c r="X282" s="14"/>
      <c r="Y282" s="13"/>
      <c r="Z282" s="12"/>
      <c r="AA282" s="12"/>
      <c r="AB282" s="12"/>
      <c r="AC282" s="12"/>
      <c r="AD282" s="15"/>
      <c r="AE282" s="12"/>
      <c r="AF282" s="13"/>
      <c r="AG282" s="12"/>
      <c r="AH282" s="12"/>
      <c r="AI282" s="15"/>
      <c r="AJ282" s="12"/>
      <c r="AK282" s="12"/>
      <c r="AL282" s="12"/>
      <c r="AM282" s="12"/>
      <c r="AN282" s="12"/>
      <c r="AO282" s="12"/>
      <c r="AP282" s="12"/>
      <c r="AQ282" s="15"/>
      <c r="AR282" s="12"/>
      <c r="AS282" s="12"/>
      <c r="AT282" s="12"/>
      <c r="AU282" s="12"/>
      <c r="AV282" s="12"/>
      <c r="AW282" s="12"/>
      <c r="AX282" s="13"/>
      <c r="AY282" s="12"/>
      <c r="AZ282" s="12" t="str">
        <f>IF(AND(A282="",B282="",E282="",G282="",I282="",AV282="",AX282=""),"",IF(OR(B282="skip",AV282="skip"),"SKIP",IF(OR(B282="to_candidate",AV282="proposed_name"),IF(OR(A282="",AW282="",AX282="",COUNTIF($A$6:$A$505,A282)&gt;1),"REVIEW","TO_PROPOSED"),IF(OR(B282="",A282="",E282="",G282="",I282="",U282="",AV282="",COUNTIF($A$6:$A$505,A282)&gt;1,(COUNTIFS('أرقام التواصل'!$A$6:$A$505,"client",'أرقام التواصل'!$B$6:$B$505,A282,'أرقام التواصل'!$I$6:$I$505,"TRUE")+COUNTIFS('أرقام التواصل'!$A$6:$A$505,"client",'أرقام التواصل'!$B$6:$B$505,A282,'أرقام التواصل'!$C$6:$C$505,1))=0),"REVIEW","READY"))))</f>
        <v/>
      </c>
      <c r="BA282" s="16" t="str">
        <f>IF(AZ282="","",IF(OR(AZ282="READY",AZ282="TO_PROPOSED"),"",IF(AZ282="SKIP","Skipped by decision",TRIM(IF(B282="","missing import_action; ","")&amp;IF(A282="","missing migration_customer_key; ","")&amp;IF(AND(A282&lt;&gt;"",COUNTIF($A$6:$A$505,A282)&gt;1),"duplicate migration_customer_key; ","")&amp;IF(AND(NOT(OR(B282="to_candidate",AV282="proposed_name")),E282=""),"missing branch_id; ","")&amp;IF(AND(NOT(OR(B282="to_candidate",AV282="proposed_name")),G282=""),"missing first_name; ","")&amp;IF(AND(NOT(OR(B282="to_candidate",AV282="proposed_name")),I282=""),"missing last_name; ","")&amp;IF(AND(NOT(OR(B282="to_candidate",AV282="proposed_name")),U282=""),"missing final_geo_unit_id; ","")&amp;IF(AV282="","missing final_destination; ","")&amp;IF(AND(NOT(OR(B282="to_candidate",AV282="proposed_name")),(COUNTIFS('أرقام التواصل'!$A$6:$A$505,"client",'أرقام التواصل'!$B$6:$B$505,A282,'أرقام التواصل'!$I$6:$I$505,"TRUE")+COUNTIFS('أرقام التواصل'!$A$6:$A$505,"client",'أرقام التواصل'!$B$6:$B$505,A282,'أرقام التواصل'!$C$6:$C$505,1))=0),"missing primary contact in أرقام التواصل; ","")&amp;IF(OR(B282="to_candidate",AV282="proposed_name"),IF(AW282="","missing proposed_move_reason; ","")&amp;IF(AX282="","missing proposed_name_key; ",""),"")))))</f>
        <v/>
      </c>
    </row>
    <row r="283" spans="1:53">
      <c r="A283" s="11"/>
      <c r="B283" s="12"/>
      <c r="C283" s="13"/>
      <c r="D283" s="12"/>
      <c r="E283" s="12"/>
      <c r="F283" s="12"/>
      <c r="G283" s="12"/>
      <c r="H283" s="12"/>
      <c r="I283" s="12"/>
      <c r="J283" s="12"/>
      <c r="K283" s="12" t="str">
        <f t="shared" si="7"/>
        <v/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 t="str">
        <f t="shared" si="8"/>
        <v/>
      </c>
      <c r="V283" s="12"/>
      <c r="W283" s="14"/>
      <c r="X283" s="14"/>
      <c r="Y283" s="13"/>
      <c r="Z283" s="12"/>
      <c r="AA283" s="12"/>
      <c r="AB283" s="12"/>
      <c r="AC283" s="12"/>
      <c r="AD283" s="15"/>
      <c r="AE283" s="12"/>
      <c r="AF283" s="13"/>
      <c r="AG283" s="12"/>
      <c r="AH283" s="12"/>
      <c r="AI283" s="15"/>
      <c r="AJ283" s="12"/>
      <c r="AK283" s="12"/>
      <c r="AL283" s="12"/>
      <c r="AM283" s="12"/>
      <c r="AN283" s="12"/>
      <c r="AO283" s="12"/>
      <c r="AP283" s="12"/>
      <c r="AQ283" s="15"/>
      <c r="AR283" s="12"/>
      <c r="AS283" s="12"/>
      <c r="AT283" s="12"/>
      <c r="AU283" s="12"/>
      <c r="AV283" s="12"/>
      <c r="AW283" s="12"/>
      <c r="AX283" s="13"/>
      <c r="AY283" s="12"/>
      <c r="AZ283" s="12" t="str">
        <f>IF(AND(A283="",B283="",E283="",G283="",I283="",AV283="",AX283=""),"",IF(OR(B283="skip",AV283="skip"),"SKIP",IF(OR(B283="to_candidate",AV283="proposed_name"),IF(OR(A283="",AW283="",AX283="",COUNTIF($A$6:$A$505,A283)&gt;1),"REVIEW","TO_PROPOSED"),IF(OR(B283="",A283="",E283="",G283="",I283="",U283="",AV283="",COUNTIF($A$6:$A$505,A283)&gt;1,(COUNTIFS('أرقام التواصل'!$A$6:$A$505,"client",'أرقام التواصل'!$B$6:$B$505,A283,'أرقام التواصل'!$I$6:$I$505,"TRUE")+COUNTIFS('أرقام التواصل'!$A$6:$A$505,"client",'أرقام التواصل'!$B$6:$B$505,A283,'أرقام التواصل'!$C$6:$C$505,1))=0),"REVIEW","READY"))))</f>
        <v/>
      </c>
      <c r="BA283" s="16" t="str">
        <f>IF(AZ283="","",IF(OR(AZ283="READY",AZ283="TO_PROPOSED"),"",IF(AZ283="SKIP","Skipped by decision",TRIM(IF(B283="","missing import_action; ","")&amp;IF(A283="","missing migration_customer_key; ","")&amp;IF(AND(A283&lt;&gt;"",COUNTIF($A$6:$A$505,A283)&gt;1),"duplicate migration_customer_key; ","")&amp;IF(AND(NOT(OR(B283="to_candidate",AV283="proposed_name")),E283=""),"missing branch_id; ","")&amp;IF(AND(NOT(OR(B283="to_candidate",AV283="proposed_name")),G283=""),"missing first_name; ","")&amp;IF(AND(NOT(OR(B283="to_candidate",AV283="proposed_name")),I283=""),"missing last_name; ","")&amp;IF(AND(NOT(OR(B283="to_candidate",AV283="proposed_name")),U283=""),"missing final_geo_unit_id; ","")&amp;IF(AV283="","missing final_destination; ","")&amp;IF(AND(NOT(OR(B283="to_candidate",AV283="proposed_name")),(COUNTIFS('أرقام التواصل'!$A$6:$A$505,"client",'أرقام التواصل'!$B$6:$B$505,A283,'أرقام التواصل'!$I$6:$I$505,"TRUE")+COUNTIFS('أرقام التواصل'!$A$6:$A$505,"client",'أرقام التواصل'!$B$6:$B$505,A283,'أرقام التواصل'!$C$6:$C$505,1))=0),"missing primary contact in أرقام التواصل; ","")&amp;IF(OR(B283="to_candidate",AV283="proposed_name"),IF(AW283="","missing proposed_move_reason; ","")&amp;IF(AX283="","missing proposed_name_key; ",""),"")))))</f>
        <v/>
      </c>
    </row>
    <row r="284" spans="1:53">
      <c r="A284" s="11"/>
      <c r="B284" s="12"/>
      <c r="C284" s="13"/>
      <c r="D284" s="12"/>
      <c r="E284" s="12"/>
      <c r="F284" s="12"/>
      <c r="G284" s="12"/>
      <c r="H284" s="12"/>
      <c r="I284" s="12"/>
      <c r="J284" s="12"/>
      <c r="K284" s="12" t="str">
        <f t="shared" si="7"/>
        <v/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 t="str">
        <f t="shared" si="8"/>
        <v/>
      </c>
      <c r="V284" s="12"/>
      <c r="W284" s="14"/>
      <c r="X284" s="14"/>
      <c r="Y284" s="13"/>
      <c r="Z284" s="12"/>
      <c r="AA284" s="12"/>
      <c r="AB284" s="12"/>
      <c r="AC284" s="12"/>
      <c r="AD284" s="15"/>
      <c r="AE284" s="12"/>
      <c r="AF284" s="13"/>
      <c r="AG284" s="12"/>
      <c r="AH284" s="12"/>
      <c r="AI284" s="15"/>
      <c r="AJ284" s="12"/>
      <c r="AK284" s="12"/>
      <c r="AL284" s="12"/>
      <c r="AM284" s="12"/>
      <c r="AN284" s="12"/>
      <c r="AO284" s="12"/>
      <c r="AP284" s="12"/>
      <c r="AQ284" s="15"/>
      <c r="AR284" s="12"/>
      <c r="AS284" s="12"/>
      <c r="AT284" s="12"/>
      <c r="AU284" s="12"/>
      <c r="AV284" s="12"/>
      <c r="AW284" s="12"/>
      <c r="AX284" s="13"/>
      <c r="AY284" s="12"/>
      <c r="AZ284" s="12" t="str">
        <f>IF(AND(A284="",B284="",E284="",G284="",I284="",AV284="",AX284=""),"",IF(OR(B284="skip",AV284="skip"),"SKIP",IF(OR(B284="to_candidate",AV284="proposed_name"),IF(OR(A284="",AW284="",AX284="",COUNTIF($A$6:$A$505,A284)&gt;1),"REVIEW","TO_PROPOSED"),IF(OR(B284="",A284="",E284="",G284="",I284="",U284="",AV284="",COUNTIF($A$6:$A$505,A284)&gt;1,(COUNTIFS('أرقام التواصل'!$A$6:$A$505,"client",'أرقام التواصل'!$B$6:$B$505,A284,'أرقام التواصل'!$I$6:$I$505,"TRUE")+COUNTIFS('أرقام التواصل'!$A$6:$A$505,"client",'أرقام التواصل'!$B$6:$B$505,A284,'أرقام التواصل'!$C$6:$C$505,1))=0),"REVIEW","READY"))))</f>
        <v/>
      </c>
      <c r="BA284" s="16" t="str">
        <f>IF(AZ284="","",IF(OR(AZ284="READY",AZ284="TO_PROPOSED"),"",IF(AZ284="SKIP","Skipped by decision",TRIM(IF(B284="","missing import_action; ","")&amp;IF(A284="","missing migration_customer_key; ","")&amp;IF(AND(A284&lt;&gt;"",COUNTIF($A$6:$A$505,A284)&gt;1),"duplicate migration_customer_key; ","")&amp;IF(AND(NOT(OR(B284="to_candidate",AV284="proposed_name")),E284=""),"missing branch_id; ","")&amp;IF(AND(NOT(OR(B284="to_candidate",AV284="proposed_name")),G284=""),"missing first_name; ","")&amp;IF(AND(NOT(OR(B284="to_candidate",AV284="proposed_name")),I284=""),"missing last_name; ","")&amp;IF(AND(NOT(OR(B284="to_candidate",AV284="proposed_name")),U284=""),"missing final_geo_unit_id; ","")&amp;IF(AV284="","missing final_destination; ","")&amp;IF(AND(NOT(OR(B284="to_candidate",AV284="proposed_name")),(COUNTIFS('أرقام التواصل'!$A$6:$A$505,"client",'أرقام التواصل'!$B$6:$B$505,A284,'أرقام التواصل'!$I$6:$I$505,"TRUE")+COUNTIFS('أرقام التواصل'!$A$6:$A$505,"client",'أرقام التواصل'!$B$6:$B$505,A284,'أرقام التواصل'!$C$6:$C$505,1))=0),"missing primary contact in أرقام التواصل; ","")&amp;IF(OR(B284="to_candidate",AV284="proposed_name"),IF(AW284="","missing proposed_move_reason; ","")&amp;IF(AX284="","missing proposed_name_key; ",""),"")))))</f>
        <v/>
      </c>
    </row>
    <row r="285" spans="1:53">
      <c r="A285" s="11"/>
      <c r="B285" s="12"/>
      <c r="C285" s="13"/>
      <c r="D285" s="12"/>
      <c r="E285" s="12"/>
      <c r="F285" s="12"/>
      <c r="G285" s="12"/>
      <c r="H285" s="12"/>
      <c r="I285" s="12"/>
      <c r="J285" s="12"/>
      <c r="K285" s="12" t="str">
        <f t="shared" si="7"/>
        <v/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 t="str">
        <f t="shared" si="8"/>
        <v/>
      </c>
      <c r="V285" s="12"/>
      <c r="W285" s="14"/>
      <c r="X285" s="14"/>
      <c r="Y285" s="13"/>
      <c r="Z285" s="12"/>
      <c r="AA285" s="12"/>
      <c r="AB285" s="12"/>
      <c r="AC285" s="12"/>
      <c r="AD285" s="15"/>
      <c r="AE285" s="12"/>
      <c r="AF285" s="13"/>
      <c r="AG285" s="12"/>
      <c r="AH285" s="12"/>
      <c r="AI285" s="15"/>
      <c r="AJ285" s="12"/>
      <c r="AK285" s="12"/>
      <c r="AL285" s="12"/>
      <c r="AM285" s="12"/>
      <c r="AN285" s="12"/>
      <c r="AO285" s="12"/>
      <c r="AP285" s="12"/>
      <c r="AQ285" s="15"/>
      <c r="AR285" s="12"/>
      <c r="AS285" s="12"/>
      <c r="AT285" s="12"/>
      <c r="AU285" s="12"/>
      <c r="AV285" s="12"/>
      <c r="AW285" s="12"/>
      <c r="AX285" s="13"/>
      <c r="AY285" s="12"/>
      <c r="AZ285" s="12" t="str">
        <f>IF(AND(A285="",B285="",E285="",G285="",I285="",AV285="",AX285=""),"",IF(OR(B285="skip",AV285="skip"),"SKIP",IF(OR(B285="to_candidate",AV285="proposed_name"),IF(OR(A285="",AW285="",AX285="",COUNTIF($A$6:$A$505,A285)&gt;1),"REVIEW","TO_PROPOSED"),IF(OR(B285="",A285="",E285="",G285="",I285="",U285="",AV285="",COUNTIF($A$6:$A$505,A285)&gt;1,(COUNTIFS('أرقام التواصل'!$A$6:$A$505,"client",'أرقام التواصل'!$B$6:$B$505,A285,'أرقام التواصل'!$I$6:$I$505,"TRUE")+COUNTIFS('أرقام التواصل'!$A$6:$A$505,"client",'أرقام التواصل'!$B$6:$B$505,A285,'أرقام التواصل'!$C$6:$C$505,1))=0),"REVIEW","READY"))))</f>
        <v/>
      </c>
      <c r="BA285" s="16" t="str">
        <f>IF(AZ285="","",IF(OR(AZ285="READY",AZ285="TO_PROPOSED"),"",IF(AZ285="SKIP","Skipped by decision",TRIM(IF(B285="","missing import_action; ","")&amp;IF(A285="","missing migration_customer_key; ","")&amp;IF(AND(A285&lt;&gt;"",COUNTIF($A$6:$A$505,A285)&gt;1),"duplicate migration_customer_key; ","")&amp;IF(AND(NOT(OR(B285="to_candidate",AV285="proposed_name")),E285=""),"missing branch_id; ","")&amp;IF(AND(NOT(OR(B285="to_candidate",AV285="proposed_name")),G285=""),"missing first_name; ","")&amp;IF(AND(NOT(OR(B285="to_candidate",AV285="proposed_name")),I285=""),"missing last_name; ","")&amp;IF(AND(NOT(OR(B285="to_candidate",AV285="proposed_name")),U285=""),"missing final_geo_unit_id; ","")&amp;IF(AV285="","missing final_destination; ","")&amp;IF(AND(NOT(OR(B285="to_candidate",AV285="proposed_name")),(COUNTIFS('أرقام التواصل'!$A$6:$A$505,"client",'أرقام التواصل'!$B$6:$B$505,A285,'أرقام التواصل'!$I$6:$I$505,"TRUE")+COUNTIFS('أرقام التواصل'!$A$6:$A$505,"client",'أرقام التواصل'!$B$6:$B$505,A285,'أرقام التواصل'!$C$6:$C$505,1))=0),"missing primary contact in أرقام التواصل; ","")&amp;IF(OR(B285="to_candidate",AV285="proposed_name"),IF(AW285="","missing proposed_move_reason; ","")&amp;IF(AX285="","missing proposed_name_key; ",""),"")))))</f>
        <v/>
      </c>
    </row>
    <row r="286" spans="1:53">
      <c r="A286" s="11"/>
      <c r="B286" s="12"/>
      <c r="C286" s="13"/>
      <c r="D286" s="12"/>
      <c r="E286" s="12"/>
      <c r="F286" s="12"/>
      <c r="G286" s="12"/>
      <c r="H286" s="12"/>
      <c r="I286" s="12"/>
      <c r="J286" s="12"/>
      <c r="K286" s="12" t="str">
        <f t="shared" si="7"/>
        <v/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 t="str">
        <f t="shared" si="8"/>
        <v/>
      </c>
      <c r="V286" s="12"/>
      <c r="W286" s="14"/>
      <c r="X286" s="14"/>
      <c r="Y286" s="13"/>
      <c r="Z286" s="12"/>
      <c r="AA286" s="12"/>
      <c r="AB286" s="12"/>
      <c r="AC286" s="12"/>
      <c r="AD286" s="15"/>
      <c r="AE286" s="12"/>
      <c r="AF286" s="13"/>
      <c r="AG286" s="12"/>
      <c r="AH286" s="12"/>
      <c r="AI286" s="15"/>
      <c r="AJ286" s="12"/>
      <c r="AK286" s="12"/>
      <c r="AL286" s="12"/>
      <c r="AM286" s="12"/>
      <c r="AN286" s="12"/>
      <c r="AO286" s="12"/>
      <c r="AP286" s="12"/>
      <c r="AQ286" s="15"/>
      <c r="AR286" s="12"/>
      <c r="AS286" s="12"/>
      <c r="AT286" s="12"/>
      <c r="AU286" s="12"/>
      <c r="AV286" s="12"/>
      <c r="AW286" s="12"/>
      <c r="AX286" s="13"/>
      <c r="AY286" s="12"/>
      <c r="AZ286" s="12" t="str">
        <f>IF(AND(A286="",B286="",E286="",G286="",I286="",AV286="",AX286=""),"",IF(OR(B286="skip",AV286="skip"),"SKIP",IF(OR(B286="to_candidate",AV286="proposed_name"),IF(OR(A286="",AW286="",AX286="",COUNTIF($A$6:$A$505,A286)&gt;1),"REVIEW","TO_PROPOSED"),IF(OR(B286="",A286="",E286="",G286="",I286="",U286="",AV286="",COUNTIF($A$6:$A$505,A286)&gt;1,(COUNTIFS('أرقام التواصل'!$A$6:$A$505,"client",'أرقام التواصل'!$B$6:$B$505,A286,'أرقام التواصل'!$I$6:$I$505,"TRUE")+COUNTIFS('أرقام التواصل'!$A$6:$A$505,"client",'أرقام التواصل'!$B$6:$B$505,A286,'أرقام التواصل'!$C$6:$C$505,1))=0),"REVIEW","READY"))))</f>
        <v/>
      </c>
      <c r="BA286" s="16" t="str">
        <f>IF(AZ286="","",IF(OR(AZ286="READY",AZ286="TO_PROPOSED"),"",IF(AZ286="SKIP","Skipped by decision",TRIM(IF(B286="","missing import_action; ","")&amp;IF(A286="","missing migration_customer_key; ","")&amp;IF(AND(A286&lt;&gt;"",COUNTIF($A$6:$A$505,A286)&gt;1),"duplicate migration_customer_key; ","")&amp;IF(AND(NOT(OR(B286="to_candidate",AV286="proposed_name")),E286=""),"missing branch_id; ","")&amp;IF(AND(NOT(OR(B286="to_candidate",AV286="proposed_name")),G286=""),"missing first_name; ","")&amp;IF(AND(NOT(OR(B286="to_candidate",AV286="proposed_name")),I286=""),"missing last_name; ","")&amp;IF(AND(NOT(OR(B286="to_candidate",AV286="proposed_name")),U286=""),"missing final_geo_unit_id; ","")&amp;IF(AV286="","missing final_destination; ","")&amp;IF(AND(NOT(OR(B286="to_candidate",AV286="proposed_name")),(COUNTIFS('أرقام التواصل'!$A$6:$A$505,"client",'أرقام التواصل'!$B$6:$B$505,A286,'أرقام التواصل'!$I$6:$I$505,"TRUE")+COUNTIFS('أرقام التواصل'!$A$6:$A$505,"client",'أرقام التواصل'!$B$6:$B$505,A286,'أرقام التواصل'!$C$6:$C$505,1))=0),"missing primary contact in أرقام التواصل; ","")&amp;IF(OR(B286="to_candidate",AV286="proposed_name"),IF(AW286="","missing proposed_move_reason; ","")&amp;IF(AX286="","missing proposed_name_key; ",""),"")))))</f>
        <v/>
      </c>
    </row>
    <row r="287" spans="1:53">
      <c r="A287" s="11"/>
      <c r="B287" s="12"/>
      <c r="C287" s="13"/>
      <c r="D287" s="12"/>
      <c r="E287" s="12"/>
      <c r="F287" s="12"/>
      <c r="G287" s="12"/>
      <c r="H287" s="12"/>
      <c r="I287" s="12"/>
      <c r="J287" s="12"/>
      <c r="K287" s="12" t="str">
        <f t="shared" si="7"/>
        <v/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 t="str">
        <f t="shared" si="8"/>
        <v/>
      </c>
      <c r="V287" s="12"/>
      <c r="W287" s="14"/>
      <c r="X287" s="14"/>
      <c r="Y287" s="13"/>
      <c r="Z287" s="12"/>
      <c r="AA287" s="12"/>
      <c r="AB287" s="12"/>
      <c r="AC287" s="12"/>
      <c r="AD287" s="15"/>
      <c r="AE287" s="12"/>
      <c r="AF287" s="13"/>
      <c r="AG287" s="12"/>
      <c r="AH287" s="12"/>
      <c r="AI287" s="15"/>
      <c r="AJ287" s="12"/>
      <c r="AK287" s="12"/>
      <c r="AL287" s="12"/>
      <c r="AM287" s="12"/>
      <c r="AN287" s="12"/>
      <c r="AO287" s="12"/>
      <c r="AP287" s="12"/>
      <c r="AQ287" s="15"/>
      <c r="AR287" s="12"/>
      <c r="AS287" s="12"/>
      <c r="AT287" s="12"/>
      <c r="AU287" s="12"/>
      <c r="AV287" s="12"/>
      <c r="AW287" s="12"/>
      <c r="AX287" s="13"/>
      <c r="AY287" s="12"/>
      <c r="AZ287" s="12" t="str">
        <f>IF(AND(A287="",B287="",E287="",G287="",I287="",AV287="",AX287=""),"",IF(OR(B287="skip",AV287="skip"),"SKIP",IF(OR(B287="to_candidate",AV287="proposed_name"),IF(OR(A287="",AW287="",AX287="",COUNTIF($A$6:$A$505,A287)&gt;1),"REVIEW","TO_PROPOSED"),IF(OR(B287="",A287="",E287="",G287="",I287="",U287="",AV287="",COUNTIF($A$6:$A$505,A287)&gt;1,(COUNTIFS('أرقام التواصل'!$A$6:$A$505,"client",'أرقام التواصل'!$B$6:$B$505,A287,'أرقام التواصل'!$I$6:$I$505,"TRUE")+COUNTIFS('أرقام التواصل'!$A$6:$A$505,"client",'أرقام التواصل'!$B$6:$B$505,A287,'أرقام التواصل'!$C$6:$C$505,1))=0),"REVIEW","READY"))))</f>
        <v/>
      </c>
      <c r="BA287" s="16" t="str">
        <f>IF(AZ287="","",IF(OR(AZ287="READY",AZ287="TO_PROPOSED"),"",IF(AZ287="SKIP","Skipped by decision",TRIM(IF(B287="","missing import_action; ","")&amp;IF(A287="","missing migration_customer_key; ","")&amp;IF(AND(A287&lt;&gt;"",COUNTIF($A$6:$A$505,A287)&gt;1),"duplicate migration_customer_key; ","")&amp;IF(AND(NOT(OR(B287="to_candidate",AV287="proposed_name")),E287=""),"missing branch_id; ","")&amp;IF(AND(NOT(OR(B287="to_candidate",AV287="proposed_name")),G287=""),"missing first_name; ","")&amp;IF(AND(NOT(OR(B287="to_candidate",AV287="proposed_name")),I287=""),"missing last_name; ","")&amp;IF(AND(NOT(OR(B287="to_candidate",AV287="proposed_name")),U287=""),"missing final_geo_unit_id; ","")&amp;IF(AV287="","missing final_destination; ","")&amp;IF(AND(NOT(OR(B287="to_candidate",AV287="proposed_name")),(COUNTIFS('أرقام التواصل'!$A$6:$A$505,"client",'أرقام التواصل'!$B$6:$B$505,A287,'أرقام التواصل'!$I$6:$I$505,"TRUE")+COUNTIFS('أرقام التواصل'!$A$6:$A$505,"client",'أرقام التواصل'!$B$6:$B$505,A287,'أرقام التواصل'!$C$6:$C$505,1))=0),"missing primary contact in أرقام التواصل; ","")&amp;IF(OR(B287="to_candidate",AV287="proposed_name"),IF(AW287="","missing proposed_move_reason; ","")&amp;IF(AX287="","missing proposed_name_key; ",""),"")))))</f>
        <v/>
      </c>
    </row>
    <row r="288" spans="1:53">
      <c r="A288" s="11"/>
      <c r="B288" s="12"/>
      <c r="C288" s="13"/>
      <c r="D288" s="12"/>
      <c r="E288" s="12"/>
      <c r="F288" s="12"/>
      <c r="G288" s="12"/>
      <c r="H288" s="12"/>
      <c r="I288" s="12"/>
      <c r="J288" s="12"/>
      <c r="K288" s="12" t="str">
        <f t="shared" si="7"/>
        <v/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 t="str">
        <f t="shared" si="8"/>
        <v/>
      </c>
      <c r="V288" s="12"/>
      <c r="W288" s="14"/>
      <c r="X288" s="14"/>
      <c r="Y288" s="13"/>
      <c r="Z288" s="12"/>
      <c r="AA288" s="12"/>
      <c r="AB288" s="12"/>
      <c r="AC288" s="12"/>
      <c r="AD288" s="15"/>
      <c r="AE288" s="12"/>
      <c r="AF288" s="13"/>
      <c r="AG288" s="12"/>
      <c r="AH288" s="12"/>
      <c r="AI288" s="15"/>
      <c r="AJ288" s="12"/>
      <c r="AK288" s="12"/>
      <c r="AL288" s="12"/>
      <c r="AM288" s="12"/>
      <c r="AN288" s="12"/>
      <c r="AO288" s="12"/>
      <c r="AP288" s="12"/>
      <c r="AQ288" s="15"/>
      <c r="AR288" s="12"/>
      <c r="AS288" s="12"/>
      <c r="AT288" s="12"/>
      <c r="AU288" s="12"/>
      <c r="AV288" s="12"/>
      <c r="AW288" s="12"/>
      <c r="AX288" s="13"/>
      <c r="AY288" s="12"/>
      <c r="AZ288" s="12" t="str">
        <f>IF(AND(A288="",B288="",E288="",G288="",I288="",AV288="",AX288=""),"",IF(OR(B288="skip",AV288="skip"),"SKIP",IF(OR(B288="to_candidate",AV288="proposed_name"),IF(OR(A288="",AW288="",AX288="",COUNTIF($A$6:$A$505,A288)&gt;1),"REVIEW","TO_PROPOSED"),IF(OR(B288="",A288="",E288="",G288="",I288="",U288="",AV288="",COUNTIF($A$6:$A$505,A288)&gt;1,(COUNTIFS('أرقام التواصل'!$A$6:$A$505,"client",'أرقام التواصل'!$B$6:$B$505,A288,'أرقام التواصل'!$I$6:$I$505,"TRUE")+COUNTIFS('أرقام التواصل'!$A$6:$A$505,"client",'أرقام التواصل'!$B$6:$B$505,A288,'أرقام التواصل'!$C$6:$C$505,1))=0),"REVIEW","READY"))))</f>
        <v/>
      </c>
      <c r="BA288" s="16" t="str">
        <f>IF(AZ288="","",IF(OR(AZ288="READY",AZ288="TO_PROPOSED"),"",IF(AZ288="SKIP","Skipped by decision",TRIM(IF(B288="","missing import_action; ","")&amp;IF(A288="","missing migration_customer_key; ","")&amp;IF(AND(A288&lt;&gt;"",COUNTIF($A$6:$A$505,A288)&gt;1),"duplicate migration_customer_key; ","")&amp;IF(AND(NOT(OR(B288="to_candidate",AV288="proposed_name")),E288=""),"missing branch_id; ","")&amp;IF(AND(NOT(OR(B288="to_candidate",AV288="proposed_name")),G288=""),"missing first_name; ","")&amp;IF(AND(NOT(OR(B288="to_candidate",AV288="proposed_name")),I288=""),"missing last_name; ","")&amp;IF(AND(NOT(OR(B288="to_candidate",AV288="proposed_name")),U288=""),"missing final_geo_unit_id; ","")&amp;IF(AV288="","missing final_destination; ","")&amp;IF(AND(NOT(OR(B288="to_candidate",AV288="proposed_name")),(COUNTIFS('أرقام التواصل'!$A$6:$A$505,"client",'أرقام التواصل'!$B$6:$B$505,A288,'أرقام التواصل'!$I$6:$I$505,"TRUE")+COUNTIFS('أرقام التواصل'!$A$6:$A$505,"client",'أرقام التواصل'!$B$6:$B$505,A288,'أرقام التواصل'!$C$6:$C$505,1))=0),"missing primary contact in أرقام التواصل; ","")&amp;IF(OR(B288="to_candidate",AV288="proposed_name"),IF(AW288="","missing proposed_move_reason; ","")&amp;IF(AX288="","missing proposed_name_key; ",""),"")))))</f>
        <v/>
      </c>
    </row>
    <row r="289" spans="1:53">
      <c r="A289" s="11"/>
      <c r="B289" s="12"/>
      <c r="C289" s="13"/>
      <c r="D289" s="12"/>
      <c r="E289" s="12"/>
      <c r="F289" s="12"/>
      <c r="G289" s="12"/>
      <c r="H289" s="12"/>
      <c r="I289" s="12"/>
      <c r="J289" s="12"/>
      <c r="K289" s="12" t="str">
        <f t="shared" si="7"/>
        <v/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 t="str">
        <f t="shared" si="8"/>
        <v/>
      </c>
      <c r="V289" s="12"/>
      <c r="W289" s="14"/>
      <c r="X289" s="14"/>
      <c r="Y289" s="13"/>
      <c r="Z289" s="12"/>
      <c r="AA289" s="12"/>
      <c r="AB289" s="12"/>
      <c r="AC289" s="12"/>
      <c r="AD289" s="15"/>
      <c r="AE289" s="12"/>
      <c r="AF289" s="13"/>
      <c r="AG289" s="12"/>
      <c r="AH289" s="12"/>
      <c r="AI289" s="15"/>
      <c r="AJ289" s="12"/>
      <c r="AK289" s="12"/>
      <c r="AL289" s="12"/>
      <c r="AM289" s="12"/>
      <c r="AN289" s="12"/>
      <c r="AO289" s="12"/>
      <c r="AP289" s="12"/>
      <c r="AQ289" s="15"/>
      <c r="AR289" s="12"/>
      <c r="AS289" s="12"/>
      <c r="AT289" s="12"/>
      <c r="AU289" s="12"/>
      <c r="AV289" s="12"/>
      <c r="AW289" s="12"/>
      <c r="AX289" s="13"/>
      <c r="AY289" s="12"/>
      <c r="AZ289" s="12" t="str">
        <f>IF(AND(A289="",B289="",E289="",G289="",I289="",AV289="",AX289=""),"",IF(OR(B289="skip",AV289="skip"),"SKIP",IF(OR(B289="to_candidate",AV289="proposed_name"),IF(OR(A289="",AW289="",AX289="",COUNTIF($A$6:$A$505,A289)&gt;1),"REVIEW","TO_PROPOSED"),IF(OR(B289="",A289="",E289="",G289="",I289="",U289="",AV289="",COUNTIF($A$6:$A$505,A289)&gt;1,(COUNTIFS('أرقام التواصل'!$A$6:$A$505,"client",'أرقام التواصل'!$B$6:$B$505,A289,'أرقام التواصل'!$I$6:$I$505,"TRUE")+COUNTIFS('أرقام التواصل'!$A$6:$A$505,"client",'أرقام التواصل'!$B$6:$B$505,A289,'أرقام التواصل'!$C$6:$C$505,1))=0),"REVIEW","READY"))))</f>
        <v/>
      </c>
      <c r="BA289" s="16" t="str">
        <f>IF(AZ289="","",IF(OR(AZ289="READY",AZ289="TO_PROPOSED"),"",IF(AZ289="SKIP","Skipped by decision",TRIM(IF(B289="","missing import_action; ","")&amp;IF(A289="","missing migration_customer_key; ","")&amp;IF(AND(A289&lt;&gt;"",COUNTIF($A$6:$A$505,A289)&gt;1),"duplicate migration_customer_key; ","")&amp;IF(AND(NOT(OR(B289="to_candidate",AV289="proposed_name")),E289=""),"missing branch_id; ","")&amp;IF(AND(NOT(OR(B289="to_candidate",AV289="proposed_name")),G289=""),"missing first_name; ","")&amp;IF(AND(NOT(OR(B289="to_candidate",AV289="proposed_name")),I289=""),"missing last_name; ","")&amp;IF(AND(NOT(OR(B289="to_candidate",AV289="proposed_name")),U289=""),"missing final_geo_unit_id; ","")&amp;IF(AV289="","missing final_destination; ","")&amp;IF(AND(NOT(OR(B289="to_candidate",AV289="proposed_name")),(COUNTIFS('أرقام التواصل'!$A$6:$A$505,"client",'أرقام التواصل'!$B$6:$B$505,A289,'أرقام التواصل'!$I$6:$I$505,"TRUE")+COUNTIFS('أرقام التواصل'!$A$6:$A$505,"client",'أرقام التواصل'!$B$6:$B$505,A289,'أرقام التواصل'!$C$6:$C$505,1))=0),"missing primary contact in أرقام التواصل; ","")&amp;IF(OR(B289="to_candidate",AV289="proposed_name"),IF(AW289="","missing proposed_move_reason; ","")&amp;IF(AX289="","missing proposed_name_key; ",""),"")))))</f>
        <v/>
      </c>
    </row>
    <row r="290" spans="1:53">
      <c r="A290" s="11"/>
      <c r="B290" s="12"/>
      <c r="C290" s="13"/>
      <c r="D290" s="12"/>
      <c r="E290" s="12"/>
      <c r="F290" s="12"/>
      <c r="G290" s="12"/>
      <c r="H290" s="12"/>
      <c r="I290" s="12"/>
      <c r="J290" s="12"/>
      <c r="K290" s="12" t="str">
        <f t="shared" si="7"/>
        <v/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 t="str">
        <f t="shared" si="8"/>
        <v/>
      </c>
      <c r="V290" s="12"/>
      <c r="W290" s="14"/>
      <c r="X290" s="14"/>
      <c r="Y290" s="13"/>
      <c r="Z290" s="12"/>
      <c r="AA290" s="12"/>
      <c r="AB290" s="12"/>
      <c r="AC290" s="12"/>
      <c r="AD290" s="15"/>
      <c r="AE290" s="12"/>
      <c r="AF290" s="13"/>
      <c r="AG290" s="12"/>
      <c r="AH290" s="12"/>
      <c r="AI290" s="15"/>
      <c r="AJ290" s="12"/>
      <c r="AK290" s="12"/>
      <c r="AL290" s="12"/>
      <c r="AM290" s="12"/>
      <c r="AN290" s="12"/>
      <c r="AO290" s="12"/>
      <c r="AP290" s="12"/>
      <c r="AQ290" s="15"/>
      <c r="AR290" s="12"/>
      <c r="AS290" s="12"/>
      <c r="AT290" s="12"/>
      <c r="AU290" s="12"/>
      <c r="AV290" s="12"/>
      <c r="AW290" s="12"/>
      <c r="AX290" s="13"/>
      <c r="AY290" s="12"/>
      <c r="AZ290" s="12" t="str">
        <f>IF(AND(A290="",B290="",E290="",G290="",I290="",AV290="",AX290=""),"",IF(OR(B290="skip",AV290="skip"),"SKIP",IF(OR(B290="to_candidate",AV290="proposed_name"),IF(OR(A290="",AW290="",AX290="",COUNTIF($A$6:$A$505,A290)&gt;1),"REVIEW","TO_PROPOSED"),IF(OR(B290="",A290="",E290="",G290="",I290="",U290="",AV290="",COUNTIF($A$6:$A$505,A290)&gt;1,(COUNTIFS('أرقام التواصل'!$A$6:$A$505,"client",'أرقام التواصل'!$B$6:$B$505,A290,'أرقام التواصل'!$I$6:$I$505,"TRUE")+COUNTIFS('أرقام التواصل'!$A$6:$A$505,"client",'أرقام التواصل'!$B$6:$B$505,A290,'أرقام التواصل'!$C$6:$C$505,1))=0),"REVIEW","READY"))))</f>
        <v/>
      </c>
      <c r="BA290" s="16" t="str">
        <f>IF(AZ290="","",IF(OR(AZ290="READY",AZ290="TO_PROPOSED"),"",IF(AZ290="SKIP","Skipped by decision",TRIM(IF(B290="","missing import_action; ","")&amp;IF(A290="","missing migration_customer_key; ","")&amp;IF(AND(A290&lt;&gt;"",COUNTIF($A$6:$A$505,A290)&gt;1),"duplicate migration_customer_key; ","")&amp;IF(AND(NOT(OR(B290="to_candidate",AV290="proposed_name")),E290=""),"missing branch_id; ","")&amp;IF(AND(NOT(OR(B290="to_candidate",AV290="proposed_name")),G290=""),"missing first_name; ","")&amp;IF(AND(NOT(OR(B290="to_candidate",AV290="proposed_name")),I290=""),"missing last_name; ","")&amp;IF(AND(NOT(OR(B290="to_candidate",AV290="proposed_name")),U290=""),"missing final_geo_unit_id; ","")&amp;IF(AV290="","missing final_destination; ","")&amp;IF(AND(NOT(OR(B290="to_candidate",AV290="proposed_name")),(COUNTIFS('أرقام التواصل'!$A$6:$A$505,"client",'أرقام التواصل'!$B$6:$B$505,A290,'أرقام التواصل'!$I$6:$I$505,"TRUE")+COUNTIFS('أرقام التواصل'!$A$6:$A$505,"client",'أرقام التواصل'!$B$6:$B$505,A290,'أرقام التواصل'!$C$6:$C$505,1))=0),"missing primary contact in أرقام التواصل; ","")&amp;IF(OR(B290="to_candidate",AV290="proposed_name"),IF(AW290="","missing proposed_move_reason; ","")&amp;IF(AX290="","missing proposed_name_key; ",""),"")))))</f>
        <v/>
      </c>
    </row>
    <row r="291" spans="1:53">
      <c r="A291" s="11"/>
      <c r="B291" s="12"/>
      <c r="C291" s="13"/>
      <c r="D291" s="12"/>
      <c r="E291" s="12"/>
      <c r="F291" s="12"/>
      <c r="G291" s="12"/>
      <c r="H291" s="12"/>
      <c r="I291" s="12"/>
      <c r="J291" s="12"/>
      <c r="K291" s="12" t="str">
        <f t="shared" si="7"/>
        <v/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 t="str">
        <f t="shared" si="8"/>
        <v/>
      </c>
      <c r="V291" s="12"/>
      <c r="W291" s="14"/>
      <c r="X291" s="14"/>
      <c r="Y291" s="13"/>
      <c r="Z291" s="12"/>
      <c r="AA291" s="12"/>
      <c r="AB291" s="12"/>
      <c r="AC291" s="12"/>
      <c r="AD291" s="15"/>
      <c r="AE291" s="12"/>
      <c r="AF291" s="13"/>
      <c r="AG291" s="12"/>
      <c r="AH291" s="12"/>
      <c r="AI291" s="15"/>
      <c r="AJ291" s="12"/>
      <c r="AK291" s="12"/>
      <c r="AL291" s="12"/>
      <c r="AM291" s="12"/>
      <c r="AN291" s="12"/>
      <c r="AO291" s="12"/>
      <c r="AP291" s="12"/>
      <c r="AQ291" s="15"/>
      <c r="AR291" s="12"/>
      <c r="AS291" s="12"/>
      <c r="AT291" s="12"/>
      <c r="AU291" s="12"/>
      <c r="AV291" s="12"/>
      <c r="AW291" s="12"/>
      <c r="AX291" s="13"/>
      <c r="AY291" s="12"/>
      <c r="AZ291" s="12" t="str">
        <f>IF(AND(A291="",B291="",E291="",G291="",I291="",AV291="",AX291=""),"",IF(OR(B291="skip",AV291="skip"),"SKIP",IF(OR(B291="to_candidate",AV291="proposed_name"),IF(OR(A291="",AW291="",AX291="",COUNTIF($A$6:$A$505,A291)&gt;1),"REVIEW","TO_PROPOSED"),IF(OR(B291="",A291="",E291="",G291="",I291="",U291="",AV291="",COUNTIF($A$6:$A$505,A291)&gt;1,(COUNTIFS('أرقام التواصل'!$A$6:$A$505,"client",'أرقام التواصل'!$B$6:$B$505,A291,'أرقام التواصل'!$I$6:$I$505,"TRUE")+COUNTIFS('أرقام التواصل'!$A$6:$A$505,"client",'أرقام التواصل'!$B$6:$B$505,A291,'أرقام التواصل'!$C$6:$C$505,1))=0),"REVIEW","READY"))))</f>
        <v/>
      </c>
      <c r="BA291" s="16" t="str">
        <f>IF(AZ291="","",IF(OR(AZ291="READY",AZ291="TO_PROPOSED"),"",IF(AZ291="SKIP","Skipped by decision",TRIM(IF(B291="","missing import_action; ","")&amp;IF(A291="","missing migration_customer_key; ","")&amp;IF(AND(A291&lt;&gt;"",COUNTIF($A$6:$A$505,A291)&gt;1),"duplicate migration_customer_key; ","")&amp;IF(AND(NOT(OR(B291="to_candidate",AV291="proposed_name")),E291=""),"missing branch_id; ","")&amp;IF(AND(NOT(OR(B291="to_candidate",AV291="proposed_name")),G291=""),"missing first_name; ","")&amp;IF(AND(NOT(OR(B291="to_candidate",AV291="proposed_name")),I291=""),"missing last_name; ","")&amp;IF(AND(NOT(OR(B291="to_candidate",AV291="proposed_name")),U291=""),"missing final_geo_unit_id; ","")&amp;IF(AV291="","missing final_destination; ","")&amp;IF(AND(NOT(OR(B291="to_candidate",AV291="proposed_name")),(COUNTIFS('أرقام التواصل'!$A$6:$A$505,"client",'أرقام التواصل'!$B$6:$B$505,A291,'أرقام التواصل'!$I$6:$I$505,"TRUE")+COUNTIFS('أرقام التواصل'!$A$6:$A$505,"client",'أرقام التواصل'!$B$6:$B$505,A291,'أرقام التواصل'!$C$6:$C$505,1))=0),"missing primary contact in أرقام التواصل; ","")&amp;IF(OR(B291="to_candidate",AV291="proposed_name"),IF(AW291="","missing proposed_move_reason; ","")&amp;IF(AX291="","missing proposed_name_key; ",""),"")))))</f>
        <v/>
      </c>
    </row>
    <row r="292" spans="1:53">
      <c r="A292" s="11"/>
      <c r="B292" s="12"/>
      <c r="C292" s="13"/>
      <c r="D292" s="12"/>
      <c r="E292" s="12"/>
      <c r="F292" s="12"/>
      <c r="G292" s="12"/>
      <c r="H292" s="12"/>
      <c r="I292" s="12"/>
      <c r="J292" s="12"/>
      <c r="K292" s="12" t="str">
        <f t="shared" si="7"/>
        <v/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 t="str">
        <f t="shared" si="8"/>
        <v/>
      </c>
      <c r="V292" s="12"/>
      <c r="W292" s="14"/>
      <c r="X292" s="14"/>
      <c r="Y292" s="13"/>
      <c r="Z292" s="12"/>
      <c r="AA292" s="12"/>
      <c r="AB292" s="12"/>
      <c r="AC292" s="12"/>
      <c r="AD292" s="15"/>
      <c r="AE292" s="12"/>
      <c r="AF292" s="13"/>
      <c r="AG292" s="12"/>
      <c r="AH292" s="12"/>
      <c r="AI292" s="15"/>
      <c r="AJ292" s="12"/>
      <c r="AK292" s="12"/>
      <c r="AL292" s="12"/>
      <c r="AM292" s="12"/>
      <c r="AN292" s="12"/>
      <c r="AO292" s="12"/>
      <c r="AP292" s="12"/>
      <c r="AQ292" s="15"/>
      <c r="AR292" s="12"/>
      <c r="AS292" s="12"/>
      <c r="AT292" s="12"/>
      <c r="AU292" s="12"/>
      <c r="AV292" s="12"/>
      <c r="AW292" s="12"/>
      <c r="AX292" s="13"/>
      <c r="AY292" s="12"/>
      <c r="AZ292" s="12" t="str">
        <f>IF(AND(A292="",B292="",E292="",G292="",I292="",AV292="",AX292=""),"",IF(OR(B292="skip",AV292="skip"),"SKIP",IF(OR(B292="to_candidate",AV292="proposed_name"),IF(OR(A292="",AW292="",AX292="",COUNTIF($A$6:$A$505,A292)&gt;1),"REVIEW","TO_PROPOSED"),IF(OR(B292="",A292="",E292="",G292="",I292="",U292="",AV292="",COUNTIF($A$6:$A$505,A292)&gt;1,(COUNTIFS('أرقام التواصل'!$A$6:$A$505,"client",'أرقام التواصل'!$B$6:$B$505,A292,'أرقام التواصل'!$I$6:$I$505,"TRUE")+COUNTIFS('أرقام التواصل'!$A$6:$A$505,"client",'أرقام التواصل'!$B$6:$B$505,A292,'أرقام التواصل'!$C$6:$C$505,1))=0),"REVIEW","READY"))))</f>
        <v/>
      </c>
      <c r="BA292" s="16" t="str">
        <f>IF(AZ292="","",IF(OR(AZ292="READY",AZ292="TO_PROPOSED"),"",IF(AZ292="SKIP","Skipped by decision",TRIM(IF(B292="","missing import_action; ","")&amp;IF(A292="","missing migration_customer_key; ","")&amp;IF(AND(A292&lt;&gt;"",COUNTIF($A$6:$A$505,A292)&gt;1),"duplicate migration_customer_key; ","")&amp;IF(AND(NOT(OR(B292="to_candidate",AV292="proposed_name")),E292=""),"missing branch_id; ","")&amp;IF(AND(NOT(OR(B292="to_candidate",AV292="proposed_name")),G292=""),"missing first_name; ","")&amp;IF(AND(NOT(OR(B292="to_candidate",AV292="proposed_name")),I292=""),"missing last_name; ","")&amp;IF(AND(NOT(OR(B292="to_candidate",AV292="proposed_name")),U292=""),"missing final_geo_unit_id; ","")&amp;IF(AV292="","missing final_destination; ","")&amp;IF(AND(NOT(OR(B292="to_candidate",AV292="proposed_name")),(COUNTIFS('أرقام التواصل'!$A$6:$A$505,"client",'أرقام التواصل'!$B$6:$B$505,A292,'أرقام التواصل'!$I$6:$I$505,"TRUE")+COUNTIFS('أرقام التواصل'!$A$6:$A$505,"client",'أرقام التواصل'!$B$6:$B$505,A292,'أرقام التواصل'!$C$6:$C$505,1))=0),"missing primary contact in أرقام التواصل; ","")&amp;IF(OR(B292="to_candidate",AV292="proposed_name"),IF(AW292="","missing proposed_move_reason; ","")&amp;IF(AX292="","missing proposed_name_key; ",""),"")))))</f>
        <v/>
      </c>
    </row>
    <row r="293" spans="1:53">
      <c r="A293" s="11"/>
      <c r="B293" s="12"/>
      <c r="C293" s="13"/>
      <c r="D293" s="12"/>
      <c r="E293" s="12"/>
      <c r="F293" s="12"/>
      <c r="G293" s="12"/>
      <c r="H293" s="12"/>
      <c r="I293" s="12"/>
      <c r="J293" s="12"/>
      <c r="K293" s="12" t="str">
        <f t="shared" si="7"/>
        <v/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 t="str">
        <f t="shared" si="8"/>
        <v/>
      </c>
      <c r="V293" s="12"/>
      <c r="W293" s="14"/>
      <c r="X293" s="14"/>
      <c r="Y293" s="13"/>
      <c r="Z293" s="12"/>
      <c r="AA293" s="12"/>
      <c r="AB293" s="12"/>
      <c r="AC293" s="12"/>
      <c r="AD293" s="15"/>
      <c r="AE293" s="12"/>
      <c r="AF293" s="13"/>
      <c r="AG293" s="12"/>
      <c r="AH293" s="12"/>
      <c r="AI293" s="15"/>
      <c r="AJ293" s="12"/>
      <c r="AK293" s="12"/>
      <c r="AL293" s="12"/>
      <c r="AM293" s="12"/>
      <c r="AN293" s="12"/>
      <c r="AO293" s="12"/>
      <c r="AP293" s="12"/>
      <c r="AQ293" s="15"/>
      <c r="AR293" s="12"/>
      <c r="AS293" s="12"/>
      <c r="AT293" s="12"/>
      <c r="AU293" s="12"/>
      <c r="AV293" s="12"/>
      <c r="AW293" s="12"/>
      <c r="AX293" s="13"/>
      <c r="AY293" s="12"/>
      <c r="AZ293" s="12" t="str">
        <f>IF(AND(A293="",B293="",E293="",G293="",I293="",AV293="",AX293=""),"",IF(OR(B293="skip",AV293="skip"),"SKIP",IF(OR(B293="to_candidate",AV293="proposed_name"),IF(OR(A293="",AW293="",AX293="",COUNTIF($A$6:$A$505,A293)&gt;1),"REVIEW","TO_PROPOSED"),IF(OR(B293="",A293="",E293="",G293="",I293="",U293="",AV293="",COUNTIF($A$6:$A$505,A293)&gt;1,(COUNTIFS('أرقام التواصل'!$A$6:$A$505,"client",'أرقام التواصل'!$B$6:$B$505,A293,'أرقام التواصل'!$I$6:$I$505,"TRUE")+COUNTIFS('أرقام التواصل'!$A$6:$A$505,"client",'أرقام التواصل'!$B$6:$B$505,A293,'أرقام التواصل'!$C$6:$C$505,1))=0),"REVIEW","READY"))))</f>
        <v/>
      </c>
      <c r="BA293" s="16" t="str">
        <f>IF(AZ293="","",IF(OR(AZ293="READY",AZ293="TO_PROPOSED"),"",IF(AZ293="SKIP","Skipped by decision",TRIM(IF(B293="","missing import_action; ","")&amp;IF(A293="","missing migration_customer_key; ","")&amp;IF(AND(A293&lt;&gt;"",COUNTIF($A$6:$A$505,A293)&gt;1),"duplicate migration_customer_key; ","")&amp;IF(AND(NOT(OR(B293="to_candidate",AV293="proposed_name")),E293=""),"missing branch_id; ","")&amp;IF(AND(NOT(OR(B293="to_candidate",AV293="proposed_name")),G293=""),"missing first_name; ","")&amp;IF(AND(NOT(OR(B293="to_candidate",AV293="proposed_name")),I293=""),"missing last_name; ","")&amp;IF(AND(NOT(OR(B293="to_candidate",AV293="proposed_name")),U293=""),"missing final_geo_unit_id; ","")&amp;IF(AV293="","missing final_destination; ","")&amp;IF(AND(NOT(OR(B293="to_candidate",AV293="proposed_name")),(COUNTIFS('أرقام التواصل'!$A$6:$A$505,"client",'أرقام التواصل'!$B$6:$B$505,A293,'أرقام التواصل'!$I$6:$I$505,"TRUE")+COUNTIFS('أرقام التواصل'!$A$6:$A$505,"client",'أرقام التواصل'!$B$6:$B$505,A293,'أرقام التواصل'!$C$6:$C$505,1))=0),"missing primary contact in أرقام التواصل; ","")&amp;IF(OR(B293="to_candidate",AV293="proposed_name"),IF(AW293="","missing proposed_move_reason; ","")&amp;IF(AX293="","missing proposed_name_key; ",""),"")))))</f>
        <v/>
      </c>
    </row>
    <row r="294" spans="1:53">
      <c r="A294" s="11"/>
      <c r="B294" s="12"/>
      <c r="C294" s="13"/>
      <c r="D294" s="12"/>
      <c r="E294" s="12"/>
      <c r="F294" s="12"/>
      <c r="G294" s="12"/>
      <c r="H294" s="12"/>
      <c r="I294" s="12"/>
      <c r="J294" s="12"/>
      <c r="K294" s="12" t="str">
        <f t="shared" si="7"/>
        <v/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 t="str">
        <f t="shared" si="8"/>
        <v/>
      </c>
      <c r="V294" s="12"/>
      <c r="W294" s="14"/>
      <c r="X294" s="14"/>
      <c r="Y294" s="13"/>
      <c r="Z294" s="12"/>
      <c r="AA294" s="12"/>
      <c r="AB294" s="12"/>
      <c r="AC294" s="12"/>
      <c r="AD294" s="15"/>
      <c r="AE294" s="12"/>
      <c r="AF294" s="13"/>
      <c r="AG294" s="12"/>
      <c r="AH294" s="12"/>
      <c r="AI294" s="15"/>
      <c r="AJ294" s="12"/>
      <c r="AK294" s="12"/>
      <c r="AL294" s="12"/>
      <c r="AM294" s="12"/>
      <c r="AN294" s="12"/>
      <c r="AO294" s="12"/>
      <c r="AP294" s="12"/>
      <c r="AQ294" s="15"/>
      <c r="AR294" s="12"/>
      <c r="AS294" s="12"/>
      <c r="AT294" s="12"/>
      <c r="AU294" s="12"/>
      <c r="AV294" s="12"/>
      <c r="AW294" s="12"/>
      <c r="AX294" s="13"/>
      <c r="AY294" s="12"/>
      <c r="AZ294" s="12" t="str">
        <f>IF(AND(A294="",B294="",E294="",G294="",I294="",AV294="",AX294=""),"",IF(OR(B294="skip",AV294="skip"),"SKIP",IF(OR(B294="to_candidate",AV294="proposed_name"),IF(OR(A294="",AW294="",AX294="",COUNTIF($A$6:$A$505,A294)&gt;1),"REVIEW","TO_PROPOSED"),IF(OR(B294="",A294="",E294="",G294="",I294="",U294="",AV294="",COUNTIF($A$6:$A$505,A294)&gt;1,(COUNTIFS('أرقام التواصل'!$A$6:$A$505,"client",'أرقام التواصل'!$B$6:$B$505,A294,'أرقام التواصل'!$I$6:$I$505,"TRUE")+COUNTIFS('أرقام التواصل'!$A$6:$A$505,"client",'أرقام التواصل'!$B$6:$B$505,A294,'أرقام التواصل'!$C$6:$C$505,1))=0),"REVIEW","READY"))))</f>
        <v/>
      </c>
      <c r="BA294" s="16" t="str">
        <f>IF(AZ294="","",IF(OR(AZ294="READY",AZ294="TO_PROPOSED"),"",IF(AZ294="SKIP","Skipped by decision",TRIM(IF(B294="","missing import_action; ","")&amp;IF(A294="","missing migration_customer_key; ","")&amp;IF(AND(A294&lt;&gt;"",COUNTIF($A$6:$A$505,A294)&gt;1),"duplicate migration_customer_key; ","")&amp;IF(AND(NOT(OR(B294="to_candidate",AV294="proposed_name")),E294=""),"missing branch_id; ","")&amp;IF(AND(NOT(OR(B294="to_candidate",AV294="proposed_name")),G294=""),"missing first_name; ","")&amp;IF(AND(NOT(OR(B294="to_candidate",AV294="proposed_name")),I294=""),"missing last_name; ","")&amp;IF(AND(NOT(OR(B294="to_candidate",AV294="proposed_name")),U294=""),"missing final_geo_unit_id; ","")&amp;IF(AV294="","missing final_destination; ","")&amp;IF(AND(NOT(OR(B294="to_candidate",AV294="proposed_name")),(COUNTIFS('أرقام التواصل'!$A$6:$A$505,"client",'أرقام التواصل'!$B$6:$B$505,A294,'أرقام التواصل'!$I$6:$I$505,"TRUE")+COUNTIFS('أرقام التواصل'!$A$6:$A$505,"client",'أرقام التواصل'!$B$6:$B$505,A294,'أرقام التواصل'!$C$6:$C$505,1))=0),"missing primary contact in أرقام التواصل; ","")&amp;IF(OR(B294="to_candidate",AV294="proposed_name"),IF(AW294="","missing proposed_move_reason; ","")&amp;IF(AX294="","missing proposed_name_key; ",""),"")))))</f>
        <v/>
      </c>
    </row>
    <row r="295" spans="1:53">
      <c r="A295" s="11"/>
      <c r="B295" s="12"/>
      <c r="C295" s="13"/>
      <c r="D295" s="12"/>
      <c r="E295" s="12"/>
      <c r="F295" s="12"/>
      <c r="G295" s="12"/>
      <c r="H295" s="12"/>
      <c r="I295" s="12"/>
      <c r="J295" s="12"/>
      <c r="K295" s="12" t="str">
        <f t="shared" si="7"/>
        <v/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 t="str">
        <f t="shared" si="8"/>
        <v/>
      </c>
      <c r="V295" s="12"/>
      <c r="W295" s="14"/>
      <c r="X295" s="14"/>
      <c r="Y295" s="13"/>
      <c r="Z295" s="12"/>
      <c r="AA295" s="12"/>
      <c r="AB295" s="12"/>
      <c r="AC295" s="12"/>
      <c r="AD295" s="15"/>
      <c r="AE295" s="12"/>
      <c r="AF295" s="13"/>
      <c r="AG295" s="12"/>
      <c r="AH295" s="12"/>
      <c r="AI295" s="15"/>
      <c r="AJ295" s="12"/>
      <c r="AK295" s="12"/>
      <c r="AL295" s="12"/>
      <c r="AM295" s="12"/>
      <c r="AN295" s="12"/>
      <c r="AO295" s="12"/>
      <c r="AP295" s="12"/>
      <c r="AQ295" s="15"/>
      <c r="AR295" s="12"/>
      <c r="AS295" s="12"/>
      <c r="AT295" s="12"/>
      <c r="AU295" s="12"/>
      <c r="AV295" s="12"/>
      <c r="AW295" s="12"/>
      <c r="AX295" s="13"/>
      <c r="AY295" s="12"/>
      <c r="AZ295" s="12" t="str">
        <f>IF(AND(A295="",B295="",E295="",G295="",I295="",AV295="",AX295=""),"",IF(OR(B295="skip",AV295="skip"),"SKIP",IF(OR(B295="to_candidate",AV295="proposed_name"),IF(OR(A295="",AW295="",AX295="",COUNTIF($A$6:$A$505,A295)&gt;1),"REVIEW","TO_PROPOSED"),IF(OR(B295="",A295="",E295="",G295="",I295="",U295="",AV295="",COUNTIF($A$6:$A$505,A295)&gt;1,(COUNTIFS('أرقام التواصل'!$A$6:$A$505,"client",'أرقام التواصل'!$B$6:$B$505,A295,'أرقام التواصل'!$I$6:$I$505,"TRUE")+COUNTIFS('أرقام التواصل'!$A$6:$A$505,"client",'أرقام التواصل'!$B$6:$B$505,A295,'أرقام التواصل'!$C$6:$C$505,1))=0),"REVIEW","READY"))))</f>
        <v/>
      </c>
      <c r="BA295" s="16" t="str">
        <f>IF(AZ295="","",IF(OR(AZ295="READY",AZ295="TO_PROPOSED"),"",IF(AZ295="SKIP","Skipped by decision",TRIM(IF(B295="","missing import_action; ","")&amp;IF(A295="","missing migration_customer_key; ","")&amp;IF(AND(A295&lt;&gt;"",COUNTIF($A$6:$A$505,A295)&gt;1),"duplicate migration_customer_key; ","")&amp;IF(AND(NOT(OR(B295="to_candidate",AV295="proposed_name")),E295=""),"missing branch_id; ","")&amp;IF(AND(NOT(OR(B295="to_candidate",AV295="proposed_name")),G295=""),"missing first_name; ","")&amp;IF(AND(NOT(OR(B295="to_candidate",AV295="proposed_name")),I295=""),"missing last_name; ","")&amp;IF(AND(NOT(OR(B295="to_candidate",AV295="proposed_name")),U295=""),"missing final_geo_unit_id; ","")&amp;IF(AV295="","missing final_destination; ","")&amp;IF(AND(NOT(OR(B295="to_candidate",AV295="proposed_name")),(COUNTIFS('أرقام التواصل'!$A$6:$A$505,"client",'أرقام التواصل'!$B$6:$B$505,A295,'أرقام التواصل'!$I$6:$I$505,"TRUE")+COUNTIFS('أرقام التواصل'!$A$6:$A$505,"client",'أرقام التواصل'!$B$6:$B$505,A295,'أرقام التواصل'!$C$6:$C$505,1))=0),"missing primary contact in أرقام التواصل; ","")&amp;IF(OR(B295="to_candidate",AV295="proposed_name"),IF(AW295="","missing proposed_move_reason; ","")&amp;IF(AX295="","missing proposed_name_key; ",""),"")))))</f>
        <v/>
      </c>
    </row>
    <row r="296" spans="1:53">
      <c r="A296" s="11"/>
      <c r="B296" s="12"/>
      <c r="C296" s="13"/>
      <c r="D296" s="12"/>
      <c r="E296" s="12"/>
      <c r="F296" s="12"/>
      <c r="G296" s="12"/>
      <c r="H296" s="12"/>
      <c r="I296" s="12"/>
      <c r="J296" s="12"/>
      <c r="K296" s="12" t="str">
        <f t="shared" si="7"/>
        <v/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 t="str">
        <f t="shared" si="8"/>
        <v/>
      </c>
      <c r="V296" s="12"/>
      <c r="W296" s="14"/>
      <c r="X296" s="14"/>
      <c r="Y296" s="13"/>
      <c r="Z296" s="12"/>
      <c r="AA296" s="12"/>
      <c r="AB296" s="12"/>
      <c r="AC296" s="12"/>
      <c r="AD296" s="15"/>
      <c r="AE296" s="12"/>
      <c r="AF296" s="13"/>
      <c r="AG296" s="12"/>
      <c r="AH296" s="12"/>
      <c r="AI296" s="15"/>
      <c r="AJ296" s="12"/>
      <c r="AK296" s="12"/>
      <c r="AL296" s="12"/>
      <c r="AM296" s="12"/>
      <c r="AN296" s="12"/>
      <c r="AO296" s="12"/>
      <c r="AP296" s="12"/>
      <c r="AQ296" s="15"/>
      <c r="AR296" s="12"/>
      <c r="AS296" s="12"/>
      <c r="AT296" s="12"/>
      <c r="AU296" s="12"/>
      <c r="AV296" s="12"/>
      <c r="AW296" s="12"/>
      <c r="AX296" s="13"/>
      <c r="AY296" s="12"/>
      <c r="AZ296" s="12" t="str">
        <f>IF(AND(A296="",B296="",E296="",G296="",I296="",AV296="",AX296=""),"",IF(OR(B296="skip",AV296="skip"),"SKIP",IF(OR(B296="to_candidate",AV296="proposed_name"),IF(OR(A296="",AW296="",AX296="",COUNTIF($A$6:$A$505,A296)&gt;1),"REVIEW","TO_PROPOSED"),IF(OR(B296="",A296="",E296="",G296="",I296="",U296="",AV296="",COUNTIF($A$6:$A$505,A296)&gt;1,(COUNTIFS('أرقام التواصل'!$A$6:$A$505,"client",'أرقام التواصل'!$B$6:$B$505,A296,'أرقام التواصل'!$I$6:$I$505,"TRUE")+COUNTIFS('أرقام التواصل'!$A$6:$A$505,"client",'أرقام التواصل'!$B$6:$B$505,A296,'أرقام التواصل'!$C$6:$C$505,1))=0),"REVIEW","READY"))))</f>
        <v/>
      </c>
      <c r="BA296" s="16" t="str">
        <f>IF(AZ296="","",IF(OR(AZ296="READY",AZ296="TO_PROPOSED"),"",IF(AZ296="SKIP","Skipped by decision",TRIM(IF(B296="","missing import_action; ","")&amp;IF(A296="","missing migration_customer_key; ","")&amp;IF(AND(A296&lt;&gt;"",COUNTIF($A$6:$A$505,A296)&gt;1),"duplicate migration_customer_key; ","")&amp;IF(AND(NOT(OR(B296="to_candidate",AV296="proposed_name")),E296=""),"missing branch_id; ","")&amp;IF(AND(NOT(OR(B296="to_candidate",AV296="proposed_name")),G296=""),"missing first_name; ","")&amp;IF(AND(NOT(OR(B296="to_candidate",AV296="proposed_name")),I296=""),"missing last_name; ","")&amp;IF(AND(NOT(OR(B296="to_candidate",AV296="proposed_name")),U296=""),"missing final_geo_unit_id; ","")&amp;IF(AV296="","missing final_destination; ","")&amp;IF(AND(NOT(OR(B296="to_candidate",AV296="proposed_name")),(COUNTIFS('أرقام التواصل'!$A$6:$A$505,"client",'أرقام التواصل'!$B$6:$B$505,A296,'أرقام التواصل'!$I$6:$I$505,"TRUE")+COUNTIFS('أرقام التواصل'!$A$6:$A$505,"client",'أرقام التواصل'!$B$6:$B$505,A296,'أرقام التواصل'!$C$6:$C$505,1))=0),"missing primary contact in أرقام التواصل; ","")&amp;IF(OR(B296="to_candidate",AV296="proposed_name"),IF(AW296="","missing proposed_move_reason; ","")&amp;IF(AX296="","missing proposed_name_key; ",""),"")))))</f>
        <v/>
      </c>
    </row>
    <row r="297" spans="1:53">
      <c r="A297" s="11"/>
      <c r="B297" s="12"/>
      <c r="C297" s="13"/>
      <c r="D297" s="12"/>
      <c r="E297" s="12"/>
      <c r="F297" s="12"/>
      <c r="G297" s="12"/>
      <c r="H297" s="12"/>
      <c r="I297" s="12"/>
      <c r="J297" s="12"/>
      <c r="K297" s="12" t="str">
        <f t="shared" si="7"/>
        <v/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 t="str">
        <f t="shared" si="8"/>
        <v/>
      </c>
      <c r="V297" s="12"/>
      <c r="W297" s="14"/>
      <c r="X297" s="14"/>
      <c r="Y297" s="13"/>
      <c r="Z297" s="12"/>
      <c r="AA297" s="12"/>
      <c r="AB297" s="12"/>
      <c r="AC297" s="12"/>
      <c r="AD297" s="15"/>
      <c r="AE297" s="12"/>
      <c r="AF297" s="13"/>
      <c r="AG297" s="12"/>
      <c r="AH297" s="12"/>
      <c r="AI297" s="15"/>
      <c r="AJ297" s="12"/>
      <c r="AK297" s="12"/>
      <c r="AL297" s="12"/>
      <c r="AM297" s="12"/>
      <c r="AN297" s="12"/>
      <c r="AO297" s="12"/>
      <c r="AP297" s="12"/>
      <c r="AQ297" s="15"/>
      <c r="AR297" s="12"/>
      <c r="AS297" s="12"/>
      <c r="AT297" s="12"/>
      <c r="AU297" s="12"/>
      <c r="AV297" s="12"/>
      <c r="AW297" s="12"/>
      <c r="AX297" s="13"/>
      <c r="AY297" s="12"/>
      <c r="AZ297" s="12" t="str">
        <f>IF(AND(A297="",B297="",E297="",G297="",I297="",AV297="",AX297=""),"",IF(OR(B297="skip",AV297="skip"),"SKIP",IF(OR(B297="to_candidate",AV297="proposed_name"),IF(OR(A297="",AW297="",AX297="",COUNTIF($A$6:$A$505,A297)&gt;1),"REVIEW","TO_PROPOSED"),IF(OR(B297="",A297="",E297="",G297="",I297="",U297="",AV297="",COUNTIF($A$6:$A$505,A297)&gt;1,(COUNTIFS('أرقام التواصل'!$A$6:$A$505,"client",'أرقام التواصل'!$B$6:$B$505,A297,'أرقام التواصل'!$I$6:$I$505,"TRUE")+COUNTIFS('أرقام التواصل'!$A$6:$A$505,"client",'أرقام التواصل'!$B$6:$B$505,A297,'أرقام التواصل'!$C$6:$C$505,1))=0),"REVIEW","READY"))))</f>
        <v/>
      </c>
      <c r="BA297" s="16" t="str">
        <f>IF(AZ297="","",IF(OR(AZ297="READY",AZ297="TO_PROPOSED"),"",IF(AZ297="SKIP","Skipped by decision",TRIM(IF(B297="","missing import_action; ","")&amp;IF(A297="","missing migration_customer_key; ","")&amp;IF(AND(A297&lt;&gt;"",COUNTIF($A$6:$A$505,A297)&gt;1),"duplicate migration_customer_key; ","")&amp;IF(AND(NOT(OR(B297="to_candidate",AV297="proposed_name")),E297=""),"missing branch_id; ","")&amp;IF(AND(NOT(OR(B297="to_candidate",AV297="proposed_name")),G297=""),"missing first_name; ","")&amp;IF(AND(NOT(OR(B297="to_candidate",AV297="proposed_name")),I297=""),"missing last_name; ","")&amp;IF(AND(NOT(OR(B297="to_candidate",AV297="proposed_name")),U297=""),"missing final_geo_unit_id; ","")&amp;IF(AV297="","missing final_destination; ","")&amp;IF(AND(NOT(OR(B297="to_candidate",AV297="proposed_name")),(COUNTIFS('أرقام التواصل'!$A$6:$A$505,"client",'أرقام التواصل'!$B$6:$B$505,A297,'أرقام التواصل'!$I$6:$I$505,"TRUE")+COUNTIFS('أرقام التواصل'!$A$6:$A$505,"client",'أرقام التواصل'!$B$6:$B$505,A297,'أرقام التواصل'!$C$6:$C$505,1))=0),"missing primary contact in أرقام التواصل; ","")&amp;IF(OR(B297="to_candidate",AV297="proposed_name"),IF(AW297="","missing proposed_move_reason; ","")&amp;IF(AX297="","missing proposed_name_key; ",""),"")))))</f>
        <v/>
      </c>
    </row>
    <row r="298" spans="1:53">
      <c r="A298" s="11"/>
      <c r="B298" s="12"/>
      <c r="C298" s="13"/>
      <c r="D298" s="12"/>
      <c r="E298" s="12"/>
      <c r="F298" s="12"/>
      <c r="G298" s="12"/>
      <c r="H298" s="12"/>
      <c r="I298" s="12"/>
      <c r="J298" s="12"/>
      <c r="K298" s="12" t="str">
        <f t="shared" si="7"/>
        <v/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 t="str">
        <f t="shared" si="8"/>
        <v/>
      </c>
      <c r="V298" s="12"/>
      <c r="W298" s="14"/>
      <c r="X298" s="14"/>
      <c r="Y298" s="13"/>
      <c r="Z298" s="12"/>
      <c r="AA298" s="12"/>
      <c r="AB298" s="12"/>
      <c r="AC298" s="12"/>
      <c r="AD298" s="15"/>
      <c r="AE298" s="12"/>
      <c r="AF298" s="13"/>
      <c r="AG298" s="12"/>
      <c r="AH298" s="12"/>
      <c r="AI298" s="15"/>
      <c r="AJ298" s="12"/>
      <c r="AK298" s="12"/>
      <c r="AL298" s="12"/>
      <c r="AM298" s="12"/>
      <c r="AN298" s="12"/>
      <c r="AO298" s="12"/>
      <c r="AP298" s="12"/>
      <c r="AQ298" s="15"/>
      <c r="AR298" s="12"/>
      <c r="AS298" s="12"/>
      <c r="AT298" s="12"/>
      <c r="AU298" s="12"/>
      <c r="AV298" s="12"/>
      <c r="AW298" s="12"/>
      <c r="AX298" s="13"/>
      <c r="AY298" s="12"/>
      <c r="AZ298" s="12" t="str">
        <f>IF(AND(A298="",B298="",E298="",G298="",I298="",AV298="",AX298=""),"",IF(OR(B298="skip",AV298="skip"),"SKIP",IF(OR(B298="to_candidate",AV298="proposed_name"),IF(OR(A298="",AW298="",AX298="",COUNTIF($A$6:$A$505,A298)&gt;1),"REVIEW","TO_PROPOSED"),IF(OR(B298="",A298="",E298="",G298="",I298="",U298="",AV298="",COUNTIF($A$6:$A$505,A298)&gt;1,(COUNTIFS('أرقام التواصل'!$A$6:$A$505,"client",'أرقام التواصل'!$B$6:$B$505,A298,'أرقام التواصل'!$I$6:$I$505,"TRUE")+COUNTIFS('أرقام التواصل'!$A$6:$A$505,"client",'أرقام التواصل'!$B$6:$B$505,A298,'أرقام التواصل'!$C$6:$C$505,1))=0),"REVIEW","READY"))))</f>
        <v/>
      </c>
      <c r="BA298" s="16" t="str">
        <f>IF(AZ298="","",IF(OR(AZ298="READY",AZ298="TO_PROPOSED"),"",IF(AZ298="SKIP","Skipped by decision",TRIM(IF(B298="","missing import_action; ","")&amp;IF(A298="","missing migration_customer_key; ","")&amp;IF(AND(A298&lt;&gt;"",COUNTIF($A$6:$A$505,A298)&gt;1),"duplicate migration_customer_key; ","")&amp;IF(AND(NOT(OR(B298="to_candidate",AV298="proposed_name")),E298=""),"missing branch_id; ","")&amp;IF(AND(NOT(OR(B298="to_candidate",AV298="proposed_name")),G298=""),"missing first_name; ","")&amp;IF(AND(NOT(OR(B298="to_candidate",AV298="proposed_name")),I298=""),"missing last_name; ","")&amp;IF(AND(NOT(OR(B298="to_candidate",AV298="proposed_name")),U298=""),"missing final_geo_unit_id; ","")&amp;IF(AV298="","missing final_destination; ","")&amp;IF(AND(NOT(OR(B298="to_candidate",AV298="proposed_name")),(COUNTIFS('أرقام التواصل'!$A$6:$A$505,"client",'أرقام التواصل'!$B$6:$B$505,A298,'أرقام التواصل'!$I$6:$I$505,"TRUE")+COUNTIFS('أرقام التواصل'!$A$6:$A$505,"client",'أرقام التواصل'!$B$6:$B$505,A298,'أرقام التواصل'!$C$6:$C$505,1))=0),"missing primary contact in أرقام التواصل; ","")&amp;IF(OR(B298="to_candidate",AV298="proposed_name"),IF(AW298="","missing proposed_move_reason; ","")&amp;IF(AX298="","missing proposed_name_key; ",""),"")))))</f>
        <v/>
      </c>
    </row>
    <row r="299" spans="1:53">
      <c r="A299" s="11"/>
      <c r="B299" s="12"/>
      <c r="C299" s="13"/>
      <c r="D299" s="12"/>
      <c r="E299" s="12"/>
      <c r="F299" s="12"/>
      <c r="G299" s="12"/>
      <c r="H299" s="12"/>
      <c r="I299" s="12"/>
      <c r="J299" s="12"/>
      <c r="K299" s="12" t="str">
        <f t="shared" si="7"/>
        <v/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 t="str">
        <f t="shared" si="8"/>
        <v/>
      </c>
      <c r="V299" s="12"/>
      <c r="W299" s="14"/>
      <c r="X299" s="14"/>
      <c r="Y299" s="13"/>
      <c r="Z299" s="12"/>
      <c r="AA299" s="12"/>
      <c r="AB299" s="12"/>
      <c r="AC299" s="12"/>
      <c r="AD299" s="15"/>
      <c r="AE299" s="12"/>
      <c r="AF299" s="13"/>
      <c r="AG299" s="12"/>
      <c r="AH299" s="12"/>
      <c r="AI299" s="15"/>
      <c r="AJ299" s="12"/>
      <c r="AK299" s="12"/>
      <c r="AL299" s="12"/>
      <c r="AM299" s="12"/>
      <c r="AN299" s="12"/>
      <c r="AO299" s="12"/>
      <c r="AP299" s="12"/>
      <c r="AQ299" s="15"/>
      <c r="AR299" s="12"/>
      <c r="AS299" s="12"/>
      <c r="AT299" s="12"/>
      <c r="AU299" s="12"/>
      <c r="AV299" s="12"/>
      <c r="AW299" s="12"/>
      <c r="AX299" s="13"/>
      <c r="AY299" s="12"/>
      <c r="AZ299" s="12" t="str">
        <f>IF(AND(A299="",B299="",E299="",G299="",I299="",AV299="",AX299=""),"",IF(OR(B299="skip",AV299="skip"),"SKIP",IF(OR(B299="to_candidate",AV299="proposed_name"),IF(OR(A299="",AW299="",AX299="",COUNTIF($A$6:$A$505,A299)&gt;1),"REVIEW","TO_PROPOSED"),IF(OR(B299="",A299="",E299="",G299="",I299="",U299="",AV299="",COUNTIF($A$6:$A$505,A299)&gt;1,(COUNTIFS('أرقام التواصل'!$A$6:$A$505,"client",'أرقام التواصل'!$B$6:$B$505,A299,'أرقام التواصل'!$I$6:$I$505,"TRUE")+COUNTIFS('أرقام التواصل'!$A$6:$A$505,"client",'أرقام التواصل'!$B$6:$B$505,A299,'أرقام التواصل'!$C$6:$C$505,1))=0),"REVIEW","READY"))))</f>
        <v/>
      </c>
      <c r="BA299" s="16" t="str">
        <f>IF(AZ299="","",IF(OR(AZ299="READY",AZ299="TO_PROPOSED"),"",IF(AZ299="SKIP","Skipped by decision",TRIM(IF(B299="","missing import_action; ","")&amp;IF(A299="","missing migration_customer_key; ","")&amp;IF(AND(A299&lt;&gt;"",COUNTIF($A$6:$A$505,A299)&gt;1),"duplicate migration_customer_key; ","")&amp;IF(AND(NOT(OR(B299="to_candidate",AV299="proposed_name")),E299=""),"missing branch_id; ","")&amp;IF(AND(NOT(OR(B299="to_candidate",AV299="proposed_name")),G299=""),"missing first_name; ","")&amp;IF(AND(NOT(OR(B299="to_candidate",AV299="proposed_name")),I299=""),"missing last_name; ","")&amp;IF(AND(NOT(OR(B299="to_candidate",AV299="proposed_name")),U299=""),"missing final_geo_unit_id; ","")&amp;IF(AV299="","missing final_destination; ","")&amp;IF(AND(NOT(OR(B299="to_candidate",AV299="proposed_name")),(COUNTIFS('أرقام التواصل'!$A$6:$A$505,"client",'أرقام التواصل'!$B$6:$B$505,A299,'أرقام التواصل'!$I$6:$I$505,"TRUE")+COUNTIFS('أرقام التواصل'!$A$6:$A$505,"client",'أرقام التواصل'!$B$6:$B$505,A299,'أرقام التواصل'!$C$6:$C$505,1))=0),"missing primary contact in أرقام التواصل; ","")&amp;IF(OR(B299="to_candidate",AV299="proposed_name"),IF(AW299="","missing proposed_move_reason; ","")&amp;IF(AX299="","missing proposed_name_key; ",""),"")))))</f>
        <v/>
      </c>
    </row>
    <row r="300" spans="1:53">
      <c r="A300" s="11"/>
      <c r="B300" s="12"/>
      <c r="C300" s="13"/>
      <c r="D300" s="12"/>
      <c r="E300" s="12"/>
      <c r="F300" s="12"/>
      <c r="G300" s="12"/>
      <c r="H300" s="12"/>
      <c r="I300" s="12"/>
      <c r="J300" s="12"/>
      <c r="K300" s="12" t="str">
        <f t="shared" si="7"/>
        <v/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 t="str">
        <f t="shared" si="8"/>
        <v/>
      </c>
      <c r="V300" s="12"/>
      <c r="W300" s="14"/>
      <c r="X300" s="14"/>
      <c r="Y300" s="13"/>
      <c r="Z300" s="12"/>
      <c r="AA300" s="12"/>
      <c r="AB300" s="12"/>
      <c r="AC300" s="12"/>
      <c r="AD300" s="15"/>
      <c r="AE300" s="12"/>
      <c r="AF300" s="13"/>
      <c r="AG300" s="12"/>
      <c r="AH300" s="12"/>
      <c r="AI300" s="15"/>
      <c r="AJ300" s="12"/>
      <c r="AK300" s="12"/>
      <c r="AL300" s="12"/>
      <c r="AM300" s="12"/>
      <c r="AN300" s="12"/>
      <c r="AO300" s="12"/>
      <c r="AP300" s="12"/>
      <c r="AQ300" s="15"/>
      <c r="AR300" s="12"/>
      <c r="AS300" s="12"/>
      <c r="AT300" s="12"/>
      <c r="AU300" s="12"/>
      <c r="AV300" s="12"/>
      <c r="AW300" s="12"/>
      <c r="AX300" s="13"/>
      <c r="AY300" s="12"/>
      <c r="AZ300" s="12" t="str">
        <f>IF(AND(A300="",B300="",E300="",G300="",I300="",AV300="",AX300=""),"",IF(OR(B300="skip",AV300="skip"),"SKIP",IF(OR(B300="to_candidate",AV300="proposed_name"),IF(OR(A300="",AW300="",AX300="",COUNTIF($A$6:$A$505,A300)&gt;1),"REVIEW","TO_PROPOSED"),IF(OR(B300="",A300="",E300="",G300="",I300="",U300="",AV300="",COUNTIF($A$6:$A$505,A300)&gt;1,(COUNTIFS('أرقام التواصل'!$A$6:$A$505,"client",'أرقام التواصل'!$B$6:$B$505,A300,'أرقام التواصل'!$I$6:$I$505,"TRUE")+COUNTIFS('أرقام التواصل'!$A$6:$A$505,"client",'أرقام التواصل'!$B$6:$B$505,A300,'أرقام التواصل'!$C$6:$C$505,1))=0),"REVIEW","READY"))))</f>
        <v/>
      </c>
      <c r="BA300" s="16" t="str">
        <f>IF(AZ300="","",IF(OR(AZ300="READY",AZ300="TO_PROPOSED"),"",IF(AZ300="SKIP","Skipped by decision",TRIM(IF(B300="","missing import_action; ","")&amp;IF(A300="","missing migration_customer_key; ","")&amp;IF(AND(A300&lt;&gt;"",COUNTIF($A$6:$A$505,A300)&gt;1),"duplicate migration_customer_key; ","")&amp;IF(AND(NOT(OR(B300="to_candidate",AV300="proposed_name")),E300=""),"missing branch_id; ","")&amp;IF(AND(NOT(OR(B300="to_candidate",AV300="proposed_name")),G300=""),"missing first_name; ","")&amp;IF(AND(NOT(OR(B300="to_candidate",AV300="proposed_name")),I300=""),"missing last_name; ","")&amp;IF(AND(NOT(OR(B300="to_candidate",AV300="proposed_name")),U300=""),"missing final_geo_unit_id; ","")&amp;IF(AV300="","missing final_destination; ","")&amp;IF(AND(NOT(OR(B300="to_candidate",AV300="proposed_name")),(COUNTIFS('أرقام التواصل'!$A$6:$A$505,"client",'أرقام التواصل'!$B$6:$B$505,A300,'أرقام التواصل'!$I$6:$I$505,"TRUE")+COUNTIFS('أرقام التواصل'!$A$6:$A$505,"client",'أرقام التواصل'!$B$6:$B$505,A300,'أرقام التواصل'!$C$6:$C$505,1))=0),"missing primary contact in أرقام التواصل; ","")&amp;IF(OR(B300="to_candidate",AV300="proposed_name"),IF(AW300="","missing proposed_move_reason; ","")&amp;IF(AX300="","missing proposed_name_key; ",""),"")))))</f>
        <v/>
      </c>
    </row>
    <row r="301" spans="1:53">
      <c r="A301" s="11"/>
      <c r="B301" s="12"/>
      <c r="C301" s="13"/>
      <c r="D301" s="12"/>
      <c r="E301" s="12"/>
      <c r="F301" s="12"/>
      <c r="G301" s="12"/>
      <c r="H301" s="12"/>
      <c r="I301" s="12"/>
      <c r="J301" s="12"/>
      <c r="K301" s="12" t="str">
        <f t="shared" si="7"/>
        <v/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 t="str">
        <f t="shared" si="8"/>
        <v/>
      </c>
      <c r="V301" s="12"/>
      <c r="W301" s="14"/>
      <c r="X301" s="14"/>
      <c r="Y301" s="13"/>
      <c r="Z301" s="12"/>
      <c r="AA301" s="12"/>
      <c r="AB301" s="12"/>
      <c r="AC301" s="12"/>
      <c r="AD301" s="15"/>
      <c r="AE301" s="12"/>
      <c r="AF301" s="13"/>
      <c r="AG301" s="12"/>
      <c r="AH301" s="12"/>
      <c r="AI301" s="15"/>
      <c r="AJ301" s="12"/>
      <c r="AK301" s="12"/>
      <c r="AL301" s="12"/>
      <c r="AM301" s="12"/>
      <c r="AN301" s="12"/>
      <c r="AO301" s="12"/>
      <c r="AP301" s="12"/>
      <c r="AQ301" s="15"/>
      <c r="AR301" s="12"/>
      <c r="AS301" s="12"/>
      <c r="AT301" s="12"/>
      <c r="AU301" s="12"/>
      <c r="AV301" s="12"/>
      <c r="AW301" s="12"/>
      <c r="AX301" s="13"/>
      <c r="AY301" s="12"/>
      <c r="AZ301" s="12" t="str">
        <f>IF(AND(A301="",B301="",E301="",G301="",I301="",AV301="",AX301=""),"",IF(OR(B301="skip",AV301="skip"),"SKIP",IF(OR(B301="to_candidate",AV301="proposed_name"),IF(OR(A301="",AW301="",AX301="",COUNTIF($A$6:$A$505,A301)&gt;1),"REVIEW","TO_PROPOSED"),IF(OR(B301="",A301="",E301="",G301="",I301="",U301="",AV301="",COUNTIF($A$6:$A$505,A301)&gt;1,(COUNTIFS('أرقام التواصل'!$A$6:$A$505,"client",'أرقام التواصل'!$B$6:$B$505,A301,'أرقام التواصل'!$I$6:$I$505,"TRUE")+COUNTIFS('أرقام التواصل'!$A$6:$A$505,"client",'أرقام التواصل'!$B$6:$B$505,A301,'أرقام التواصل'!$C$6:$C$505,1))=0),"REVIEW","READY"))))</f>
        <v/>
      </c>
      <c r="BA301" s="16" t="str">
        <f>IF(AZ301="","",IF(OR(AZ301="READY",AZ301="TO_PROPOSED"),"",IF(AZ301="SKIP","Skipped by decision",TRIM(IF(B301="","missing import_action; ","")&amp;IF(A301="","missing migration_customer_key; ","")&amp;IF(AND(A301&lt;&gt;"",COUNTIF($A$6:$A$505,A301)&gt;1),"duplicate migration_customer_key; ","")&amp;IF(AND(NOT(OR(B301="to_candidate",AV301="proposed_name")),E301=""),"missing branch_id; ","")&amp;IF(AND(NOT(OR(B301="to_candidate",AV301="proposed_name")),G301=""),"missing first_name; ","")&amp;IF(AND(NOT(OR(B301="to_candidate",AV301="proposed_name")),I301=""),"missing last_name; ","")&amp;IF(AND(NOT(OR(B301="to_candidate",AV301="proposed_name")),U301=""),"missing final_geo_unit_id; ","")&amp;IF(AV301="","missing final_destination; ","")&amp;IF(AND(NOT(OR(B301="to_candidate",AV301="proposed_name")),(COUNTIFS('أرقام التواصل'!$A$6:$A$505,"client",'أرقام التواصل'!$B$6:$B$505,A301,'أرقام التواصل'!$I$6:$I$505,"TRUE")+COUNTIFS('أرقام التواصل'!$A$6:$A$505,"client",'أرقام التواصل'!$B$6:$B$505,A301,'أرقام التواصل'!$C$6:$C$505,1))=0),"missing primary contact in أرقام التواصل; ","")&amp;IF(OR(B301="to_candidate",AV301="proposed_name"),IF(AW301="","missing proposed_move_reason; ","")&amp;IF(AX301="","missing proposed_name_key; ",""),"")))))</f>
        <v/>
      </c>
    </row>
    <row r="302" spans="1:53">
      <c r="A302" s="11"/>
      <c r="B302" s="12"/>
      <c r="C302" s="13"/>
      <c r="D302" s="12"/>
      <c r="E302" s="12"/>
      <c r="F302" s="12"/>
      <c r="G302" s="12"/>
      <c r="H302" s="12"/>
      <c r="I302" s="12"/>
      <c r="J302" s="12"/>
      <c r="K302" s="12" t="str">
        <f t="shared" si="7"/>
        <v/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 t="str">
        <f t="shared" si="8"/>
        <v/>
      </c>
      <c r="V302" s="12"/>
      <c r="W302" s="14"/>
      <c r="X302" s="14"/>
      <c r="Y302" s="13"/>
      <c r="Z302" s="12"/>
      <c r="AA302" s="12"/>
      <c r="AB302" s="12"/>
      <c r="AC302" s="12"/>
      <c r="AD302" s="15"/>
      <c r="AE302" s="12"/>
      <c r="AF302" s="13"/>
      <c r="AG302" s="12"/>
      <c r="AH302" s="12"/>
      <c r="AI302" s="15"/>
      <c r="AJ302" s="12"/>
      <c r="AK302" s="12"/>
      <c r="AL302" s="12"/>
      <c r="AM302" s="12"/>
      <c r="AN302" s="12"/>
      <c r="AO302" s="12"/>
      <c r="AP302" s="12"/>
      <c r="AQ302" s="15"/>
      <c r="AR302" s="12"/>
      <c r="AS302" s="12"/>
      <c r="AT302" s="12"/>
      <c r="AU302" s="12"/>
      <c r="AV302" s="12"/>
      <c r="AW302" s="12"/>
      <c r="AX302" s="13"/>
      <c r="AY302" s="12"/>
      <c r="AZ302" s="12" t="str">
        <f>IF(AND(A302="",B302="",E302="",G302="",I302="",AV302="",AX302=""),"",IF(OR(B302="skip",AV302="skip"),"SKIP",IF(OR(B302="to_candidate",AV302="proposed_name"),IF(OR(A302="",AW302="",AX302="",COUNTIF($A$6:$A$505,A302)&gt;1),"REVIEW","TO_PROPOSED"),IF(OR(B302="",A302="",E302="",G302="",I302="",U302="",AV302="",COUNTIF($A$6:$A$505,A302)&gt;1,(COUNTIFS('أرقام التواصل'!$A$6:$A$505,"client",'أرقام التواصل'!$B$6:$B$505,A302,'أرقام التواصل'!$I$6:$I$505,"TRUE")+COUNTIFS('أرقام التواصل'!$A$6:$A$505,"client",'أرقام التواصل'!$B$6:$B$505,A302,'أرقام التواصل'!$C$6:$C$505,1))=0),"REVIEW","READY"))))</f>
        <v/>
      </c>
      <c r="BA302" s="16" t="str">
        <f>IF(AZ302="","",IF(OR(AZ302="READY",AZ302="TO_PROPOSED"),"",IF(AZ302="SKIP","Skipped by decision",TRIM(IF(B302="","missing import_action; ","")&amp;IF(A302="","missing migration_customer_key; ","")&amp;IF(AND(A302&lt;&gt;"",COUNTIF($A$6:$A$505,A302)&gt;1),"duplicate migration_customer_key; ","")&amp;IF(AND(NOT(OR(B302="to_candidate",AV302="proposed_name")),E302=""),"missing branch_id; ","")&amp;IF(AND(NOT(OR(B302="to_candidate",AV302="proposed_name")),G302=""),"missing first_name; ","")&amp;IF(AND(NOT(OR(B302="to_candidate",AV302="proposed_name")),I302=""),"missing last_name; ","")&amp;IF(AND(NOT(OR(B302="to_candidate",AV302="proposed_name")),U302=""),"missing final_geo_unit_id; ","")&amp;IF(AV302="","missing final_destination; ","")&amp;IF(AND(NOT(OR(B302="to_candidate",AV302="proposed_name")),(COUNTIFS('أرقام التواصل'!$A$6:$A$505,"client",'أرقام التواصل'!$B$6:$B$505,A302,'أرقام التواصل'!$I$6:$I$505,"TRUE")+COUNTIFS('أرقام التواصل'!$A$6:$A$505,"client",'أرقام التواصل'!$B$6:$B$505,A302,'أرقام التواصل'!$C$6:$C$505,1))=0),"missing primary contact in أرقام التواصل; ","")&amp;IF(OR(B302="to_candidate",AV302="proposed_name"),IF(AW302="","missing proposed_move_reason; ","")&amp;IF(AX302="","missing proposed_name_key; ",""),"")))))</f>
        <v/>
      </c>
    </row>
    <row r="303" spans="1:53">
      <c r="A303" s="11"/>
      <c r="B303" s="12"/>
      <c r="C303" s="13"/>
      <c r="D303" s="12"/>
      <c r="E303" s="12"/>
      <c r="F303" s="12"/>
      <c r="G303" s="12"/>
      <c r="H303" s="12"/>
      <c r="I303" s="12"/>
      <c r="J303" s="12"/>
      <c r="K303" s="12" t="str">
        <f t="shared" si="7"/>
        <v/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 t="str">
        <f t="shared" si="8"/>
        <v/>
      </c>
      <c r="V303" s="12"/>
      <c r="W303" s="14"/>
      <c r="X303" s="14"/>
      <c r="Y303" s="13"/>
      <c r="Z303" s="12"/>
      <c r="AA303" s="12"/>
      <c r="AB303" s="12"/>
      <c r="AC303" s="12"/>
      <c r="AD303" s="15"/>
      <c r="AE303" s="12"/>
      <c r="AF303" s="13"/>
      <c r="AG303" s="12"/>
      <c r="AH303" s="12"/>
      <c r="AI303" s="15"/>
      <c r="AJ303" s="12"/>
      <c r="AK303" s="12"/>
      <c r="AL303" s="12"/>
      <c r="AM303" s="12"/>
      <c r="AN303" s="12"/>
      <c r="AO303" s="12"/>
      <c r="AP303" s="12"/>
      <c r="AQ303" s="15"/>
      <c r="AR303" s="12"/>
      <c r="AS303" s="12"/>
      <c r="AT303" s="12"/>
      <c r="AU303" s="12"/>
      <c r="AV303" s="12"/>
      <c r="AW303" s="12"/>
      <c r="AX303" s="13"/>
      <c r="AY303" s="12"/>
      <c r="AZ303" s="12" t="str">
        <f>IF(AND(A303="",B303="",E303="",G303="",I303="",AV303="",AX303=""),"",IF(OR(B303="skip",AV303="skip"),"SKIP",IF(OR(B303="to_candidate",AV303="proposed_name"),IF(OR(A303="",AW303="",AX303="",COUNTIF($A$6:$A$505,A303)&gt;1),"REVIEW","TO_PROPOSED"),IF(OR(B303="",A303="",E303="",G303="",I303="",U303="",AV303="",COUNTIF($A$6:$A$505,A303)&gt;1,(COUNTIFS('أرقام التواصل'!$A$6:$A$505,"client",'أرقام التواصل'!$B$6:$B$505,A303,'أرقام التواصل'!$I$6:$I$505,"TRUE")+COUNTIFS('أرقام التواصل'!$A$6:$A$505,"client",'أرقام التواصل'!$B$6:$B$505,A303,'أرقام التواصل'!$C$6:$C$505,1))=0),"REVIEW","READY"))))</f>
        <v/>
      </c>
      <c r="BA303" s="16" t="str">
        <f>IF(AZ303="","",IF(OR(AZ303="READY",AZ303="TO_PROPOSED"),"",IF(AZ303="SKIP","Skipped by decision",TRIM(IF(B303="","missing import_action; ","")&amp;IF(A303="","missing migration_customer_key; ","")&amp;IF(AND(A303&lt;&gt;"",COUNTIF($A$6:$A$505,A303)&gt;1),"duplicate migration_customer_key; ","")&amp;IF(AND(NOT(OR(B303="to_candidate",AV303="proposed_name")),E303=""),"missing branch_id; ","")&amp;IF(AND(NOT(OR(B303="to_candidate",AV303="proposed_name")),G303=""),"missing first_name; ","")&amp;IF(AND(NOT(OR(B303="to_candidate",AV303="proposed_name")),I303=""),"missing last_name; ","")&amp;IF(AND(NOT(OR(B303="to_candidate",AV303="proposed_name")),U303=""),"missing final_geo_unit_id; ","")&amp;IF(AV303="","missing final_destination; ","")&amp;IF(AND(NOT(OR(B303="to_candidate",AV303="proposed_name")),(COUNTIFS('أرقام التواصل'!$A$6:$A$505,"client",'أرقام التواصل'!$B$6:$B$505,A303,'أرقام التواصل'!$I$6:$I$505,"TRUE")+COUNTIFS('أرقام التواصل'!$A$6:$A$505,"client",'أرقام التواصل'!$B$6:$B$505,A303,'أرقام التواصل'!$C$6:$C$505,1))=0),"missing primary contact in أرقام التواصل; ","")&amp;IF(OR(B303="to_candidate",AV303="proposed_name"),IF(AW303="","missing proposed_move_reason; ","")&amp;IF(AX303="","missing proposed_name_key; ",""),"")))))</f>
        <v/>
      </c>
    </row>
    <row r="304" spans="1:53">
      <c r="A304" s="11"/>
      <c r="B304" s="12"/>
      <c r="C304" s="13"/>
      <c r="D304" s="12"/>
      <c r="E304" s="12"/>
      <c r="F304" s="12"/>
      <c r="G304" s="12"/>
      <c r="H304" s="12"/>
      <c r="I304" s="12"/>
      <c r="J304" s="12"/>
      <c r="K304" s="12" t="str">
        <f t="shared" si="7"/>
        <v/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 t="str">
        <f t="shared" si="8"/>
        <v/>
      </c>
      <c r="V304" s="12"/>
      <c r="W304" s="14"/>
      <c r="X304" s="14"/>
      <c r="Y304" s="13"/>
      <c r="Z304" s="12"/>
      <c r="AA304" s="12"/>
      <c r="AB304" s="12"/>
      <c r="AC304" s="12"/>
      <c r="AD304" s="15"/>
      <c r="AE304" s="12"/>
      <c r="AF304" s="13"/>
      <c r="AG304" s="12"/>
      <c r="AH304" s="12"/>
      <c r="AI304" s="15"/>
      <c r="AJ304" s="12"/>
      <c r="AK304" s="12"/>
      <c r="AL304" s="12"/>
      <c r="AM304" s="12"/>
      <c r="AN304" s="12"/>
      <c r="AO304" s="12"/>
      <c r="AP304" s="12"/>
      <c r="AQ304" s="15"/>
      <c r="AR304" s="12"/>
      <c r="AS304" s="12"/>
      <c r="AT304" s="12"/>
      <c r="AU304" s="12"/>
      <c r="AV304" s="12"/>
      <c r="AW304" s="12"/>
      <c r="AX304" s="13"/>
      <c r="AY304" s="12"/>
      <c r="AZ304" s="12" t="str">
        <f>IF(AND(A304="",B304="",E304="",G304="",I304="",AV304="",AX304=""),"",IF(OR(B304="skip",AV304="skip"),"SKIP",IF(OR(B304="to_candidate",AV304="proposed_name"),IF(OR(A304="",AW304="",AX304="",COUNTIF($A$6:$A$505,A304)&gt;1),"REVIEW","TO_PROPOSED"),IF(OR(B304="",A304="",E304="",G304="",I304="",U304="",AV304="",COUNTIF($A$6:$A$505,A304)&gt;1,(COUNTIFS('أرقام التواصل'!$A$6:$A$505,"client",'أرقام التواصل'!$B$6:$B$505,A304,'أرقام التواصل'!$I$6:$I$505,"TRUE")+COUNTIFS('أرقام التواصل'!$A$6:$A$505,"client",'أرقام التواصل'!$B$6:$B$505,A304,'أرقام التواصل'!$C$6:$C$505,1))=0),"REVIEW","READY"))))</f>
        <v/>
      </c>
      <c r="BA304" s="16" t="str">
        <f>IF(AZ304="","",IF(OR(AZ304="READY",AZ304="TO_PROPOSED"),"",IF(AZ304="SKIP","Skipped by decision",TRIM(IF(B304="","missing import_action; ","")&amp;IF(A304="","missing migration_customer_key; ","")&amp;IF(AND(A304&lt;&gt;"",COUNTIF($A$6:$A$505,A304)&gt;1),"duplicate migration_customer_key; ","")&amp;IF(AND(NOT(OR(B304="to_candidate",AV304="proposed_name")),E304=""),"missing branch_id; ","")&amp;IF(AND(NOT(OR(B304="to_candidate",AV304="proposed_name")),G304=""),"missing first_name; ","")&amp;IF(AND(NOT(OR(B304="to_candidate",AV304="proposed_name")),I304=""),"missing last_name; ","")&amp;IF(AND(NOT(OR(B304="to_candidate",AV304="proposed_name")),U304=""),"missing final_geo_unit_id; ","")&amp;IF(AV304="","missing final_destination; ","")&amp;IF(AND(NOT(OR(B304="to_candidate",AV304="proposed_name")),(COUNTIFS('أرقام التواصل'!$A$6:$A$505,"client",'أرقام التواصل'!$B$6:$B$505,A304,'أرقام التواصل'!$I$6:$I$505,"TRUE")+COUNTIFS('أرقام التواصل'!$A$6:$A$505,"client",'أرقام التواصل'!$B$6:$B$505,A304,'أرقام التواصل'!$C$6:$C$505,1))=0),"missing primary contact in أرقام التواصل; ","")&amp;IF(OR(B304="to_candidate",AV304="proposed_name"),IF(AW304="","missing proposed_move_reason; ","")&amp;IF(AX304="","missing proposed_name_key; ",""),"")))))</f>
        <v/>
      </c>
    </row>
    <row r="305" spans="1:53">
      <c r="A305" s="11"/>
      <c r="B305" s="12"/>
      <c r="C305" s="13"/>
      <c r="D305" s="12"/>
      <c r="E305" s="12"/>
      <c r="F305" s="12"/>
      <c r="G305" s="12"/>
      <c r="H305" s="12"/>
      <c r="I305" s="12"/>
      <c r="J305" s="12"/>
      <c r="K305" s="12" t="str">
        <f t="shared" si="7"/>
        <v/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 t="str">
        <f t="shared" si="8"/>
        <v/>
      </c>
      <c r="V305" s="12"/>
      <c r="W305" s="14"/>
      <c r="X305" s="14"/>
      <c r="Y305" s="13"/>
      <c r="Z305" s="12"/>
      <c r="AA305" s="12"/>
      <c r="AB305" s="12"/>
      <c r="AC305" s="12"/>
      <c r="AD305" s="15"/>
      <c r="AE305" s="12"/>
      <c r="AF305" s="13"/>
      <c r="AG305" s="12"/>
      <c r="AH305" s="12"/>
      <c r="AI305" s="15"/>
      <c r="AJ305" s="12"/>
      <c r="AK305" s="12"/>
      <c r="AL305" s="12"/>
      <c r="AM305" s="12"/>
      <c r="AN305" s="12"/>
      <c r="AO305" s="12"/>
      <c r="AP305" s="12"/>
      <c r="AQ305" s="15"/>
      <c r="AR305" s="12"/>
      <c r="AS305" s="12"/>
      <c r="AT305" s="12"/>
      <c r="AU305" s="12"/>
      <c r="AV305" s="12"/>
      <c r="AW305" s="12"/>
      <c r="AX305" s="13"/>
      <c r="AY305" s="12"/>
      <c r="AZ305" s="12" t="str">
        <f>IF(AND(A305="",B305="",E305="",G305="",I305="",AV305="",AX305=""),"",IF(OR(B305="skip",AV305="skip"),"SKIP",IF(OR(B305="to_candidate",AV305="proposed_name"),IF(OR(A305="",AW305="",AX305="",COUNTIF($A$6:$A$505,A305)&gt;1),"REVIEW","TO_PROPOSED"),IF(OR(B305="",A305="",E305="",G305="",I305="",U305="",AV305="",COUNTIF($A$6:$A$505,A305)&gt;1,(COUNTIFS('أرقام التواصل'!$A$6:$A$505,"client",'أرقام التواصل'!$B$6:$B$505,A305,'أرقام التواصل'!$I$6:$I$505,"TRUE")+COUNTIFS('أرقام التواصل'!$A$6:$A$505,"client",'أرقام التواصل'!$B$6:$B$505,A305,'أرقام التواصل'!$C$6:$C$505,1))=0),"REVIEW","READY"))))</f>
        <v/>
      </c>
      <c r="BA305" s="16" t="str">
        <f>IF(AZ305="","",IF(OR(AZ305="READY",AZ305="TO_PROPOSED"),"",IF(AZ305="SKIP","Skipped by decision",TRIM(IF(B305="","missing import_action; ","")&amp;IF(A305="","missing migration_customer_key; ","")&amp;IF(AND(A305&lt;&gt;"",COUNTIF($A$6:$A$505,A305)&gt;1),"duplicate migration_customer_key; ","")&amp;IF(AND(NOT(OR(B305="to_candidate",AV305="proposed_name")),E305=""),"missing branch_id; ","")&amp;IF(AND(NOT(OR(B305="to_candidate",AV305="proposed_name")),G305=""),"missing first_name; ","")&amp;IF(AND(NOT(OR(B305="to_candidate",AV305="proposed_name")),I305=""),"missing last_name; ","")&amp;IF(AND(NOT(OR(B305="to_candidate",AV305="proposed_name")),U305=""),"missing final_geo_unit_id; ","")&amp;IF(AV305="","missing final_destination; ","")&amp;IF(AND(NOT(OR(B305="to_candidate",AV305="proposed_name")),(COUNTIFS('أرقام التواصل'!$A$6:$A$505,"client",'أرقام التواصل'!$B$6:$B$505,A305,'أرقام التواصل'!$I$6:$I$505,"TRUE")+COUNTIFS('أرقام التواصل'!$A$6:$A$505,"client",'أرقام التواصل'!$B$6:$B$505,A305,'أرقام التواصل'!$C$6:$C$505,1))=0),"missing primary contact in أرقام التواصل; ","")&amp;IF(OR(B305="to_candidate",AV305="proposed_name"),IF(AW305="","missing proposed_move_reason; ","")&amp;IF(AX305="","missing proposed_name_key; ",""),"")))))</f>
        <v/>
      </c>
    </row>
    <row r="306" spans="1:53">
      <c r="A306" s="11"/>
      <c r="B306" s="12"/>
      <c r="C306" s="13"/>
      <c r="D306" s="12"/>
      <c r="E306" s="12"/>
      <c r="F306" s="12"/>
      <c r="G306" s="12"/>
      <c r="H306" s="12"/>
      <c r="I306" s="12"/>
      <c r="J306" s="12"/>
      <c r="K306" s="12" t="str">
        <f t="shared" si="7"/>
        <v/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 t="str">
        <f t="shared" si="8"/>
        <v/>
      </c>
      <c r="V306" s="12"/>
      <c r="W306" s="14"/>
      <c r="X306" s="14"/>
      <c r="Y306" s="13"/>
      <c r="Z306" s="12"/>
      <c r="AA306" s="12"/>
      <c r="AB306" s="12"/>
      <c r="AC306" s="12"/>
      <c r="AD306" s="15"/>
      <c r="AE306" s="12"/>
      <c r="AF306" s="13"/>
      <c r="AG306" s="12"/>
      <c r="AH306" s="12"/>
      <c r="AI306" s="15"/>
      <c r="AJ306" s="12"/>
      <c r="AK306" s="12"/>
      <c r="AL306" s="12"/>
      <c r="AM306" s="12"/>
      <c r="AN306" s="12"/>
      <c r="AO306" s="12"/>
      <c r="AP306" s="12"/>
      <c r="AQ306" s="15"/>
      <c r="AR306" s="12"/>
      <c r="AS306" s="12"/>
      <c r="AT306" s="12"/>
      <c r="AU306" s="12"/>
      <c r="AV306" s="12"/>
      <c r="AW306" s="12"/>
      <c r="AX306" s="13"/>
      <c r="AY306" s="12"/>
      <c r="AZ306" s="12" t="str">
        <f>IF(AND(A306="",B306="",E306="",G306="",I306="",AV306="",AX306=""),"",IF(OR(B306="skip",AV306="skip"),"SKIP",IF(OR(B306="to_candidate",AV306="proposed_name"),IF(OR(A306="",AW306="",AX306="",COUNTIF($A$6:$A$505,A306)&gt;1),"REVIEW","TO_PROPOSED"),IF(OR(B306="",A306="",E306="",G306="",I306="",U306="",AV306="",COUNTIF($A$6:$A$505,A306)&gt;1,(COUNTIFS('أرقام التواصل'!$A$6:$A$505,"client",'أرقام التواصل'!$B$6:$B$505,A306,'أرقام التواصل'!$I$6:$I$505,"TRUE")+COUNTIFS('أرقام التواصل'!$A$6:$A$505,"client",'أرقام التواصل'!$B$6:$B$505,A306,'أرقام التواصل'!$C$6:$C$505,1))=0),"REVIEW","READY"))))</f>
        <v/>
      </c>
      <c r="BA306" s="16" t="str">
        <f>IF(AZ306="","",IF(OR(AZ306="READY",AZ306="TO_PROPOSED"),"",IF(AZ306="SKIP","Skipped by decision",TRIM(IF(B306="","missing import_action; ","")&amp;IF(A306="","missing migration_customer_key; ","")&amp;IF(AND(A306&lt;&gt;"",COUNTIF($A$6:$A$505,A306)&gt;1),"duplicate migration_customer_key; ","")&amp;IF(AND(NOT(OR(B306="to_candidate",AV306="proposed_name")),E306=""),"missing branch_id; ","")&amp;IF(AND(NOT(OR(B306="to_candidate",AV306="proposed_name")),G306=""),"missing first_name; ","")&amp;IF(AND(NOT(OR(B306="to_candidate",AV306="proposed_name")),I306=""),"missing last_name; ","")&amp;IF(AND(NOT(OR(B306="to_candidate",AV306="proposed_name")),U306=""),"missing final_geo_unit_id; ","")&amp;IF(AV306="","missing final_destination; ","")&amp;IF(AND(NOT(OR(B306="to_candidate",AV306="proposed_name")),(COUNTIFS('أرقام التواصل'!$A$6:$A$505,"client",'أرقام التواصل'!$B$6:$B$505,A306,'أرقام التواصل'!$I$6:$I$505,"TRUE")+COUNTIFS('أرقام التواصل'!$A$6:$A$505,"client",'أرقام التواصل'!$B$6:$B$505,A306,'أرقام التواصل'!$C$6:$C$505,1))=0),"missing primary contact in أرقام التواصل; ","")&amp;IF(OR(B306="to_candidate",AV306="proposed_name"),IF(AW306="","missing proposed_move_reason; ","")&amp;IF(AX306="","missing proposed_name_key; ",""),"")))))</f>
        <v/>
      </c>
    </row>
    <row r="307" spans="1:53">
      <c r="A307" s="11"/>
      <c r="B307" s="12"/>
      <c r="C307" s="13"/>
      <c r="D307" s="12"/>
      <c r="E307" s="12"/>
      <c r="F307" s="12"/>
      <c r="G307" s="12"/>
      <c r="H307" s="12"/>
      <c r="I307" s="12"/>
      <c r="J307" s="12"/>
      <c r="K307" s="12" t="str">
        <f t="shared" si="7"/>
        <v/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 t="str">
        <f t="shared" si="8"/>
        <v/>
      </c>
      <c r="V307" s="12"/>
      <c r="W307" s="14"/>
      <c r="X307" s="14"/>
      <c r="Y307" s="13"/>
      <c r="Z307" s="12"/>
      <c r="AA307" s="12"/>
      <c r="AB307" s="12"/>
      <c r="AC307" s="12"/>
      <c r="AD307" s="15"/>
      <c r="AE307" s="12"/>
      <c r="AF307" s="13"/>
      <c r="AG307" s="12"/>
      <c r="AH307" s="12"/>
      <c r="AI307" s="15"/>
      <c r="AJ307" s="12"/>
      <c r="AK307" s="12"/>
      <c r="AL307" s="12"/>
      <c r="AM307" s="12"/>
      <c r="AN307" s="12"/>
      <c r="AO307" s="12"/>
      <c r="AP307" s="12"/>
      <c r="AQ307" s="15"/>
      <c r="AR307" s="12"/>
      <c r="AS307" s="12"/>
      <c r="AT307" s="12"/>
      <c r="AU307" s="12"/>
      <c r="AV307" s="12"/>
      <c r="AW307" s="12"/>
      <c r="AX307" s="13"/>
      <c r="AY307" s="12"/>
      <c r="AZ307" s="12" t="str">
        <f>IF(AND(A307="",B307="",E307="",G307="",I307="",AV307="",AX307=""),"",IF(OR(B307="skip",AV307="skip"),"SKIP",IF(OR(B307="to_candidate",AV307="proposed_name"),IF(OR(A307="",AW307="",AX307="",COUNTIF($A$6:$A$505,A307)&gt;1),"REVIEW","TO_PROPOSED"),IF(OR(B307="",A307="",E307="",G307="",I307="",U307="",AV307="",COUNTIF($A$6:$A$505,A307)&gt;1,(COUNTIFS('أرقام التواصل'!$A$6:$A$505,"client",'أرقام التواصل'!$B$6:$B$505,A307,'أرقام التواصل'!$I$6:$I$505,"TRUE")+COUNTIFS('أرقام التواصل'!$A$6:$A$505,"client",'أرقام التواصل'!$B$6:$B$505,A307,'أرقام التواصل'!$C$6:$C$505,1))=0),"REVIEW","READY"))))</f>
        <v/>
      </c>
      <c r="BA307" s="16" t="str">
        <f>IF(AZ307="","",IF(OR(AZ307="READY",AZ307="TO_PROPOSED"),"",IF(AZ307="SKIP","Skipped by decision",TRIM(IF(B307="","missing import_action; ","")&amp;IF(A307="","missing migration_customer_key; ","")&amp;IF(AND(A307&lt;&gt;"",COUNTIF($A$6:$A$505,A307)&gt;1),"duplicate migration_customer_key; ","")&amp;IF(AND(NOT(OR(B307="to_candidate",AV307="proposed_name")),E307=""),"missing branch_id; ","")&amp;IF(AND(NOT(OR(B307="to_candidate",AV307="proposed_name")),G307=""),"missing first_name; ","")&amp;IF(AND(NOT(OR(B307="to_candidate",AV307="proposed_name")),I307=""),"missing last_name; ","")&amp;IF(AND(NOT(OR(B307="to_candidate",AV307="proposed_name")),U307=""),"missing final_geo_unit_id; ","")&amp;IF(AV307="","missing final_destination; ","")&amp;IF(AND(NOT(OR(B307="to_candidate",AV307="proposed_name")),(COUNTIFS('أرقام التواصل'!$A$6:$A$505,"client",'أرقام التواصل'!$B$6:$B$505,A307,'أرقام التواصل'!$I$6:$I$505,"TRUE")+COUNTIFS('أرقام التواصل'!$A$6:$A$505,"client",'أرقام التواصل'!$B$6:$B$505,A307,'أرقام التواصل'!$C$6:$C$505,1))=0),"missing primary contact in أرقام التواصل; ","")&amp;IF(OR(B307="to_candidate",AV307="proposed_name"),IF(AW307="","missing proposed_move_reason; ","")&amp;IF(AX307="","missing proposed_name_key; ",""),"")))))</f>
        <v/>
      </c>
    </row>
    <row r="308" spans="1:53">
      <c r="A308" s="11"/>
      <c r="B308" s="12"/>
      <c r="C308" s="13"/>
      <c r="D308" s="12"/>
      <c r="E308" s="12"/>
      <c r="F308" s="12"/>
      <c r="G308" s="12"/>
      <c r="H308" s="12"/>
      <c r="I308" s="12"/>
      <c r="J308" s="12"/>
      <c r="K308" s="12" t="str">
        <f t="shared" si="7"/>
        <v/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 t="str">
        <f t="shared" si="8"/>
        <v/>
      </c>
      <c r="V308" s="12"/>
      <c r="W308" s="14"/>
      <c r="X308" s="14"/>
      <c r="Y308" s="13"/>
      <c r="Z308" s="12"/>
      <c r="AA308" s="12"/>
      <c r="AB308" s="12"/>
      <c r="AC308" s="12"/>
      <c r="AD308" s="15"/>
      <c r="AE308" s="12"/>
      <c r="AF308" s="13"/>
      <c r="AG308" s="12"/>
      <c r="AH308" s="12"/>
      <c r="AI308" s="15"/>
      <c r="AJ308" s="12"/>
      <c r="AK308" s="12"/>
      <c r="AL308" s="12"/>
      <c r="AM308" s="12"/>
      <c r="AN308" s="12"/>
      <c r="AO308" s="12"/>
      <c r="AP308" s="12"/>
      <c r="AQ308" s="15"/>
      <c r="AR308" s="12"/>
      <c r="AS308" s="12"/>
      <c r="AT308" s="12"/>
      <c r="AU308" s="12"/>
      <c r="AV308" s="12"/>
      <c r="AW308" s="12"/>
      <c r="AX308" s="13"/>
      <c r="AY308" s="12"/>
      <c r="AZ308" s="12" t="str">
        <f>IF(AND(A308="",B308="",E308="",G308="",I308="",AV308="",AX308=""),"",IF(OR(B308="skip",AV308="skip"),"SKIP",IF(OR(B308="to_candidate",AV308="proposed_name"),IF(OR(A308="",AW308="",AX308="",COUNTIF($A$6:$A$505,A308)&gt;1),"REVIEW","TO_PROPOSED"),IF(OR(B308="",A308="",E308="",G308="",I308="",U308="",AV308="",COUNTIF($A$6:$A$505,A308)&gt;1,(COUNTIFS('أرقام التواصل'!$A$6:$A$505,"client",'أرقام التواصل'!$B$6:$B$505,A308,'أرقام التواصل'!$I$6:$I$505,"TRUE")+COUNTIFS('أرقام التواصل'!$A$6:$A$505,"client",'أرقام التواصل'!$B$6:$B$505,A308,'أرقام التواصل'!$C$6:$C$505,1))=0),"REVIEW","READY"))))</f>
        <v/>
      </c>
      <c r="BA308" s="16" t="str">
        <f>IF(AZ308="","",IF(OR(AZ308="READY",AZ308="TO_PROPOSED"),"",IF(AZ308="SKIP","Skipped by decision",TRIM(IF(B308="","missing import_action; ","")&amp;IF(A308="","missing migration_customer_key; ","")&amp;IF(AND(A308&lt;&gt;"",COUNTIF($A$6:$A$505,A308)&gt;1),"duplicate migration_customer_key; ","")&amp;IF(AND(NOT(OR(B308="to_candidate",AV308="proposed_name")),E308=""),"missing branch_id; ","")&amp;IF(AND(NOT(OR(B308="to_candidate",AV308="proposed_name")),G308=""),"missing first_name; ","")&amp;IF(AND(NOT(OR(B308="to_candidate",AV308="proposed_name")),I308=""),"missing last_name; ","")&amp;IF(AND(NOT(OR(B308="to_candidate",AV308="proposed_name")),U308=""),"missing final_geo_unit_id; ","")&amp;IF(AV308="","missing final_destination; ","")&amp;IF(AND(NOT(OR(B308="to_candidate",AV308="proposed_name")),(COUNTIFS('أرقام التواصل'!$A$6:$A$505,"client",'أرقام التواصل'!$B$6:$B$505,A308,'أرقام التواصل'!$I$6:$I$505,"TRUE")+COUNTIFS('أرقام التواصل'!$A$6:$A$505,"client",'أرقام التواصل'!$B$6:$B$505,A308,'أرقام التواصل'!$C$6:$C$505,1))=0),"missing primary contact in أرقام التواصل; ","")&amp;IF(OR(B308="to_candidate",AV308="proposed_name"),IF(AW308="","missing proposed_move_reason; ","")&amp;IF(AX308="","missing proposed_name_key; ",""),"")))))</f>
        <v/>
      </c>
    </row>
    <row r="309" spans="1:53">
      <c r="A309" s="11"/>
      <c r="B309" s="12"/>
      <c r="C309" s="13"/>
      <c r="D309" s="12"/>
      <c r="E309" s="12"/>
      <c r="F309" s="12"/>
      <c r="G309" s="12"/>
      <c r="H309" s="12"/>
      <c r="I309" s="12"/>
      <c r="J309" s="12"/>
      <c r="K309" s="12" t="str">
        <f t="shared" si="7"/>
        <v/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 t="str">
        <f t="shared" si="8"/>
        <v/>
      </c>
      <c r="V309" s="12"/>
      <c r="W309" s="14"/>
      <c r="X309" s="14"/>
      <c r="Y309" s="13"/>
      <c r="Z309" s="12"/>
      <c r="AA309" s="12"/>
      <c r="AB309" s="12"/>
      <c r="AC309" s="12"/>
      <c r="AD309" s="15"/>
      <c r="AE309" s="12"/>
      <c r="AF309" s="13"/>
      <c r="AG309" s="12"/>
      <c r="AH309" s="12"/>
      <c r="AI309" s="15"/>
      <c r="AJ309" s="12"/>
      <c r="AK309" s="12"/>
      <c r="AL309" s="12"/>
      <c r="AM309" s="12"/>
      <c r="AN309" s="12"/>
      <c r="AO309" s="12"/>
      <c r="AP309" s="12"/>
      <c r="AQ309" s="15"/>
      <c r="AR309" s="12"/>
      <c r="AS309" s="12"/>
      <c r="AT309" s="12"/>
      <c r="AU309" s="12"/>
      <c r="AV309" s="12"/>
      <c r="AW309" s="12"/>
      <c r="AX309" s="13"/>
      <c r="AY309" s="12"/>
      <c r="AZ309" s="12" t="str">
        <f>IF(AND(A309="",B309="",E309="",G309="",I309="",AV309="",AX309=""),"",IF(OR(B309="skip",AV309="skip"),"SKIP",IF(OR(B309="to_candidate",AV309="proposed_name"),IF(OR(A309="",AW309="",AX309="",COUNTIF($A$6:$A$505,A309)&gt;1),"REVIEW","TO_PROPOSED"),IF(OR(B309="",A309="",E309="",G309="",I309="",U309="",AV309="",COUNTIF($A$6:$A$505,A309)&gt;1,(COUNTIFS('أرقام التواصل'!$A$6:$A$505,"client",'أرقام التواصل'!$B$6:$B$505,A309,'أرقام التواصل'!$I$6:$I$505,"TRUE")+COUNTIFS('أرقام التواصل'!$A$6:$A$505,"client",'أرقام التواصل'!$B$6:$B$505,A309,'أرقام التواصل'!$C$6:$C$505,1))=0),"REVIEW","READY"))))</f>
        <v/>
      </c>
      <c r="BA309" s="16" t="str">
        <f>IF(AZ309="","",IF(OR(AZ309="READY",AZ309="TO_PROPOSED"),"",IF(AZ309="SKIP","Skipped by decision",TRIM(IF(B309="","missing import_action; ","")&amp;IF(A309="","missing migration_customer_key; ","")&amp;IF(AND(A309&lt;&gt;"",COUNTIF($A$6:$A$505,A309)&gt;1),"duplicate migration_customer_key; ","")&amp;IF(AND(NOT(OR(B309="to_candidate",AV309="proposed_name")),E309=""),"missing branch_id; ","")&amp;IF(AND(NOT(OR(B309="to_candidate",AV309="proposed_name")),G309=""),"missing first_name; ","")&amp;IF(AND(NOT(OR(B309="to_candidate",AV309="proposed_name")),I309=""),"missing last_name; ","")&amp;IF(AND(NOT(OR(B309="to_candidate",AV309="proposed_name")),U309=""),"missing final_geo_unit_id; ","")&amp;IF(AV309="","missing final_destination; ","")&amp;IF(AND(NOT(OR(B309="to_candidate",AV309="proposed_name")),(COUNTIFS('أرقام التواصل'!$A$6:$A$505,"client",'أرقام التواصل'!$B$6:$B$505,A309,'أرقام التواصل'!$I$6:$I$505,"TRUE")+COUNTIFS('أرقام التواصل'!$A$6:$A$505,"client",'أرقام التواصل'!$B$6:$B$505,A309,'أرقام التواصل'!$C$6:$C$505,1))=0),"missing primary contact in أرقام التواصل; ","")&amp;IF(OR(B309="to_candidate",AV309="proposed_name"),IF(AW309="","missing proposed_move_reason; ","")&amp;IF(AX309="","missing proposed_name_key; ",""),"")))))</f>
        <v/>
      </c>
    </row>
    <row r="310" spans="1:53">
      <c r="A310" s="11"/>
      <c r="B310" s="12"/>
      <c r="C310" s="13"/>
      <c r="D310" s="12"/>
      <c r="E310" s="12"/>
      <c r="F310" s="12"/>
      <c r="G310" s="12"/>
      <c r="H310" s="12"/>
      <c r="I310" s="12"/>
      <c r="J310" s="12"/>
      <c r="K310" s="12" t="str">
        <f t="shared" si="7"/>
        <v/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 t="str">
        <f t="shared" si="8"/>
        <v/>
      </c>
      <c r="V310" s="12"/>
      <c r="W310" s="14"/>
      <c r="X310" s="14"/>
      <c r="Y310" s="13"/>
      <c r="Z310" s="12"/>
      <c r="AA310" s="12"/>
      <c r="AB310" s="12"/>
      <c r="AC310" s="12"/>
      <c r="AD310" s="15"/>
      <c r="AE310" s="12"/>
      <c r="AF310" s="13"/>
      <c r="AG310" s="12"/>
      <c r="AH310" s="12"/>
      <c r="AI310" s="15"/>
      <c r="AJ310" s="12"/>
      <c r="AK310" s="12"/>
      <c r="AL310" s="12"/>
      <c r="AM310" s="12"/>
      <c r="AN310" s="12"/>
      <c r="AO310" s="12"/>
      <c r="AP310" s="12"/>
      <c r="AQ310" s="15"/>
      <c r="AR310" s="12"/>
      <c r="AS310" s="12"/>
      <c r="AT310" s="12"/>
      <c r="AU310" s="12"/>
      <c r="AV310" s="12"/>
      <c r="AW310" s="12"/>
      <c r="AX310" s="13"/>
      <c r="AY310" s="12"/>
      <c r="AZ310" s="12" t="str">
        <f>IF(AND(A310="",B310="",E310="",G310="",I310="",AV310="",AX310=""),"",IF(OR(B310="skip",AV310="skip"),"SKIP",IF(OR(B310="to_candidate",AV310="proposed_name"),IF(OR(A310="",AW310="",AX310="",COUNTIF($A$6:$A$505,A310)&gt;1),"REVIEW","TO_PROPOSED"),IF(OR(B310="",A310="",E310="",G310="",I310="",U310="",AV310="",COUNTIF($A$6:$A$505,A310)&gt;1,(COUNTIFS('أرقام التواصل'!$A$6:$A$505,"client",'أرقام التواصل'!$B$6:$B$505,A310,'أرقام التواصل'!$I$6:$I$505,"TRUE")+COUNTIFS('أرقام التواصل'!$A$6:$A$505,"client",'أرقام التواصل'!$B$6:$B$505,A310,'أرقام التواصل'!$C$6:$C$505,1))=0),"REVIEW","READY"))))</f>
        <v/>
      </c>
      <c r="BA310" s="16" t="str">
        <f>IF(AZ310="","",IF(OR(AZ310="READY",AZ310="TO_PROPOSED"),"",IF(AZ310="SKIP","Skipped by decision",TRIM(IF(B310="","missing import_action; ","")&amp;IF(A310="","missing migration_customer_key; ","")&amp;IF(AND(A310&lt;&gt;"",COUNTIF($A$6:$A$505,A310)&gt;1),"duplicate migration_customer_key; ","")&amp;IF(AND(NOT(OR(B310="to_candidate",AV310="proposed_name")),E310=""),"missing branch_id; ","")&amp;IF(AND(NOT(OR(B310="to_candidate",AV310="proposed_name")),G310=""),"missing first_name; ","")&amp;IF(AND(NOT(OR(B310="to_candidate",AV310="proposed_name")),I310=""),"missing last_name; ","")&amp;IF(AND(NOT(OR(B310="to_candidate",AV310="proposed_name")),U310=""),"missing final_geo_unit_id; ","")&amp;IF(AV310="","missing final_destination; ","")&amp;IF(AND(NOT(OR(B310="to_candidate",AV310="proposed_name")),(COUNTIFS('أرقام التواصل'!$A$6:$A$505,"client",'أرقام التواصل'!$B$6:$B$505,A310,'أرقام التواصل'!$I$6:$I$505,"TRUE")+COUNTIFS('أرقام التواصل'!$A$6:$A$505,"client",'أرقام التواصل'!$B$6:$B$505,A310,'أرقام التواصل'!$C$6:$C$505,1))=0),"missing primary contact in أرقام التواصل; ","")&amp;IF(OR(B310="to_candidate",AV310="proposed_name"),IF(AW310="","missing proposed_move_reason; ","")&amp;IF(AX310="","missing proposed_name_key; ",""),"")))))</f>
        <v/>
      </c>
    </row>
    <row r="311" spans="1:53">
      <c r="A311" s="11"/>
      <c r="B311" s="12"/>
      <c r="C311" s="13"/>
      <c r="D311" s="12"/>
      <c r="E311" s="12"/>
      <c r="F311" s="12"/>
      <c r="G311" s="12"/>
      <c r="H311" s="12"/>
      <c r="I311" s="12"/>
      <c r="J311" s="12"/>
      <c r="K311" s="12" t="str">
        <f t="shared" si="7"/>
        <v/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 t="str">
        <f t="shared" si="8"/>
        <v/>
      </c>
      <c r="V311" s="12"/>
      <c r="W311" s="14"/>
      <c r="X311" s="14"/>
      <c r="Y311" s="13"/>
      <c r="Z311" s="12"/>
      <c r="AA311" s="12"/>
      <c r="AB311" s="12"/>
      <c r="AC311" s="12"/>
      <c r="AD311" s="15"/>
      <c r="AE311" s="12"/>
      <c r="AF311" s="13"/>
      <c r="AG311" s="12"/>
      <c r="AH311" s="12"/>
      <c r="AI311" s="15"/>
      <c r="AJ311" s="12"/>
      <c r="AK311" s="12"/>
      <c r="AL311" s="12"/>
      <c r="AM311" s="12"/>
      <c r="AN311" s="12"/>
      <c r="AO311" s="12"/>
      <c r="AP311" s="12"/>
      <c r="AQ311" s="15"/>
      <c r="AR311" s="12"/>
      <c r="AS311" s="12"/>
      <c r="AT311" s="12"/>
      <c r="AU311" s="12"/>
      <c r="AV311" s="12"/>
      <c r="AW311" s="12"/>
      <c r="AX311" s="13"/>
      <c r="AY311" s="12"/>
      <c r="AZ311" s="12" t="str">
        <f>IF(AND(A311="",B311="",E311="",G311="",I311="",AV311="",AX311=""),"",IF(OR(B311="skip",AV311="skip"),"SKIP",IF(OR(B311="to_candidate",AV311="proposed_name"),IF(OR(A311="",AW311="",AX311="",COUNTIF($A$6:$A$505,A311)&gt;1),"REVIEW","TO_PROPOSED"),IF(OR(B311="",A311="",E311="",G311="",I311="",U311="",AV311="",COUNTIF($A$6:$A$505,A311)&gt;1,(COUNTIFS('أرقام التواصل'!$A$6:$A$505,"client",'أرقام التواصل'!$B$6:$B$505,A311,'أرقام التواصل'!$I$6:$I$505,"TRUE")+COUNTIFS('أرقام التواصل'!$A$6:$A$505,"client",'أرقام التواصل'!$B$6:$B$505,A311,'أرقام التواصل'!$C$6:$C$505,1))=0),"REVIEW","READY"))))</f>
        <v/>
      </c>
      <c r="BA311" s="16" t="str">
        <f>IF(AZ311="","",IF(OR(AZ311="READY",AZ311="TO_PROPOSED"),"",IF(AZ311="SKIP","Skipped by decision",TRIM(IF(B311="","missing import_action; ","")&amp;IF(A311="","missing migration_customer_key; ","")&amp;IF(AND(A311&lt;&gt;"",COUNTIF($A$6:$A$505,A311)&gt;1),"duplicate migration_customer_key; ","")&amp;IF(AND(NOT(OR(B311="to_candidate",AV311="proposed_name")),E311=""),"missing branch_id; ","")&amp;IF(AND(NOT(OR(B311="to_candidate",AV311="proposed_name")),G311=""),"missing first_name; ","")&amp;IF(AND(NOT(OR(B311="to_candidate",AV311="proposed_name")),I311=""),"missing last_name; ","")&amp;IF(AND(NOT(OR(B311="to_candidate",AV311="proposed_name")),U311=""),"missing final_geo_unit_id; ","")&amp;IF(AV311="","missing final_destination; ","")&amp;IF(AND(NOT(OR(B311="to_candidate",AV311="proposed_name")),(COUNTIFS('أرقام التواصل'!$A$6:$A$505,"client",'أرقام التواصل'!$B$6:$B$505,A311,'أرقام التواصل'!$I$6:$I$505,"TRUE")+COUNTIFS('أرقام التواصل'!$A$6:$A$505,"client",'أرقام التواصل'!$B$6:$B$505,A311,'أرقام التواصل'!$C$6:$C$505,1))=0),"missing primary contact in أرقام التواصل; ","")&amp;IF(OR(B311="to_candidate",AV311="proposed_name"),IF(AW311="","missing proposed_move_reason; ","")&amp;IF(AX311="","missing proposed_name_key; ",""),"")))))</f>
        <v/>
      </c>
    </row>
    <row r="312" spans="1:53">
      <c r="A312" s="11"/>
      <c r="B312" s="12"/>
      <c r="C312" s="13"/>
      <c r="D312" s="12"/>
      <c r="E312" s="12"/>
      <c r="F312" s="12"/>
      <c r="G312" s="12"/>
      <c r="H312" s="12"/>
      <c r="I312" s="12"/>
      <c r="J312" s="12"/>
      <c r="K312" s="12" t="str">
        <f t="shared" si="7"/>
        <v/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 t="str">
        <f t="shared" si="8"/>
        <v/>
      </c>
      <c r="V312" s="12"/>
      <c r="W312" s="14"/>
      <c r="X312" s="14"/>
      <c r="Y312" s="13"/>
      <c r="Z312" s="12"/>
      <c r="AA312" s="12"/>
      <c r="AB312" s="12"/>
      <c r="AC312" s="12"/>
      <c r="AD312" s="15"/>
      <c r="AE312" s="12"/>
      <c r="AF312" s="13"/>
      <c r="AG312" s="12"/>
      <c r="AH312" s="12"/>
      <c r="AI312" s="15"/>
      <c r="AJ312" s="12"/>
      <c r="AK312" s="12"/>
      <c r="AL312" s="12"/>
      <c r="AM312" s="12"/>
      <c r="AN312" s="12"/>
      <c r="AO312" s="12"/>
      <c r="AP312" s="12"/>
      <c r="AQ312" s="15"/>
      <c r="AR312" s="12"/>
      <c r="AS312" s="12"/>
      <c r="AT312" s="12"/>
      <c r="AU312" s="12"/>
      <c r="AV312" s="12"/>
      <c r="AW312" s="12"/>
      <c r="AX312" s="13"/>
      <c r="AY312" s="12"/>
      <c r="AZ312" s="12" t="str">
        <f>IF(AND(A312="",B312="",E312="",G312="",I312="",AV312="",AX312=""),"",IF(OR(B312="skip",AV312="skip"),"SKIP",IF(OR(B312="to_candidate",AV312="proposed_name"),IF(OR(A312="",AW312="",AX312="",COUNTIF($A$6:$A$505,A312)&gt;1),"REVIEW","TO_PROPOSED"),IF(OR(B312="",A312="",E312="",G312="",I312="",U312="",AV312="",COUNTIF($A$6:$A$505,A312)&gt;1,(COUNTIFS('أرقام التواصل'!$A$6:$A$505,"client",'أرقام التواصل'!$B$6:$B$505,A312,'أرقام التواصل'!$I$6:$I$505,"TRUE")+COUNTIFS('أرقام التواصل'!$A$6:$A$505,"client",'أرقام التواصل'!$B$6:$B$505,A312,'أرقام التواصل'!$C$6:$C$505,1))=0),"REVIEW","READY"))))</f>
        <v/>
      </c>
      <c r="BA312" s="16" t="str">
        <f>IF(AZ312="","",IF(OR(AZ312="READY",AZ312="TO_PROPOSED"),"",IF(AZ312="SKIP","Skipped by decision",TRIM(IF(B312="","missing import_action; ","")&amp;IF(A312="","missing migration_customer_key; ","")&amp;IF(AND(A312&lt;&gt;"",COUNTIF($A$6:$A$505,A312)&gt;1),"duplicate migration_customer_key; ","")&amp;IF(AND(NOT(OR(B312="to_candidate",AV312="proposed_name")),E312=""),"missing branch_id; ","")&amp;IF(AND(NOT(OR(B312="to_candidate",AV312="proposed_name")),G312=""),"missing first_name; ","")&amp;IF(AND(NOT(OR(B312="to_candidate",AV312="proposed_name")),I312=""),"missing last_name; ","")&amp;IF(AND(NOT(OR(B312="to_candidate",AV312="proposed_name")),U312=""),"missing final_geo_unit_id; ","")&amp;IF(AV312="","missing final_destination; ","")&amp;IF(AND(NOT(OR(B312="to_candidate",AV312="proposed_name")),(COUNTIFS('أرقام التواصل'!$A$6:$A$505,"client",'أرقام التواصل'!$B$6:$B$505,A312,'أرقام التواصل'!$I$6:$I$505,"TRUE")+COUNTIFS('أرقام التواصل'!$A$6:$A$505,"client",'أرقام التواصل'!$B$6:$B$505,A312,'أرقام التواصل'!$C$6:$C$505,1))=0),"missing primary contact in أرقام التواصل; ","")&amp;IF(OR(B312="to_candidate",AV312="proposed_name"),IF(AW312="","missing proposed_move_reason; ","")&amp;IF(AX312="","missing proposed_name_key; ",""),"")))))</f>
        <v/>
      </c>
    </row>
    <row r="313" spans="1:53">
      <c r="A313" s="11"/>
      <c r="B313" s="12"/>
      <c r="C313" s="13"/>
      <c r="D313" s="12"/>
      <c r="E313" s="12"/>
      <c r="F313" s="12"/>
      <c r="G313" s="12"/>
      <c r="H313" s="12"/>
      <c r="I313" s="12"/>
      <c r="J313" s="12"/>
      <c r="K313" s="12" t="str">
        <f t="shared" si="7"/>
        <v/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 t="str">
        <f t="shared" si="8"/>
        <v/>
      </c>
      <c r="V313" s="12"/>
      <c r="W313" s="14"/>
      <c r="X313" s="14"/>
      <c r="Y313" s="13"/>
      <c r="Z313" s="12"/>
      <c r="AA313" s="12"/>
      <c r="AB313" s="12"/>
      <c r="AC313" s="12"/>
      <c r="AD313" s="15"/>
      <c r="AE313" s="12"/>
      <c r="AF313" s="13"/>
      <c r="AG313" s="12"/>
      <c r="AH313" s="12"/>
      <c r="AI313" s="15"/>
      <c r="AJ313" s="12"/>
      <c r="AK313" s="12"/>
      <c r="AL313" s="12"/>
      <c r="AM313" s="12"/>
      <c r="AN313" s="12"/>
      <c r="AO313" s="12"/>
      <c r="AP313" s="12"/>
      <c r="AQ313" s="15"/>
      <c r="AR313" s="12"/>
      <c r="AS313" s="12"/>
      <c r="AT313" s="12"/>
      <c r="AU313" s="12"/>
      <c r="AV313" s="12"/>
      <c r="AW313" s="12"/>
      <c r="AX313" s="13"/>
      <c r="AY313" s="12"/>
      <c r="AZ313" s="12" t="str">
        <f>IF(AND(A313="",B313="",E313="",G313="",I313="",AV313="",AX313=""),"",IF(OR(B313="skip",AV313="skip"),"SKIP",IF(OR(B313="to_candidate",AV313="proposed_name"),IF(OR(A313="",AW313="",AX313="",COUNTIF($A$6:$A$505,A313)&gt;1),"REVIEW","TO_PROPOSED"),IF(OR(B313="",A313="",E313="",G313="",I313="",U313="",AV313="",COUNTIF($A$6:$A$505,A313)&gt;1,(COUNTIFS('أرقام التواصل'!$A$6:$A$505,"client",'أرقام التواصل'!$B$6:$B$505,A313,'أرقام التواصل'!$I$6:$I$505,"TRUE")+COUNTIFS('أرقام التواصل'!$A$6:$A$505,"client",'أرقام التواصل'!$B$6:$B$505,A313,'أرقام التواصل'!$C$6:$C$505,1))=0),"REVIEW","READY"))))</f>
        <v/>
      </c>
      <c r="BA313" s="16" t="str">
        <f>IF(AZ313="","",IF(OR(AZ313="READY",AZ313="TO_PROPOSED"),"",IF(AZ313="SKIP","Skipped by decision",TRIM(IF(B313="","missing import_action; ","")&amp;IF(A313="","missing migration_customer_key; ","")&amp;IF(AND(A313&lt;&gt;"",COUNTIF($A$6:$A$505,A313)&gt;1),"duplicate migration_customer_key; ","")&amp;IF(AND(NOT(OR(B313="to_candidate",AV313="proposed_name")),E313=""),"missing branch_id; ","")&amp;IF(AND(NOT(OR(B313="to_candidate",AV313="proposed_name")),G313=""),"missing first_name; ","")&amp;IF(AND(NOT(OR(B313="to_candidate",AV313="proposed_name")),I313=""),"missing last_name; ","")&amp;IF(AND(NOT(OR(B313="to_candidate",AV313="proposed_name")),U313=""),"missing final_geo_unit_id; ","")&amp;IF(AV313="","missing final_destination; ","")&amp;IF(AND(NOT(OR(B313="to_candidate",AV313="proposed_name")),(COUNTIFS('أرقام التواصل'!$A$6:$A$505,"client",'أرقام التواصل'!$B$6:$B$505,A313,'أرقام التواصل'!$I$6:$I$505,"TRUE")+COUNTIFS('أرقام التواصل'!$A$6:$A$505,"client",'أرقام التواصل'!$B$6:$B$505,A313,'أرقام التواصل'!$C$6:$C$505,1))=0),"missing primary contact in أرقام التواصل; ","")&amp;IF(OR(B313="to_candidate",AV313="proposed_name"),IF(AW313="","missing proposed_move_reason; ","")&amp;IF(AX313="","missing proposed_name_key; ",""),"")))))</f>
        <v/>
      </c>
    </row>
    <row r="314" spans="1:53">
      <c r="A314" s="11"/>
      <c r="B314" s="12"/>
      <c r="C314" s="13"/>
      <c r="D314" s="12"/>
      <c r="E314" s="12"/>
      <c r="F314" s="12"/>
      <c r="G314" s="12"/>
      <c r="H314" s="12"/>
      <c r="I314" s="12"/>
      <c r="J314" s="12"/>
      <c r="K314" s="12" t="str">
        <f t="shared" si="7"/>
        <v/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 t="str">
        <f t="shared" si="8"/>
        <v/>
      </c>
      <c r="V314" s="12"/>
      <c r="W314" s="14"/>
      <c r="X314" s="14"/>
      <c r="Y314" s="13"/>
      <c r="Z314" s="12"/>
      <c r="AA314" s="12"/>
      <c r="AB314" s="12"/>
      <c r="AC314" s="12"/>
      <c r="AD314" s="15"/>
      <c r="AE314" s="12"/>
      <c r="AF314" s="13"/>
      <c r="AG314" s="12"/>
      <c r="AH314" s="12"/>
      <c r="AI314" s="15"/>
      <c r="AJ314" s="12"/>
      <c r="AK314" s="12"/>
      <c r="AL314" s="12"/>
      <c r="AM314" s="12"/>
      <c r="AN314" s="12"/>
      <c r="AO314" s="12"/>
      <c r="AP314" s="12"/>
      <c r="AQ314" s="15"/>
      <c r="AR314" s="12"/>
      <c r="AS314" s="12"/>
      <c r="AT314" s="12"/>
      <c r="AU314" s="12"/>
      <c r="AV314" s="12"/>
      <c r="AW314" s="12"/>
      <c r="AX314" s="13"/>
      <c r="AY314" s="12"/>
      <c r="AZ314" s="12" t="str">
        <f>IF(AND(A314="",B314="",E314="",G314="",I314="",AV314="",AX314=""),"",IF(OR(B314="skip",AV314="skip"),"SKIP",IF(OR(B314="to_candidate",AV314="proposed_name"),IF(OR(A314="",AW314="",AX314="",COUNTIF($A$6:$A$505,A314)&gt;1),"REVIEW","TO_PROPOSED"),IF(OR(B314="",A314="",E314="",G314="",I314="",U314="",AV314="",COUNTIF($A$6:$A$505,A314)&gt;1,(COUNTIFS('أرقام التواصل'!$A$6:$A$505,"client",'أرقام التواصل'!$B$6:$B$505,A314,'أرقام التواصل'!$I$6:$I$505,"TRUE")+COUNTIFS('أرقام التواصل'!$A$6:$A$505,"client",'أرقام التواصل'!$B$6:$B$505,A314,'أرقام التواصل'!$C$6:$C$505,1))=0),"REVIEW","READY"))))</f>
        <v/>
      </c>
      <c r="BA314" s="16" t="str">
        <f>IF(AZ314="","",IF(OR(AZ314="READY",AZ314="TO_PROPOSED"),"",IF(AZ314="SKIP","Skipped by decision",TRIM(IF(B314="","missing import_action; ","")&amp;IF(A314="","missing migration_customer_key; ","")&amp;IF(AND(A314&lt;&gt;"",COUNTIF($A$6:$A$505,A314)&gt;1),"duplicate migration_customer_key; ","")&amp;IF(AND(NOT(OR(B314="to_candidate",AV314="proposed_name")),E314=""),"missing branch_id; ","")&amp;IF(AND(NOT(OR(B314="to_candidate",AV314="proposed_name")),G314=""),"missing first_name; ","")&amp;IF(AND(NOT(OR(B314="to_candidate",AV314="proposed_name")),I314=""),"missing last_name; ","")&amp;IF(AND(NOT(OR(B314="to_candidate",AV314="proposed_name")),U314=""),"missing final_geo_unit_id; ","")&amp;IF(AV314="","missing final_destination; ","")&amp;IF(AND(NOT(OR(B314="to_candidate",AV314="proposed_name")),(COUNTIFS('أرقام التواصل'!$A$6:$A$505,"client",'أرقام التواصل'!$B$6:$B$505,A314,'أرقام التواصل'!$I$6:$I$505,"TRUE")+COUNTIFS('أرقام التواصل'!$A$6:$A$505,"client",'أرقام التواصل'!$B$6:$B$505,A314,'أرقام التواصل'!$C$6:$C$505,1))=0),"missing primary contact in أرقام التواصل; ","")&amp;IF(OR(B314="to_candidate",AV314="proposed_name"),IF(AW314="","missing proposed_move_reason; ","")&amp;IF(AX314="","missing proposed_name_key; ",""),"")))))</f>
        <v/>
      </c>
    </row>
    <row r="315" spans="1:53">
      <c r="A315" s="11"/>
      <c r="B315" s="12"/>
      <c r="C315" s="13"/>
      <c r="D315" s="12"/>
      <c r="E315" s="12"/>
      <c r="F315" s="12"/>
      <c r="G315" s="12"/>
      <c r="H315" s="12"/>
      <c r="I315" s="12"/>
      <c r="J315" s="12"/>
      <c r="K315" s="12" t="str">
        <f t="shared" si="7"/>
        <v/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 t="str">
        <f t="shared" si="8"/>
        <v/>
      </c>
      <c r="V315" s="12"/>
      <c r="W315" s="14"/>
      <c r="X315" s="14"/>
      <c r="Y315" s="13"/>
      <c r="Z315" s="12"/>
      <c r="AA315" s="12"/>
      <c r="AB315" s="12"/>
      <c r="AC315" s="12"/>
      <c r="AD315" s="15"/>
      <c r="AE315" s="12"/>
      <c r="AF315" s="13"/>
      <c r="AG315" s="12"/>
      <c r="AH315" s="12"/>
      <c r="AI315" s="15"/>
      <c r="AJ315" s="12"/>
      <c r="AK315" s="12"/>
      <c r="AL315" s="12"/>
      <c r="AM315" s="12"/>
      <c r="AN315" s="12"/>
      <c r="AO315" s="12"/>
      <c r="AP315" s="12"/>
      <c r="AQ315" s="15"/>
      <c r="AR315" s="12"/>
      <c r="AS315" s="12"/>
      <c r="AT315" s="12"/>
      <c r="AU315" s="12"/>
      <c r="AV315" s="12"/>
      <c r="AW315" s="12"/>
      <c r="AX315" s="13"/>
      <c r="AY315" s="12"/>
      <c r="AZ315" s="12" t="str">
        <f>IF(AND(A315="",B315="",E315="",G315="",I315="",AV315="",AX315=""),"",IF(OR(B315="skip",AV315="skip"),"SKIP",IF(OR(B315="to_candidate",AV315="proposed_name"),IF(OR(A315="",AW315="",AX315="",COUNTIF($A$6:$A$505,A315)&gt;1),"REVIEW","TO_PROPOSED"),IF(OR(B315="",A315="",E315="",G315="",I315="",U315="",AV315="",COUNTIF($A$6:$A$505,A315)&gt;1,(COUNTIFS('أرقام التواصل'!$A$6:$A$505,"client",'أرقام التواصل'!$B$6:$B$505,A315,'أرقام التواصل'!$I$6:$I$505,"TRUE")+COUNTIFS('أرقام التواصل'!$A$6:$A$505,"client",'أرقام التواصل'!$B$6:$B$505,A315,'أرقام التواصل'!$C$6:$C$505,1))=0),"REVIEW","READY"))))</f>
        <v/>
      </c>
      <c r="BA315" s="16" t="str">
        <f>IF(AZ315="","",IF(OR(AZ315="READY",AZ315="TO_PROPOSED"),"",IF(AZ315="SKIP","Skipped by decision",TRIM(IF(B315="","missing import_action; ","")&amp;IF(A315="","missing migration_customer_key; ","")&amp;IF(AND(A315&lt;&gt;"",COUNTIF($A$6:$A$505,A315)&gt;1),"duplicate migration_customer_key; ","")&amp;IF(AND(NOT(OR(B315="to_candidate",AV315="proposed_name")),E315=""),"missing branch_id; ","")&amp;IF(AND(NOT(OR(B315="to_candidate",AV315="proposed_name")),G315=""),"missing first_name; ","")&amp;IF(AND(NOT(OR(B315="to_candidate",AV315="proposed_name")),I315=""),"missing last_name; ","")&amp;IF(AND(NOT(OR(B315="to_candidate",AV315="proposed_name")),U315=""),"missing final_geo_unit_id; ","")&amp;IF(AV315="","missing final_destination; ","")&amp;IF(AND(NOT(OR(B315="to_candidate",AV315="proposed_name")),(COUNTIFS('أرقام التواصل'!$A$6:$A$505,"client",'أرقام التواصل'!$B$6:$B$505,A315,'أرقام التواصل'!$I$6:$I$505,"TRUE")+COUNTIFS('أرقام التواصل'!$A$6:$A$505,"client",'أرقام التواصل'!$B$6:$B$505,A315,'أرقام التواصل'!$C$6:$C$505,1))=0),"missing primary contact in أرقام التواصل; ","")&amp;IF(OR(B315="to_candidate",AV315="proposed_name"),IF(AW315="","missing proposed_move_reason; ","")&amp;IF(AX315="","missing proposed_name_key; ",""),"")))))</f>
        <v/>
      </c>
    </row>
    <row r="316" spans="1:53">
      <c r="A316" s="11"/>
      <c r="B316" s="12"/>
      <c r="C316" s="13"/>
      <c r="D316" s="12"/>
      <c r="E316" s="12"/>
      <c r="F316" s="12"/>
      <c r="G316" s="12"/>
      <c r="H316" s="12"/>
      <c r="I316" s="12"/>
      <c r="J316" s="12"/>
      <c r="K316" s="12" t="str">
        <f t="shared" si="7"/>
        <v/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 t="str">
        <f t="shared" si="8"/>
        <v/>
      </c>
      <c r="V316" s="12"/>
      <c r="W316" s="14"/>
      <c r="X316" s="14"/>
      <c r="Y316" s="13"/>
      <c r="Z316" s="12"/>
      <c r="AA316" s="12"/>
      <c r="AB316" s="12"/>
      <c r="AC316" s="12"/>
      <c r="AD316" s="15"/>
      <c r="AE316" s="12"/>
      <c r="AF316" s="13"/>
      <c r="AG316" s="12"/>
      <c r="AH316" s="12"/>
      <c r="AI316" s="15"/>
      <c r="AJ316" s="12"/>
      <c r="AK316" s="12"/>
      <c r="AL316" s="12"/>
      <c r="AM316" s="12"/>
      <c r="AN316" s="12"/>
      <c r="AO316" s="12"/>
      <c r="AP316" s="12"/>
      <c r="AQ316" s="15"/>
      <c r="AR316" s="12"/>
      <c r="AS316" s="12"/>
      <c r="AT316" s="12"/>
      <c r="AU316" s="12"/>
      <c r="AV316" s="12"/>
      <c r="AW316" s="12"/>
      <c r="AX316" s="13"/>
      <c r="AY316" s="12"/>
      <c r="AZ316" s="12" t="str">
        <f>IF(AND(A316="",B316="",E316="",G316="",I316="",AV316="",AX316=""),"",IF(OR(B316="skip",AV316="skip"),"SKIP",IF(OR(B316="to_candidate",AV316="proposed_name"),IF(OR(A316="",AW316="",AX316="",COUNTIF($A$6:$A$505,A316)&gt;1),"REVIEW","TO_PROPOSED"),IF(OR(B316="",A316="",E316="",G316="",I316="",U316="",AV316="",COUNTIF($A$6:$A$505,A316)&gt;1,(COUNTIFS('أرقام التواصل'!$A$6:$A$505,"client",'أرقام التواصل'!$B$6:$B$505,A316,'أرقام التواصل'!$I$6:$I$505,"TRUE")+COUNTIFS('أرقام التواصل'!$A$6:$A$505,"client",'أرقام التواصل'!$B$6:$B$505,A316,'أرقام التواصل'!$C$6:$C$505,1))=0),"REVIEW","READY"))))</f>
        <v/>
      </c>
      <c r="BA316" s="16" t="str">
        <f>IF(AZ316="","",IF(OR(AZ316="READY",AZ316="TO_PROPOSED"),"",IF(AZ316="SKIP","Skipped by decision",TRIM(IF(B316="","missing import_action; ","")&amp;IF(A316="","missing migration_customer_key; ","")&amp;IF(AND(A316&lt;&gt;"",COUNTIF($A$6:$A$505,A316)&gt;1),"duplicate migration_customer_key; ","")&amp;IF(AND(NOT(OR(B316="to_candidate",AV316="proposed_name")),E316=""),"missing branch_id; ","")&amp;IF(AND(NOT(OR(B316="to_candidate",AV316="proposed_name")),G316=""),"missing first_name; ","")&amp;IF(AND(NOT(OR(B316="to_candidate",AV316="proposed_name")),I316=""),"missing last_name; ","")&amp;IF(AND(NOT(OR(B316="to_candidate",AV316="proposed_name")),U316=""),"missing final_geo_unit_id; ","")&amp;IF(AV316="","missing final_destination; ","")&amp;IF(AND(NOT(OR(B316="to_candidate",AV316="proposed_name")),(COUNTIFS('أرقام التواصل'!$A$6:$A$505,"client",'أرقام التواصل'!$B$6:$B$505,A316,'أرقام التواصل'!$I$6:$I$505,"TRUE")+COUNTIFS('أرقام التواصل'!$A$6:$A$505,"client",'أرقام التواصل'!$B$6:$B$505,A316,'أرقام التواصل'!$C$6:$C$505,1))=0),"missing primary contact in أرقام التواصل; ","")&amp;IF(OR(B316="to_candidate",AV316="proposed_name"),IF(AW316="","missing proposed_move_reason; ","")&amp;IF(AX316="","missing proposed_name_key; ",""),"")))))</f>
        <v/>
      </c>
    </row>
    <row r="317" spans="1:53">
      <c r="A317" s="11"/>
      <c r="B317" s="12"/>
      <c r="C317" s="13"/>
      <c r="D317" s="12"/>
      <c r="E317" s="12"/>
      <c r="F317" s="12"/>
      <c r="G317" s="12"/>
      <c r="H317" s="12"/>
      <c r="I317" s="12"/>
      <c r="J317" s="12"/>
      <c r="K317" s="12" t="str">
        <f t="shared" si="7"/>
        <v/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 t="str">
        <f t="shared" si="8"/>
        <v/>
      </c>
      <c r="V317" s="12"/>
      <c r="W317" s="14"/>
      <c r="X317" s="14"/>
      <c r="Y317" s="13"/>
      <c r="Z317" s="12"/>
      <c r="AA317" s="12"/>
      <c r="AB317" s="12"/>
      <c r="AC317" s="12"/>
      <c r="AD317" s="15"/>
      <c r="AE317" s="12"/>
      <c r="AF317" s="13"/>
      <c r="AG317" s="12"/>
      <c r="AH317" s="12"/>
      <c r="AI317" s="15"/>
      <c r="AJ317" s="12"/>
      <c r="AK317" s="12"/>
      <c r="AL317" s="12"/>
      <c r="AM317" s="12"/>
      <c r="AN317" s="12"/>
      <c r="AO317" s="12"/>
      <c r="AP317" s="12"/>
      <c r="AQ317" s="15"/>
      <c r="AR317" s="12"/>
      <c r="AS317" s="12"/>
      <c r="AT317" s="12"/>
      <c r="AU317" s="12"/>
      <c r="AV317" s="12"/>
      <c r="AW317" s="12"/>
      <c r="AX317" s="13"/>
      <c r="AY317" s="12"/>
      <c r="AZ317" s="12" t="str">
        <f>IF(AND(A317="",B317="",E317="",G317="",I317="",AV317="",AX317=""),"",IF(OR(B317="skip",AV317="skip"),"SKIP",IF(OR(B317="to_candidate",AV317="proposed_name"),IF(OR(A317="",AW317="",AX317="",COUNTIF($A$6:$A$505,A317)&gt;1),"REVIEW","TO_PROPOSED"),IF(OR(B317="",A317="",E317="",G317="",I317="",U317="",AV317="",COUNTIF($A$6:$A$505,A317)&gt;1,(COUNTIFS('أرقام التواصل'!$A$6:$A$505,"client",'أرقام التواصل'!$B$6:$B$505,A317,'أرقام التواصل'!$I$6:$I$505,"TRUE")+COUNTIFS('أرقام التواصل'!$A$6:$A$505,"client",'أرقام التواصل'!$B$6:$B$505,A317,'أرقام التواصل'!$C$6:$C$505,1))=0),"REVIEW","READY"))))</f>
        <v/>
      </c>
      <c r="BA317" s="16" t="str">
        <f>IF(AZ317="","",IF(OR(AZ317="READY",AZ317="TO_PROPOSED"),"",IF(AZ317="SKIP","Skipped by decision",TRIM(IF(B317="","missing import_action; ","")&amp;IF(A317="","missing migration_customer_key; ","")&amp;IF(AND(A317&lt;&gt;"",COUNTIF($A$6:$A$505,A317)&gt;1),"duplicate migration_customer_key; ","")&amp;IF(AND(NOT(OR(B317="to_candidate",AV317="proposed_name")),E317=""),"missing branch_id; ","")&amp;IF(AND(NOT(OR(B317="to_candidate",AV317="proposed_name")),G317=""),"missing first_name; ","")&amp;IF(AND(NOT(OR(B317="to_candidate",AV317="proposed_name")),I317=""),"missing last_name; ","")&amp;IF(AND(NOT(OR(B317="to_candidate",AV317="proposed_name")),U317=""),"missing final_geo_unit_id; ","")&amp;IF(AV317="","missing final_destination; ","")&amp;IF(AND(NOT(OR(B317="to_candidate",AV317="proposed_name")),(COUNTIFS('أرقام التواصل'!$A$6:$A$505,"client",'أرقام التواصل'!$B$6:$B$505,A317,'أرقام التواصل'!$I$6:$I$505,"TRUE")+COUNTIFS('أرقام التواصل'!$A$6:$A$505,"client",'أرقام التواصل'!$B$6:$B$505,A317,'أرقام التواصل'!$C$6:$C$505,1))=0),"missing primary contact in أرقام التواصل; ","")&amp;IF(OR(B317="to_candidate",AV317="proposed_name"),IF(AW317="","missing proposed_move_reason; ","")&amp;IF(AX317="","missing proposed_name_key; ",""),"")))))</f>
        <v/>
      </c>
    </row>
    <row r="318" spans="1:53">
      <c r="A318" s="11"/>
      <c r="B318" s="12"/>
      <c r="C318" s="13"/>
      <c r="D318" s="12"/>
      <c r="E318" s="12"/>
      <c r="F318" s="12"/>
      <c r="G318" s="12"/>
      <c r="H318" s="12"/>
      <c r="I318" s="12"/>
      <c r="J318" s="12"/>
      <c r="K318" s="12" t="str">
        <f t="shared" si="7"/>
        <v/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 t="str">
        <f t="shared" si="8"/>
        <v/>
      </c>
      <c r="V318" s="12"/>
      <c r="W318" s="14"/>
      <c r="X318" s="14"/>
      <c r="Y318" s="13"/>
      <c r="Z318" s="12"/>
      <c r="AA318" s="12"/>
      <c r="AB318" s="12"/>
      <c r="AC318" s="12"/>
      <c r="AD318" s="15"/>
      <c r="AE318" s="12"/>
      <c r="AF318" s="13"/>
      <c r="AG318" s="12"/>
      <c r="AH318" s="12"/>
      <c r="AI318" s="15"/>
      <c r="AJ318" s="12"/>
      <c r="AK318" s="12"/>
      <c r="AL318" s="12"/>
      <c r="AM318" s="12"/>
      <c r="AN318" s="12"/>
      <c r="AO318" s="12"/>
      <c r="AP318" s="12"/>
      <c r="AQ318" s="15"/>
      <c r="AR318" s="12"/>
      <c r="AS318" s="12"/>
      <c r="AT318" s="12"/>
      <c r="AU318" s="12"/>
      <c r="AV318" s="12"/>
      <c r="AW318" s="12"/>
      <c r="AX318" s="13"/>
      <c r="AY318" s="12"/>
      <c r="AZ318" s="12" t="str">
        <f>IF(AND(A318="",B318="",E318="",G318="",I318="",AV318="",AX318=""),"",IF(OR(B318="skip",AV318="skip"),"SKIP",IF(OR(B318="to_candidate",AV318="proposed_name"),IF(OR(A318="",AW318="",AX318="",COUNTIF($A$6:$A$505,A318)&gt;1),"REVIEW","TO_PROPOSED"),IF(OR(B318="",A318="",E318="",G318="",I318="",U318="",AV318="",COUNTIF($A$6:$A$505,A318)&gt;1,(COUNTIFS('أرقام التواصل'!$A$6:$A$505,"client",'أرقام التواصل'!$B$6:$B$505,A318,'أرقام التواصل'!$I$6:$I$505,"TRUE")+COUNTIFS('أرقام التواصل'!$A$6:$A$505,"client",'أرقام التواصل'!$B$6:$B$505,A318,'أرقام التواصل'!$C$6:$C$505,1))=0),"REVIEW","READY"))))</f>
        <v/>
      </c>
      <c r="BA318" s="16" t="str">
        <f>IF(AZ318="","",IF(OR(AZ318="READY",AZ318="TO_PROPOSED"),"",IF(AZ318="SKIP","Skipped by decision",TRIM(IF(B318="","missing import_action; ","")&amp;IF(A318="","missing migration_customer_key; ","")&amp;IF(AND(A318&lt;&gt;"",COUNTIF($A$6:$A$505,A318)&gt;1),"duplicate migration_customer_key; ","")&amp;IF(AND(NOT(OR(B318="to_candidate",AV318="proposed_name")),E318=""),"missing branch_id; ","")&amp;IF(AND(NOT(OR(B318="to_candidate",AV318="proposed_name")),G318=""),"missing first_name; ","")&amp;IF(AND(NOT(OR(B318="to_candidate",AV318="proposed_name")),I318=""),"missing last_name; ","")&amp;IF(AND(NOT(OR(B318="to_candidate",AV318="proposed_name")),U318=""),"missing final_geo_unit_id; ","")&amp;IF(AV318="","missing final_destination; ","")&amp;IF(AND(NOT(OR(B318="to_candidate",AV318="proposed_name")),(COUNTIFS('أرقام التواصل'!$A$6:$A$505,"client",'أرقام التواصل'!$B$6:$B$505,A318,'أرقام التواصل'!$I$6:$I$505,"TRUE")+COUNTIFS('أرقام التواصل'!$A$6:$A$505,"client",'أرقام التواصل'!$B$6:$B$505,A318,'أرقام التواصل'!$C$6:$C$505,1))=0),"missing primary contact in أرقام التواصل; ","")&amp;IF(OR(B318="to_candidate",AV318="proposed_name"),IF(AW318="","missing proposed_move_reason; ","")&amp;IF(AX318="","missing proposed_name_key; ",""),"")))))</f>
        <v/>
      </c>
    </row>
    <row r="319" spans="1:53">
      <c r="A319" s="11"/>
      <c r="B319" s="12"/>
      <c r="C319" s="13"/>
      <c r="D319" s="12"/>
      <c r="E319" s="12"/>
      <c r="F319" s="12"/>
      <c r="G319" s="12"/>
      <c r="H319" s="12"/>
      <c r="I319" s="12"/>
      <c r="J319" s="12"/>
      <c r="K319" s="12" t="str">
        <f t="shared" si="7"/>
        <v/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 t="str">
        <f t="shared" si="8"/>
        <v/>
      </c>
      <c r="V319" s="12"/>
      <c r="W319" s="14"/>
      <c r="X319" s="14"/>
      <c r="Y319" s="13"/>
      <c r="Z319" s="12"/>
      <c r="AA319" s="12"/>
      <c r="AB319" s="12"/>
      <c r="AC319" s="12"/>
      <c r="AD319" s="15"/>
      <c r="AE319" s="12"/>
      <c r="AF319" s="13"/>
      <c r="AG319" s="12"/>
      <c r="AH319" s="12"/>
      <c r="AI319" s="15"/>
      <c r="AJ319" s="12"/>
      <c r="AK319" s="12"/>
      <c r="AL319" s="12"/>
      <c r="AM319" s="12"/>
      <c r="AN319" s="12"/>
      <c r="AO319" s="12"/>
      <c r="AP319" s="12"/>
      <c r="AQ319" s="15"/>
      <c r="AR319" s="12"/>
      <c r="AS319" s="12"/>
      <c r="AT319" s="12"/>
      <c r="AU319" s="12"/>
      <c r="AV319" s="12"/>
      <c r="AW319" s="12"/>
      <c r="AX319" s="13"/>
      <c r="AY319" s="12"/>
      <c r="AZ319" s="12" t="str">
        <f>IF(AND(A319="",B319="",E319="",G319="",I319="",AV319="",AX319=""),"",IF(OR(B319="skip",AV319="skip"),"SKIP",IF(OR(B319="to_candidate",AV319="proposed_name"),IF(OR(A319="",AW319="",AX319="",COUNTIF($A$6:$A$505,A319)&gt;1),"REVIEW","TO_PROPOSED"),IF(OR(B319="",A319="",E319="",G319="",I319="",U319="",AV319="",COUNTIF($A$6:$A$505,A319)&gt;1,(COUNTIFS('أرقام التواصل'!$A$6:$A$505,"client",'أرقام التواصل'!$B$6:$B$505,A319,'أرقام التواصل'!$I$6:$I$505,"TRUE")+COUNTIFS('أرقام التواصل'!$A$6:$A$505,"client",'أرقام التواصل'!$B$6:$B$505,A319,'أرقام التواصل'!$C$6:$C$505,1))=0),"REVIEW","READY"))))</f>
        <v/>
      </c>
      <c r="BA319" s="16" t="str">
        <f>IF(AZ319="","",IF(OR(AZ319="READY",AZ319="TO_PROPOSED"),"",IF(AZ319="SKIP","Skipped by decision",TRIM(IF(B319="","missing import_action; ","")&amp;IF(A319="","missing migration_customer_key; ","")&amp;IF(AND(A319&lt;&gt;"",COUNTIF($A$6:$A$505,A319)&gt;1),"duplicate migration_customer_key; ","")&amp;IF(AND(NOT(OR(B319="to_candidate",AV319="proposed_name")),E319=""),"missing branch_id; ","")&amp;IF(AND(NOT(OR(B319="to_candidate",AV319="proposed_name")),G319=""),"missing first_name; ","")&amp;IF(AND(NOT(OR(B319="to_candidate",AV319="proposed_name")),I319=""),"missing last_name; ","")&amp;IF(AND(NOT(OR(B319="to_candidate",AV319="proposed_name")),U319=""),"missing final_geo_unit_id; ","")&amp;IF(AV319="","missing final_destination; ","")&amp;IF(AND(NOT(OR(B319="to_candidate",AV319="proposed_name")),(COUNTIFS('أرقام التواصل'!$A$6:$A$505,"client",'أرقام التواصل'!$B$6:$B$505,A319,'أرقام التواصل'!$I$6:$I$505,"TRUE")+COUNTIFS('أرقام التواصل'!$A$6:$A$505,"client",'أرقام التواصل'!$B$6:$B$505,A319,'أرقام التواصل'!$C$6:$C$505,1))=0),"missing primary contact in أرقام التواصل; ","")&amp;IF(OR(B319="to_candidate",AV319="proposed_name"),IF(AW319="","missing proposed_move_reason; ","")&amp;IF(AX319="","missing proposed_name_key; ",""),"")))))</f>
        <v/>
      </c>
    </row>
    <row r="320" spans="1:53">
      <c r="A320" s="11"/>
      <c r="B320" s="12"/>
      <c r="C320" s="13"/>
      <c r="D320" s="12"/>
      <c r="E320" s="12"/>
      <c r="F320" s="12"/>
      <c r="G320" s="12"/>
      <c r="H320" s="12"/>
      <c r="I320" s="12"/>
      <c r="J320" s="12"/>
      <c r="K320" s="12" t="str">
        <f t="shared" si="7"/>
        <v/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 t="str">
        <f t="shared" si="8"/>
        <v/>
      </c>
      <c r="V320" s="12"/>
      <c r="W320" s="14"/>
      <c r="X320" s="14"/>
      <c r="Y320" s="13"/>
      <c r="Z320" s="12"/>
      <c r="AA320" s="12"/>
      <c r="AB320" s="12"/>
      <c r="AC320" s="12"/>
      <c r="AD320" s="15"/>
      <c r="AE320" s="12"/>
      <c r="AF320" s="13"/>
      <c r="AG320" s="12"/>
      <c r="AH320" s="12"/>
      <c r="AI320" s="15"/>
      <c r="AJ320" s="12"/>
      <c r="AK320" s="12"/>
      <c r="AL320" s="12"/>
      <c r="AM320" s="12"/>
      <c r="AN320" s="12"/>
      <c r="AO320" s="12"/>
      <c r="AP320" s="12"/>
      <c r="AQ320" s="15"/>
      <c r="AR320" s="12"/>
      <c r="AS320" s="12"/>
      <c r="AT320" s="12"/>
      <c r="AU320" s="12"/>
      <c r="AV320" s="12"/>
      <c r="AW320" s="12"/>
      <c r="AX320" s="13"/>
      <c r="AY320" s="12"/>
      <c r="AZ320" s="12" t="str">
        <f>IF(AND(A320="",B320="",E320="",G320="",I320="",AV320="",AX320=""),"",IF(OR(B320="skip",AV320="skip"),"SKIP",IF(OR(B320="to_candidate",AV320="proposed_name"),IF(OR(A320="",AW320="",AX320="",COUNTIF($A$6:$A$505,A320)&gt;1),"REVIEW","TO_PROPOSED"),IF(OR(B320="",A320="",E320="",G320="",I320="",U320="",AV320="",COUNTIF($A$6:$A$505,A320)&gt;1,(COUNTIFS('أرقام التواصل'!$A$6:$A$505,"client",'أرقام التواصل'!$B$6:$B$505,A320,'أرقام التواصل'!$I$6:$I$505,"TRUE")+COUNTIFS('أرقام التواصل'!$A$6:$A$505,"client",'أرقام التواصل'!$B$6:$B$505,A320,'أرقام التواصل'!$C$6:$C$505,1))=0),"REVIEW","READY"))))</f>
        <v/>
      </c>
      <c r="BA320" s="16" t="str">
        <f>IF(AZ320="","",IF(OR(AZ320="READY",AZ320="TO_PROPOSED"),"",IF(AZ320="SKIP","Skipped by decision",TRIM(IF(B320="","missing import_action; ","")&amp;IF(A320="","missing migration_customer_key; ","")&amp;IF(AND(A320&lt;&gt;"",COUNTIF($A$6:$A$505,A320)&gt;1),"duplicate migration_customer_key; ","")&amp;IF(AND(NOT(OR(B320="to_candidate",AV320="proposed_name")),E320=""),"missing branch_id; ","")&amp;IF(AND(NOT(OR(B320="to_candidate",AV320="proposed_name")),G320=""),"missing first_name; ","")&amp;IF(AND(NOT(OR(B320="to_candidate",AV320="proposed_name")),I320=""),"missing last_name; ","")&amp;IF(AND(NOT(OR(B320="to_candidate",AV320="proposed_name")),U320=""),"missing final_geo_unit_id; ","")&amp;IF(AV320="","missing final_destination; ","")&amp;IF(AND(NOT(OR(B320="to_candidate",AV320="proposed_name")),(COUNTIFS('أرقام التواصل'!$A$6:$A$505,"client",'أرقام التواصل'!$B$6:$B$505,A320,'أرقام التواصل'!$I$6:$I$505,"TRUE")+COUNTIFS('أرقام التواصل'!$A$6:$A$505,"client",'أرقام التواصل'!$B$6:$B$505,A320,'أرقام التواصل'!$C$6:$C$505,1))=0),"missing primary contact in أرقام التواصل; ","")&amp;IF(OR(B320="to_candidate",AV320="proposed_name"),IF(AW320="","missing proposed_move_reason; ","")&amp;IF(AX320="","missing proposed_name_key; ",""),"")))))</f>
        <v/>
      </c>
    </row>
    <row r="321" spans="1:53">
      <c r="A321" s="11"/>
      <c r="B321" s="12"/>
      <c r="C321" s="13"/>
      <c r="D321" s="12"/>
      <c r="E321" s="12"/>
      <c r="F321" s="12"/>
      <c r="G321" s="12"/>
      <c r="H321" s="12"/>
      <c r="I321" s="12"/>
      <c r="J321" s="12"/>
      <c r="K321" s="12" t="str">
        <f t="shared" si="7"/>
        <v/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 t="str">
        <f t="shared" si="8"/>
        <v/>
      </c>
      <c r="V321" s="12"/>
      <c r="W321" s="14"/>
      <c r="X321" s="14"/>
      <c r="Y321" s="13"/>
      <c r="Z321" s="12"/>
      <c r="AA321" s="12"/>
      <c r="AB321" s="12"/>
      <c r="AC321" s="12"/>
      <c r="AD321" s="15"/>
      <c r="AE321" s="12"/>
      <c r="AF321" s="13"/>
      <c r="AG321" s="12"/>
      <c r="AH321" s="12"/>
      <c r="AI321" s="15"/>
      <c r="AJ321" s="12"/>
      <c r="AK321" s="12"/>
      <c r="AL321" s="12"/>
      <c r="AM321" s="12"/>
      <c r="AN321" s="12"/>
      <c r="AO321" s="12"/>
      <c r="AP321" s="12"/>
      <c r="AQ321" s="15"/>
      <c r="AR321" s="12"/>
      <c r="AS321" s="12"/>
      <c r="AT321" s="12"/>
      <c r="AU321" s="12"/>
      <c r="AV321" s="12"/>
      <c r="AW321" s="12"/>
      <c r="AX321" s="13"/>
      <c r="AY321" s="12"/>
      <c r="AZ321" s="12" t="str">
        <f>IF(AND(A321="",B321="",E321="",G321="",I321="",AV321="",AX321=""),"",IF(OR(B321="skip",AV321="skip"),"SKIP",IF(OR(B321="to_candidate",AV321="proposed_name"),IF(OR(A321="",AW321="",AX321="",COUNTIF($A$6:$A$505,A321)&gt;1),"REVIEW","TO_PROPOSED"),IF(OR(B321="",A321="",E321="",G321="",I321="",U321="",AV321="",COUNTIF($A$6:$A$505,A321)&gt;1,(COUNTIFS('أرقام التواصل'!$A$6:$A$505,"client",'أرقام التواصل'!$B$6:$B$505,A321,'أرقام التواصل'!$I$6:$I$505,"TRUE")+COUNTIFS('أرقام التواصل'!$A$6:$A$505,"client",'أرقام التواصل'!$B$6:$B$505,A321,'أرقام التواصل'!$C$6:$C$505,1))=0),"REVIEW","READY"))))</f>
        <v/>
      </c>
      <c r="BA321" s="16" t="str">
        <f>IF(AZ321="","",IF(OR(AZ321="READY",AZ321="TO_PROPOSED"),"",IF(AZ321="SKIP","Skipped by decision",TRIM(IF(B321="","missing import_action; ","")&amp;IF(A321="","missing migration_customer_key; ","")&amp;IF(AND(A321&lt;&gt;"",COUNTIF($A$6:$A$505,A321)&gt;1),"duplicate migration_customer_key; ","")&amp;IF(AND(NOT(OR(B321="to_candidate",AV321="proposed_name")),E321=""),"missing branch_id; ","")&amp;IF(AND(NOT(OR(B321="to_candidate",AV321="proposed_name")),G321=""),"missing first_name; ","")&amp;IF(AND(NOT(OR(B321="to_candidate",AV321="proposed_name")),I321=""),"missing last_name; ","")&amp;IF(AND(NOT(OR(B321="to_candidate",AV321="proposed_name")),U321=""),"missing final_geo_unit_id; ","")&amp;IF(AV321="","missing final_destination; ","")&amp;IF(AND(NOT(OR(B321="to_candidate",AV321="proposed_name")),(COUNTIFS('أرقام التواصل'!$A$6:$A$505,"client",'أرقام التواصل'!$B$6:$B$505,A321,'أرقام التواصل'!$I$6:$I$505,"TRUE")+COUNTIFS('أرقام التواصل'!$A$6:$A$505,"client",'أرقام التواصل'!$B$6:$B$505,A321,'أرقام التواصل'!$C$6:$C$505,1))=0),"missing primary contact in أرقام التواصل; ","")&amp;IF(OR(B321="to_candidate",AV321="proposed_name"),IF(AW321="","missing proposed_move_reason; ","")&amp;IF(AX321="","missing proposed_name_key; ",""),"")))))</f>
        <v/>
      </c>
    </row>
    <row r="322" spans="1:53">
      <c r="A322" s="11"/>
      <c r="B322" s="12"/>
      <c r="C322" s="13"/>
      <c r="D322" s="12"/>
      <c r="E322" s="12"/>
      <c r="F322" s="12"/>
      <c r="G322" s="12"/>
      <c r="H322" s="12"/>
      <c r="I322" s="12"/>
      <c r="J322" s="12"/>
      <c r="K322" s="12" t="str">
        <f t="shared" si="7"/>
        <v/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 t="str">
        <f t="shared" si="8"/>
        <v/>
      </c>
      <c r="V322" s="12"/>
      <c r="W322" s="14"/>
      <c r="X322" s="14"/>
      <c r="Y322" s="13"/>
      <c r="Z322" s="12"/>
      <c r="AA322" s="12"/>
      <c r="AB322" s="12"/>
      <c r="AC322" s="12"/>
      <c r="AD322" s="15"/>
      <c r="AE322" s="12"/>
      <c r="AF322" s="13"/>
      <c r="AG322" s="12"/>
      <c r="AH322" s="12"/>
      <c r="AI322" s="15"/>
      <c r="AJ322" s="12"/>
      <c r="AK322" s="12"/>
      <c r="AL322" s="12"/>
      <c r="AM322" s="12"/>
      <c r="AN322" s="12"/>
      <c r="AO322" s="12"/>
      <c r="AP322" s="12"/>
      <c r="AQ322" s="15"/>
      <c r="AR322" s="12"/>
      <c r="AS322" s="12"/>
      <c r="AT322" s="12"/>
      <c r="AU322" s="12"/>
      <c r="AV322" s="12"/>
      <c r="AW322" s="12"/>
      <c r="AX322" s="13"/>
      <c r="AY322" s="12"/>
      <c r="AZ322" s="12" t="str">
        <f>IF(AND(A322="",B322="",E322="",G322="",I322="",AV322="",AX322=""),"",IF(OR(B322="skip",AV322="skip"),"SKIP",IF(OR(B322="to_candidate",AV322="proposed_name"),IF(OR(A322="",AW322="",AX322="",COUNTIF($A$6:$A$505,A322)&gt;1),"REVIEW","TO_PROPOSED"),IF(OR(B322="",A322="",E322="",G322="",I322="",U322="",AV322="",COUNTIF($A$6:$A$505,A322)&gt;1,(COUNTIFS('أرقام التواصل'!$A$6:$A$505,"client",'أرقام التواصل'!$B$6:$B$505,A322,'أرقام التواصل'!$I$6:$I$505,"TRUE")+COUNTIFS('أرقام التواصل'!$A$6:$A$505,"client",'أرقام التواصل'!$B$6:$B$505,A322,'أرقام التواصل'!$C$6:$C$505,1))=0),"REVIEW","READY"))))</f>
        <v/>
      </c>
      <c r="BA322" s="16" t="str">
        <f>IF(AZ322="","",IF(OR(AZ322="READY",AZ322="TO_PROPOSED"),"",IF(AZ322="SKIP","Skipped by decision",TRIM(IF(B322="","missing import_action; ","")&amp;IF(A322="","missing migration_customer_key; ","")&amp;IF(AND(A322&lt;&gt;"",COUNTIF($A$6:$A$505,A322)&gt;1),"duplicate migration_customer_key; ","")&amp;IF(AND(NOT(OR(B322="to_candidate",AV322="proposed_name")),E322=""),"missing branch_id; ","")&amp;IF(AND(NOT(OR(B322="to_candidate",AV322="proposed_name")),G322=""),"missing first_name; ","")&amp;IF(AND(NOT(OR(B322="to_candidate",AV322="proposed_name")),I322=""),"missing last_name; ","")&amp;IF(AND(NOT(OR(B322="to_candidate",AV322="proposed_name")),U322=""),"missing final_geo_unit_id; ","")&amp;IF(AV322="","missing final_destination; ","")&amp;IF(AND(NOT(OR(B322="to_candidate",AV322="proposed_name")),(COUNTIFS('أرقام التواصل'!$A$6:$A$505,"client",'أرقام التواصل'!$B$6:$B$505,A322,'أرقام التواصل'!$I$6:$I$505,"TRUE")+COUNTIFS('أرقام التواصل'!$A$6:$A$505,"client",'أرقام التواصل'!$B$6:$B$505,A322,'أرقام التواصل'!$C$6:$C$505,1))=0),"missing primary contact in أرقام التواصل; ","")&amp;IF(OR(B322="to_candidate",AV322="proposed_name"),IF(AW322="","missing proposed_move_reason; ","")&amp;IF(AX322="","missing proposed_name_key; ",""),"")))))</f>
        <v/>
      </c>
    </row>
    <row r="323" spans="1:53">
      <c r="A323" s="11"/>
      <c r="B323" s="12"/>
      <c r="C323" s="13"/>
      <c r="D323" s="12"/>
      <c r="E323" s="12"/>
      <c r="F323" s="12"/>
      <c r="G323" s="12"/>
      <c r="H323" s="12"/>
      <c r="I323" s="12"/>
      <c r="J323" s="12"/>
      <c r="K323" s="12" t="str">
        <f t="shared" si="7"/>
        <v/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 t="str">
        <f t="shared" si="8"/>
        <v/>
      </c>
      <c r="V323" s="12"/>
      <c r="W323" s="14"/>
      <c r="X323" s="14"/>
      <c r="Y323" s="13"/>
      <c r="Z323" s="12"/>
      <c r="AA323" s="12"/>
      <c r="AB323" s="12"/>
      <c r="AC323" s="12"/>
      <c r="AD323" s="15"/>
      <c r="AE323" s="12"/>
      <c r="AF323" s="13"/>
      <c r="AG323" s="12"/>
      <c r="AH323" s="12"/>
      <c r="AI323" s="15"/>
      <c r="AJ323" s="12"/>
      <c r="AK323" s="12"/>
      <c r="AL323" s="12"/>
      <c r="AM323" s="12"/>
      <c r="AN323" s="12"/>
      <c r="AO323" s="12"/>
      <c r="AP323" s="12"/>
      <c r="AQ323" s="15"/>
      <c r="AR323" s="12"/>
      <c r="AS323" s="12"/>
      <c r="AT323" s="12"/>
      <c r="AU323" s="12"/>
      <c r="AV323" s="12"/>
      <c r="AW323" s="12"/>
      <c r="AX323" s="13"/>
      <c r="AY323" s="12"/>
      <c r="AZ323" s="12" t="str">
        <f>IF(AND(A323="",B323="",E323="",G323="",I323="",AV323="",AX323=""),"",IF(OR(B323="skip",AV323="skip"),"SKIP",IF(OR(B323="to_candidate",AV323="proposed_name"),IF(OR(A323="",AW323="",AX323="",COUNTIF($A$6:$A$505,A323)&gt;1),"REVIEW","TO_PROPOSED"),IF(OR(B323="",A323="",E323="",G323="",I323="",U323="",AV323="",COUNTIF($A$6:$A$505,A323)&gt;1,(COUNTIFS('أرقام التواصل'!$A$6:$A$505,"client",'أرقام التواصل'!$B$6:$B$505,A323,'أرقام التواصل'!$I$6:$I$505,"TRUE")+COUNTIFS('أرقام التواصل'!$A$6:$A$505,"client",'أرقام التواصل'!$B$6:$B$505,A323,'أرقام التواصل'!$C$6:$C$505,1))=0),"REVIEW","READY"))))</f>
        <v/>
      </c>
      <c r="BA323" s="16" t="str">
        <f>IF(AZ323="","",IF(OR(AZ323="READY",AZ323="TO_PROPOSED"),"",IF(AZ323="SKIP","Skipped by decision",TRIM(IF(B323="","missing import_action; ","")&amp;IF(A323="","missing migration_customer_key; ","")&amp;IF(AND(A323&lt;&gt;"",COUNTIF($A$6:$A$505,A323)&gt;1),"duplicate migration_customer_key; ","")&amp;IF(AND(NOT(OR(B323="to_candidate",AV323="proposed_name")),E323=""),"missing branch_id; ","")&amp;IF(AND(NOT(OR(B323="to_candidate",AV323="proposed_name")),G323=""),"missing first_name; ","")&amp;IF(AND(NOT(OR(B323="to_candidate",AV323="proposed_name")),I323=""),"missing last_name; ","")&amp;IF(AND(NOT(OR(B323="to_candidate",AV323="proposed_name")),U323=""),"missing final_geo_unit_id; ","")&amp;IF(AV323="","missing final_destination; ","")&amp;IF(AND(NOT(OR(B323="to_candidate",AV323="proposed_name")),(COUNTIFS('أرقام التواصل'!$A$6:$A$505,"client",'أرقام التواصل'!$B$6:$B$505,A323,'أرقام التواصل'!$I$6:$I$505,"TRUE")+COUNTIFS('أرقام التواصل'!$A$6:$A$505,"client",'أرقام التواصل'!$B$6:$B$505,A323,'أرقام التواصل'!$C$6:$C$505,1))=0),"missing primary contact in أرقام التواصل; ","")&amp;IF(OR(B323="to_candidate",AV323="proposed_name"),IF(AW323="","missing proposed_move_reason; ","")&amp;IF(AX323="","missing proposed_name_key; ",""),"")))))</f>
        <v/>
      </c>
    </row>
    <row r="324" spans="1:53">
      <c r="A324" s="11"/>
      <c r="B324" s="12"/>
      <c r="C324" s="13"/>
      <c r="D324" s="12"/>
      <c r="E324" s="12"/>
      <c r="F324" s="12"/>
      <c r="G324" s="12"/>
      <c r="H324" s="12"/>
      <c r="I324" s="12"/>
      <c r="J324" s="12"/>
      <c r="K324" s="12" t="str">
        <f t="shared" si="7"/>
        <v/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 t="str">
        <f t="shared" si="8"/>
        <v/>
      </c>
      <c r="V324" s="12"/>
      <c r="W324" s="14"/>
      <c r="X324" s="14"/>
      <c r="Y324" s="13"/>
      <c r="Z324" s="12"/>
      <c r="AA324" s="12"/>
      <c r="AB324" s="12"/>
      <c r="AC324" s="12"/>
      <c r="AD324" s="15"/>
      <c r="AE324" s="12"/>
      <c r="AF324" s="13"/>
      <c r="AG324" s="12"/>
      <c r="AH324" s="12"/>
      <c r="AI324" s="15"/>
      <c r="AJ324" s="12"/>
      <c r="AK324" s="12"/>
      <c r="AL324" s="12"/>
      <c r="AM324" s="12"/>
      <c r="AN324" s="12"/>
      <c r="AO324" s="12"/>
      <c r="AP324" s="12"/>
      <c r="AQ324" s="15"/>
      <c r="AR324" s="12"/>
      <c r="AS324" s="12"/>
      <c r="AT324" s="12"/>
      <c r="AU324" s="12"/>
      <c r="AV324" s="12"/>
      <c r="AW324" s="12"/>
      <c r="AX324" s="13"/>
      <c r="AY324" s="12"/>
      <c r="AZ324" s="12" t="str">
        <f>IF(AND(A324="",B324="",E324="",G324="",I324="",AV324="",AX324=""),"",IF(OR(B324="skip",AV324="skip"),"SKIP",IF(OR(B324="to_candidate",AV324="proposed_name"),IF(OR(A324="",AW324="",AX324="",COUNTIF($A$6:$A$505,A324)&gt;1),"REVIEW","TO_PROPOSED"),IF(OR(B324="",A324="",E324="",G324="",I324="",U324="",AV324="",COUNTIF($A$6:$A$505,A324)&gt;1,(COUNTIFS('أرقام التواصل'!$A$6:$A$505,"client",'أرقام التواصل'!$B$6:$B$505,A324,'أرقام التواصل'!$I$6:$I$505,"TRUE")+COUNTIFS('أرقام التواصل'!$A$6:$A$505,"client",'أرقام التواصل'!$B$6:$B$505,A324,'أرقام التواصل'!$C$6:$C$505,1))=0),"REVIEW","READY"))))</f>
        <v/>
      </c>
      <c r="BA324" s="16" t="str">
        <f>IF(AZ324="","",IF(OR(AZ324="READY",AZ324="TO_PROPOSED"),"",IF(AZ324="SKIP","Skipped by decision",TRIM(IF(B324="","missing import_action; ","")&amp;IF(A324="","missing migration_customer_key; ","")&amp;IF(AND(A324&lt;&gt;"",COUNTIF($A$6:$A$505,A324)&gt;1),"duplicate migration_customer_key; ","")&amp;IF(AND(NOT(OR(B324="to_candidate",AV324="proposed_name")),E324=""),"missing branch_id; ","")&amp;IF(AND(NOT(OR(B324="to_candidate",AV324="proposed_name")),G324=""),"missing first_name; ","")&amp;IF(AND(NOT(OR(B324="to_candidate",AV324="proposed_name")),I324=""),"missing last_name; ","")&amp;IF(AND(NOT(OR(B324="to_candidate",AV324="proposed_name")),U324=""),"missing final_geo_unit_id; ","")&amp;IF(AV324="","missing final_destination; ","")&amp;IF(AND(NOT(OR(B324="to_candidate",AV324="proposed_name")),(COUNTIFS('أرقام التواصل'!$A$6:$A$505,"client",'أرقام التواصل'!$B$6:$B$505,A324,'أرقام التواصل'!$I$6:$I$505,"TRUE")+COUNTIFS('أرقام التواصل'!$A$6:$A$505,"client",'أرقام التواصل'!$B$6:$B$505,A324,'أرقام التواصل'!$C$6:$C$505,1))=0),"missing primary contact in أرقام التواصل; ","")&amp;IF(OR(B324="to_candidate",AV324="proposed_name"),IF(AW324="","missing proposed_move_reason; ","")&amp;IF(AX324="","missing proposed_name_key; ",""),"")))))</f>
        <v/>
      </c>
    </row>
    <row r="325" spans="1:53">
      <c r="A325" s="11"/>
      <c r="B325" s="12"/>
      <c r="C325" s="13"/>
      <c r="D325" s="12"/>
      <c r="E325" s="12"/>
      <c r="F325" s="12"/>
      <c r="G325" s="12"/>
      <c r="H325" s="12"/>
      <c r="I325" s="12"/>
      <c r="J325" s="12"/>
      <c r="K325" s="12" t="str">
        <f t="shared" si="7"/>
        <v/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 t="str">
        <f t="shared" si="8"/>
        <v/>
      </c>
      <c r="V325" s="12"/>
      <c r="W325" s="14"/>
      <c r="X325" s="14"/>
      <c r="Y325" s="13"/>
      <c r="Z325" s="12"/>
      <c r="AA325" s="12"/>
      <c r="AB325" s="12"/>
      <c r="AC325" s="12"/>
      <c r="AD325" s="15"/>
      <c r="AE325" s="12"/>
      <c r="AF325" s="13"/>
      <c r="AG325" s="12"/>
      <c r="AH325" s="12"/>
      <c r="AI325" s="15"/>
      <c r="AJ325" s="12"/>
      <c r="AK325" s="12"/>
      <c r="AL325" s="12"/>
      <c r="AM325" s="12"/>
      <c r="AN325" s="12"/>
      <c r="AO325" s="12"/>
      <c r="AP325" s="12"/>
      <c r="AQ325" s="15"/>
      <c r="AR325" s="12"/>
      <c r="AS325" s="12"/>
      <c r="AT325" s="12"/>
      <c r="AU325" s="12"/>
      <c r="AV325" s="12"/>
      <c r="AW325" s="12"/>
      <c r="AX325" s="13"/>
      <c r="AY325" s="12"/>
      <c r="AZ325" s="12" t="str">
        <f>IF(AND(A325="",B325="",E325="",G325="",I325="",AV325="",AX325=""),"",IF(OR(B325="skip",AV325="skip"),"SKIP",IF(OR(B325="to_candidate",AV325="proposed_name"),IF(OR(A325="",AW325="",AX325="",COUNTIF($A$6:$A$505,A325)&gt;1),"REVIEW","TO_PROPOSED"),IF(OR(B325="",A325="",E325="",G325="",I325="",U325="",AV325="",COUNTIF($A$6:$A$505,A325)&gt;1,(COUNTIFS('أرقام التواصل'!$A$6:$A$505,"client",'أرقام التواصل'!$B$6:$B$505,A325,'أرقام التواصل'!$I$6:$I$505,"TRUE")+COUNTIFS('أرقام التواصل'!$A$6:$A$505,"client",'أرقام التواصل'!$B$6:$B$505,A325,'أرقام التواصل'!$C$6:$C$505,1))=0),"REVIEW","READY"))))</f>
        <v/>
      </c>
      <c r="BA325" s="16" t="str">
        <f>IF(AZ325="","",IF(OR(AZ325="READY",AZ325="TO_PROPOSED"),"",IF(AZ325="SKIP","Skipped by decision",TRIM(IF(B325="","missing import_action; ","")&amp;IF(A325="","missing migration_customer_key; ","")&amp;IF(AND(A325&lt;&gt;"",COUNTIF($A$6:$A$505,A325)&gt;1),"duplicate migration_customer_key; ","")&amp;IF(AND(NOT(OR(B325="to_candidate",AV325="proposed_name")),E325=""),"missing branch_id; ","")&amp;IF(AND(NOT(OR(B325="to_candidate",AV325="proposed_name")),G325=""),"missing first_name; ","")&amp;IF(AND(NOT(OR(B325="to_candidate",AV325="proposed_name")),I325=""),"missing last_name; ","")&amp;IF(AND(NOT(OR(B325="to_candidate",AV325="proposed_name")),U325=""),"missing final_geo_unit_id; ","")&amp;IF(AV325="","missing final_destination; ","")&amp;IF(AND(NOT(OR(B325="to_candidate",AV325="proposed_name")),(COUNTIFS('أرقام التواصل'!$A$6:$A$505,"client",'أرقام التواصل'!$B$6:$B$505,A325,'أرقام التواصل'!$I$6:$I$505,"TRUE")+COUNTIFS('أرقام التواصل'!$A$6:$A$505,"client",'أرقام التواصل'!$B$6:$B$505,A325,'أرقام التواصل'!$C$6:$C$505,1))=0),"missing primary contact in أرقام التواصل; ","")&amp;IF(OR(B325="to_candidate",AV325="proposed_name"),IF(AW325="","missing proposed_move_reason; ","")&amp;IF(AX325="","missing proposed_name_key; ",""),"")))))</f>
        <v/>
      </c>
    </row>
    <row r="326" spans="1:53">
      <c r="A326" s="11"/>
      <c r="B326" s="12"/>
      <c r="C326" s="13"/>
      <c r="D326" s="12"/>
      <c r="E326" s="12"/>
      <c r="F326" s="12"/>
      <c r="G326" s="12"/>
      <c r="H326" s="12"/>
      <c r="I326" s="12"/>
      <c r="J326" s="12"/>
      <c r="K326" s="12" t="str">
        <f t="shared" ref="K326:K389" si="9">IF(TRIM(G326&amp;" "&amp;H326&amp;" "&amp;I326&amp;IF(J326&lt;&gt;""," ("&amp;J326&amp;")",""))="","",TRIM(G326&amp;" "&amp;H326&amp;" "&amp;I326&amp;IF(J326&lt;&gt;""," ("&amp;J326&amp;")","")))</f>
        <v/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 t="str">
        <f t="shared" ref="U326:U389" si="10">IF(AND(L326="",N326="",P326="",R326=""),"",IF(R326&lt;&gt;"",R326,IF(P326&lt;&gt;"",P326,IF(N326&lt;&gt;"",N326,L326))))</f>
        <v/>
      </c>
      <c r="V326" s="12"/>
      <c r="W326" s="14"/>
      <c r="X326" s="14"/>
      <c r="Y326" s="13"/>
      <c r="Z326" s="12"/>
      <c r="AA326" s="12"/>
      <c r="AB326" s="12"/>
      <c r="AC326" s="12"/>
      <c r="AD326" s="15"/>
      <c r="AE326" s="12"/>
      <c r="AF326" s="13"/>
      <c r="AG326" s="12"/>
      <c r="AH326" s="12"/>
      <c r="AI326" s="15"/>
      <c r="AJ326" s="12"/>
      <c r="AK326" s="12"/>
      <c r="AL326" s="12"/>
      <c r="AM326" s="12"/>
      <c r="AN326" s="12"/>
      <c r="AO326" s="12"/>
      <c r="AP326" s="12"/>
      <c r="AQ326" s="15"/>
      <c r="AR326" s="12"/>
      <c r="AS326" s="12"/>
      <c r="AT326" s="12"/>
      <c r="AU326" s="12"/>
      <c r="AV326" s="12"/>
      <c r="AW326" s="12"/>
      <c r="AX326" s="13"/>
      <c r="AY326" s="12"/>
      <c r="AZ326" s="12" t="str">
        <f>IF(AND(A326="",B326="",E326="",G326="",I326="",AV326="",AX326=""),"",IF(OR(B326="skip",AV326="skip"),"SKIP",IF(OR(B326="to_candidate",AV326="proposed_name"),IF(OR(A326="",AW326="",AX326="",COUNTIF($A$6:$A$505,A326)&gt;1),"REVIEW","TO_PROPOSED"),IF(OR(B326="",A326="",E326="",G326="",I326="",U326="",AV326="",COUNTIF($A$6:$A$505,A326)&gt;1,(COUNTIFS('أرقام التواصل'!$A$6:$A$505,"client",'أرقام التواصل'!$B$6:$B$505,A326,'أرقام التواصل'!$I$6:$I$505,"TRUE")+COUNTIFS('أرقام التواصل'!$A$6:$A$505,"client",'أرقام التواصل'!$B$6:$B$505,A326,'أرقام التواصل'!$C$6:$C$505,1))=0),"REVIEW","READY"))))</f>
        <v/>
      </c>
      <c r="BA326" s="16" t="str">
        <f>IF(AZ326="","",IF(OR(AZ326="READY",AZ326="TO_PROPOSED"),"",IF(AZ326="SKIP","Skipped by decision",TRIM(IF(B326="","missing import_action; ","")&amp;IF(A326="","missing migration_customer_key; ","")&amp;IF(AND(A326&lt;&gt;"",COUNTIF($A$6:$A$505,A326)&gt;1),"duplicate migration_customer_key; ","")&amp;IF(AND(NOT(OR(B326="to_candidate",AV326="proposed_name")),E326=""),"missing branch_id; ","")&amp;IF(AND(NOT(OR(B326="to_candidate",AV326="proposed_name")),G326=""),"missing first_name; ","")&amp;IF(AND(NOT(OR(B326="to_candidate",AV326="proposed_name")),I326=""),"missing last_name; ","")&amp;IF(AND(NOT(OR(B326="to_candidate",AV326="proposed_name")),U326=""),"missing final_geo_unit_id; ","")&amp;IF(AV326="","missing final_destination; ","")&amp;IF(AND(NOT(OR(B326="to_candidate",AV326="proposed_name")),(COUNTIFS('أرقام التواصل'!$A$6:$A$505,"client",'أرقام التواصل'!$B$6:$B$505,A326,'أرقام التواصل'!$I$6:$I$505,"TRUE")+COUNTIFS('أرقام التواصل'!$A$6:$A$505,"client",'أرقام التواصل'!$B$6:$B$505,A326,'أرقام التواصل'!$C$6:$C$505,1))=0),"missing primary contact in أرقام التواصل; ","")&amp;IF(OR(B326="to_candidate",AV326="proposed_name"),IF(AW326="","missing proposed_move_reason; ","")&amp;IF(AX326="","missing proposed_name_key; ",""),"")))))</f>
        <v/>
      </c>
    </row>
    <row r="327" spans="1:53">
      <c r="A327" s="11"/>
      <c r="B327" s="12"/>
      <c r="C327" s="13"/>
      <c r="D327" s="12"/>
      <c r="E327" s="12"/>
      <c r="F327" s="12"/>
      <c r="G327" s="12"/>
      <c r="H327" s="12"/>
      <c r="I327" s="12"/>
      <c r="J327" s="12"/>
      <c r="K327" s="12" t="str">
        <f t="shared" si="9"/>
        <v/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 t="str">
        <f t="shared" si="10"/>
        <v/>
      </c>
      <c r="V327" s="12"/>
      <c r="W327" s="14"/>
      <c r="X327" s="14"/>
      <c r="Y327" s="13"/>
      <c r="Z327" s="12"/>
      <c r="AA327" s="12"/>
      <c r="AB327" s="12"/>
      <c r="AC327" s="12"/>
      <c r="AD327" s="15"/>
      <c r="AE327" s="12"/>
      <c r="AF327" s="13"/>
      <c r="AG327" s="12"/>
      <c r="AH327" s="12"/>
      <c r="AI327" s="15"/>
      <c r="AJ327" s="12"/>
      <c r="AK327" s="12"/>
      <c r="AL327" s="12"/>
      <c r="AM327" s="12"/>
      <c r="AN327" s="12"/>
      <c r="AO327" s="12"/>
      <c r="AP327" s="12"/>
      <c r="AQ327" s="15"/>
      <c r="AR327" s="12"/>
      <c r="AS327" s="12"/>
      <c r="AT327" s="12"/>
      <c r="AU327" s="12"/>
      <c r="AV327" s="12"/>
      <c r="AW327" s="12"/>
      <c r="AX327" s="13"/>
      <c r="AY327" s="12"/>
      <c r="AZ327" s="12" t="str">
        <f>IF(AND(A327="",B327="",E327="",G327="",I327="",AV327="",AX327=""),"",IF(OR(B327="skip",AV327="skip"),"SKIP",IF(OR(B327="to_candidate",AV327="proposed_name"),IF(OR(A327="",AW327="",AX327="",COUNTIF($A$6:$A$505,A327)&gt;1),"REVIEW","TO_PROPOSED"),IF(OR(B327="",A327="",E327="",G327="",I327="",U327="",AV327="",COUNTIF($A$6:$A$505,A327)&gt;1,(COUNTIFS('أرقام التواصل'!$A$6:$A$505,"client",'أرقام التواصل'!$B$6:$B$505,A327,'أرقام التواصل'!$I$6:$I$505,"TRUE")+COUNTIFS('أرقام التواصل'!$A$6:$A$505,"client",'أرقام التواصل'!$B$6:$B$505,A327,'أرقام التواصل'!$C$6:$C$505,1))=0),"REVIEW","READY"))))</f>
        <v/>
      </c>
      <c r="BA327" s="16" t="str">
        <f>IF(AZ327="","",IF(OR(AZ327="READY",AZ327="TO_PROPOSED"),"",IF(AZ327="SKIP","Skipped by decision",TRIM(IF(B327="","missing import_action; ","")&amp;IF(A327="","missing migration_customer_key; ","")&amp;IF(AND(A327&lt;&gt;"",COUNTIF($A$6:$A$505,A327)&gt;1),"duplicate migration_customer_key; ","")&amp;IF(AND(NOT(OR(B327="to_candidate",AV327="proposed_name")),E327=""),"missing branch_id; ","")&amp;IF(AND(NOT(OR(B327="to_candidate",AV327="proposed_name")),G327=""),"missing first_name; ","")&amp;IF(AND(NOT(OR(B327="to_candidate",AV327="proposed_name")),I327=""),"missing last_name; ","")&amp;IF(AND(NOT(OR(B327="to_candidate",AV327="proposed_name")),U327=""),"missing final_geo_unit_id; ","")&amp;IF(AV327="","missing final_destination; ","")&amp;IF(AND(NOT(OR(B327="to_candidate",AV327="proposed_name")),(COUNTIFS('أرقام التواصل'!$A$6:$A$505,"client",'أرقام التواصل'!$B$6:$B$505,A327,'أرقام التواصل'!$I$6:$I$505,"TRUE")+COUNTIFS('أرقام التواصل'!$A$6:$A$505,"client",'أرقام التواصل'!$B$6:$B$505,A327,'أرقام التواصل'!$C$6:$C$505,1))=0),"missing primary contact in أرقام التواصل; ","")&amp;IF(OR(B327="to_candidate",AV327="proposed_name"),IF(AW327="","missing proposed_move_reason; ","")&amp;IF(AX327="","missing proposed_name_key; ",""),"")))))</f>
        <v/>
      </c>
    </row>
    <row r="328" spans="1:53">
      <c r="A328" s="11"/>
      <c r="B328" s="12"/>
      <c r="C328" s="13"/>
      <c r="D328" s="12"/>
      <c r="E328" s="12"/>
      <c r="F328" s="12"/>
      <c r="G328" s="12"/>
      <c r="H328" s="12"/>
      <c r="I328" s="12"/>
      <c r="J328" s="12"/>
      <c r="K328" s="12" t="str">
        <f t="shared" si="9"/>
        <v/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 t="str">
        <f t="shared" si="10"/>
        <v/>
      </c>
      <c r="V328" s="12"/>
      <c r="W328" s="14"/>
      <c r="X328" s="14"/>
      <c r="Y328" s="13"/>
      <c r="Z328" s="12"/>
      <c r="AA328" s="12"/>
      <c r="AB328" s="12"/>
      <c r="AC328" s="12"/>
      <c r="AD328" s="15"/>
      <c r="AE328" s="12"/>
      <c r="AF328" s="13"/>
      <c r="AG328" s="12"/>
      <c r="AH328" s="12"/>
      <c r="AI328" s="15"/>
      <c r="AJ328" s="12"/>
      <c r="AK328" s="12"/>
      <c r="AL328" s="12"/>
      <c r="AM328" s="12"/>
      <c r="AN328" s="12"/>
      <c r="AO328" s="12"/>
      <c r="AP328" s="12"/>
      <c r="AQ328" s="15"/>
      <c r="AR328" s="12"/>
      <c r="AS328" s="12"/>
      <c r="AT328" s="12"/>
      <c r="AU328" s="12"/>
      <c r="AV328" s="12"/>
      <c r="AW328" s="12"/>
      <c r="AX328" s="13"/>
      <c r="AY328" s="12"/>
      <c r="AZ328" s="12" t="str">
        <f>IF(AND(A328="",B328="",E328="",G328="",I328="",AV328="",AX328=""),"",IF(OR(B328="skip",AV328="skip"),"SKIP",IF(OR(B328="to_candidate",AV328="proposed_name"),IF(OR(A328="",AW328="",AX328="",COUNTIF($A$6:$A$505,A328)&gt;1),"REVIEW","TO_PROPOSED"),IF(OR(B328="",A328="",E328="",G328="",I328="",U328="",AV328="",COUNTIF($A$6:$A$505,A328)&gt;1,(COUNTIFS('أرقام التواصل'!$A$6:$A$505,"client",'أرقام التواصل'!$B$6:$B$505,A328,'أرقام التواصل'!$I$6:$I$505,"TRUE")+COUNTIFS('أرقام التواصل'!$A$6:$A$505,"client",'أرقام التواصل'!$B$6:$B$505,A328,'أرقام التواصل'!$C$6:$C$505,1))=0),"REVIEW","READY"))))</f>
        <v/>
      </c>
      <c r="BA328" s="16" t="str">
        <f>IF(AZ328="","",IF(OR(AZ328="READY",AZ328="TO_PROPOSED"),"",IF(AZ328="SKIP","Skipped by decision",TRIM(IF(B328="","missing import_action; ","")&amp;IF(A328="","missing migration_customer_key; ","")&amp;IF(AND(A328&lt;&gt;"",COUNTIF($A$6:$A$505,A328)&gt;1),"duplicate migration_customer_key; ","")&amp;IF(AND(NOT(OR(B328="to_candidate",AV328="proposed_name")),E328=""),"missing branch_id; ","")&amp;IF(AND(NOT(OR(B328="to_candidate",AV328="proposed_name")),G328=""),"missing first_name; ","")&amp;IF(AND(NOT(OR(B328="to_candidate",AV328="proposed_name")),I328=""),"missing last_name; ","")&amp;IF(AND(NOT(OR(B328="to_candidate",AV328="proposed_name")),U328=""),"missing final_geo_unit_id; ","")&amp;IF(AV328="","missing final_destination; ","")&amp;IF(AND(NOT(OR(B328="to_candidate",AV328="proposed_name")),(COUNTIFS('أرقام التواصل'!$A$6:$A$505,"client",'أرقام التواصل'!$B$6:$B$505,A328,'أرقام التواصل'!$I$6:$I$505,"TRUE")+COUNTIFS('أرقام التواصل'!$A$6:$A$505,"client",'أرقام التواصل'!$B$6:$B$505,A328,'أرقام التواصل'!$C$6:$C$505,1))=0),"missing primary contact in أرقام التواصل; ","")&amp;IF(OR(B328="to_candidate",AV328="proposed_name"),IF(AW328="","missing proposed_move_reason; ","")&amp;IF(AX328="","missing proposed_name_key; ",""),"")))))</f>
        <v/>
      </c>
    </row>
    <row r="329" spans="1:53">
      <c r="A329" s="11"/>
      <c r="B329" s="12"/>
      <c r="C329" s="13"/>
      <c r="D329" s="12"/>
      <c r="E329" s="12"/>
      <c r="F329" s="12"/>
      <c r="G329" s="12"/>
      <c r="H329" s="12"/>
      <c r="I329" s="12"/>
      <c r="J329" s="12"/>
      <c r="K329" s="12" t="str">
        <f t="shared" si="9"/>
        <v/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 t="str">
        <f t="shared" si="10"/>
        <v/>
      </c>
      <c r="V329" s="12"/>
      <c r="W329" s="14"/>
      <c r="X329" s="14"/>
      <c r="Y329" s="13"/>
      <c r="Z329" s="12"/>
      <c r="AA329" s="12"/>
      <c r="AB329" s="12"/>
      <c r="AC329" s="12"/>
      <c r="AD329" s="15"/>
      <c r="AE329" s="12"/>
      <c r="AF329" s="13"/>
      <c r="AG329" s="12"/>
      <c r="AH329" s="12"/>
      <c r="AI329" s="15"/>
      <c r="AJ329" s="12"/>
      <c r="AK329" s="12"/>
      <c r="AL329" s="12"/>
      <c r="AM329" s="12"/>
      <c r="AN329" s="12"/>
      <c r="AO329" s="12"/>
      <c r="AP329" s="12"/>
      <c r="AQ329" s="15"/>
      <c r="AR329" s="12"/>
      <c r="AS329" s="12"/>
      <c r="AT329" s="12"/>
      <c r="AU329" s="12"/>
      <c r="AV329" s="12"/>
      <c r="AW329" s="12"/>
      <c r="AX329" s="13"/>
      <c r="AY329" s="12"/>
      <c r="AZ329" s="12" t="str">
        <f>IF(AND(A329="",B329="",E329="",G329="",I329="",AV329="",AX329=""),"",IF(OR(B329="skip",AV329="skip"),"SKIP",IF(OR(B329="to_candidate",AV329="proposed_name"),IF(OR(A329="",AW329="",AX329="",COUNTIF($A$6:$A$505,A329)&gt;1),"REVIEW","TO_PROPOSED"),IF(OR(B329="",A329="",E329="",G329="",I329="",U329="",AV329="",COUNTIF($A$6:$A$505,A329)&gt;1,(COUNTIFS('أرقام التواصل'!$A$6:$A$505,"client",'أرقام التواصل'!$B$6:$B$505,A329,'أرقام التواصل'!$I$6:$I$505,"TRUE")+COUNTIFS('أرقام التواصل'!$A$6:$A$505,"client",'أرقام التواصل'!$B$6:$B$505,A329,'أرقام التواصل'!$C$6:$C$505,1))=0),"REVIEW","READY"))))</f>
        <v/>
      </c>
      <c r="BA329" s="16" t="str">
        <f>IF(AZ329="","",IF(OR(AZ329="READY",AZ329="TO_PROPOSED"),"",IF(AZ329="SKIP","Skipped by decision",TRIM(IF(B329="","missing import_action; ","")&amp;IF(A329="","missing migration_customer_key; ","")&amp;IF(AND(A329&lt;&gt;"",COUNTIF($A$6:$A$505,A329)&gt;1),"duplicate migration_customer_key; ","")&amp;IF(AND(NOT(OR(B329="to_candidate",AV329="proposed_name")),E329=""),"missing branch_id; ","")&amp;IF(AND(NOT(OR(B329="to_candidate",AV329="proposed_name")),G329=""),"missing first_name; ","")&amp;IF(AND(NOT(OR(B329="to_candidate",AV329="proposed_name")),I329=""),"missing last_name; ","")&amp;IF(AND(NOT(OR(B329="to_candidate",AV329="proposed_name")),U329=""),"missing final_geo_unit_id; ","")&amp;IF(AV329="","missing final_destination; ","")&amp;IF(AND(NOT(OR(B329="to_candidate",AV329="proposed_name")),(COUNTIFS('أرقام التواصل'!$A$6:$A$505,"client",'أرقام التواصل'!$B$6:$B$505,A329,'أرقام التواصل'!$I$6:$I$505,"TRUE")+COUNTIFS('أرقام التواصل'!$A$6:$A$505,"client",'أرقام التواصل'!$B$6:$B$505,A329,'أرقام التواصل'!$C$6:$C$505,1))=0),"missing primary contact in أرقام التواصل; ","")&amp;IF(OR(B329="to_candidate",AV329="proposed_name"),IF(AW329="","missing proposed_move_reason; ","")&amp;IF(AX329="","missing proposed_name_key; ",""),"")))))</f>
        <v/>
      </c>
    </row>
    <row r="330" spans="1:53">
      <c r="A330" s="11"/>
      <c r="B330" s="12"/>
      <c r="C330" s="13"/>
      <c r="D330" s="12"/>
      <c r="E330" s="12"/>
      <c r="F330" s="12"/>
      <c r="G330" s="12"/>
      <c r="H330" s="12"/>
      <c r="I330" s="12"/>
      <c r="J330" s="12"/>
      <c r="K330" s="12" t="str">
        <f t="shared" si="9"/>
        <v/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 t="str">
        <f t="shared" si="10"/>
        <v/>
      </c>
      <c r="V330" s="12"/>
      <c r="W330" s="14"/>
      <c r="X330" s="14"/>
      <c r="Y330" s="13"/>
      <c r="Z330" s="12"/>
      <c r="AA330" s="12"/>
      <c r="AB330" s="12"/>
      <c r="AC330" s="12"/>
      <c r="AD330" s="15"/>
      <c r="AE330" s="12"/>
      <c r="AF330" s="13"/>
      <c r="AG330" s="12"/>
      <c r="AH330" s="12"/>
      <c r="AI330" s="15"/>
      <c r="AJ330" s="12"/>
      <c r="AK330" s="12"/>
      <c r="AL330" s="12"/>
      <c r="AM330" s="12"/>
      <c r="AN330" s="12"/>
      <c r="AO330" s="12"/>
      <c r="AP330" s="12"/>
      <c r="AQ330" s="15"/>
      <c r="AR330" s="12"/>
      <c r="AS330" s="12"/>
      <c r="AT330" s="12"/>
      <c r="AU330" s="12"/>
      <c r="AV330" s="12"/>
      <c r="AW330" s="12"/>
      <c r="AX330" s="13"/>
      <c r="AY330" s="12"/>
      <c r="AZ330" s="12" t="str">
        <f>IF(AND(A330="",B330="",E330="",G330="",I330="",AV330="",AX330=""),"",IF(OR(B330="skip",AV330="skip"),"SKIP",IF(OR(B330="to_candidate",AV330="proposed_name"),IF(OR(A330="",AW330="",AX330="",COUNTIF($A$6:$A$505,A330)&gt;1),"REVIEW","TO_PROPOSED"),IF(OR(B330="",A330="",E330="",G330="",I330="",U330="",AV330="",COUNTIF($A$6:$A$505,A330)&gt;1,(COUNTIFS('أرقام التواصل'!$A$6:$A$505,"client",'أرقام التواصل'!$B$6:$B$505,A330,'أرقام التواصل'!$I$6:$I$505,"TRUE")+COUNTIFS('أرقام التواصل'!$A$6:$A$505,"client",'أرقام التواصل'!$B$6:$B$505,A330,'أرقام التواصل'!$C$6:$C$505,1))=0),"REVIEW","READY"))))</f>
        <v/>
      </c>
      <c r="BA330" s="16" t="str">
        <f>IF(AZ330="","",IF(OR(AZ330="READY",AZ330="TO_PROPOSED"),"",IF(AZ330="SKIP","Skipped by decision",TRIM(IF(B330="","missing import_action; ","")&amp;IF(A330="","missing migration_customer_key; ","")&amp;IF(AND(A330&lt;&gt;"",COUNTIF($A$6:$A$505,A330)&gt;1),"duplicate migration_customer_key; ","")&amp;IF(AND(NOT(OR(B330="to_candidate",AV330="proposed_name")),E330=""),"missing branch_id; ","")&amp;IF(AND(NOT(OR(B330="to_candidate",AV330="proposed_name")),G330=""),"missing first_name; ","")&amp;IF(AND(NOT(OR(B330="to_candidate",AV330="proposed_name")),I330=""),"missing last_name; ","")&amp;IF(AND(NOT(OR(B330="to_candidate",AV330="proposed_name")),U330=""),"missing final_geo_unit_id; ","")&amp;IF(AV330="","missing final_destination; ","")&amp;IF(AND(NOT(OR(B330="to_candidate",AV330="proposed_name")),(COUNTIFS('أرقام التواصل'!$A$6:$A$505,"client",'أرقام التواصل'!$B$6:$B$505,A330,'أرقام التواصل'!$I$6:$I$505,"TRUE")+COUNTIFS('أرقام التواصل'!$A$6:$A$505,"client",'أرقام التواصل'!$B$6:$B$505,A330,'أرقام التواصل'!$C$6:$C$505,1))=0),"missing primary contact in أرقام التواصل; ","")&amp;IF(OR(B330="to_candidate",AV330="proposed_name"),IF(AW330="","missing proposed_move_reason; ","")&amp;IF(AX330="","missing proposed_name_key; ",""),"")))))</f>
        <v/>
      </c>
    </row>
    <row r="331" spans="1:53">
      <c r="A331" s="11"/>
      <c r="B331" s="12"/>
      <c r="C331" s="13"/>
      <c r="D331" s="12"/>
      <c r="E331" s="12"/>
      <c r="F331" s="12"/>
      <c r="G331" s="12"/>
      <c r="H331" s="12"/>
      <c r="I331" s="12"/>
      <c r="J331" s="12"/>
      <c r="K331" s="12" t="str">
        <f t="shared" si="9"/>
        <v/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 t="str">
        <f t="shared" si="10"/>
        <v/>
      </c>
      <c r="V331" s="12"/>
      <c r="W331" s="14"/>
      <c r="X331" s="14"/>
      <c r="Y331" s="13"/>
      <c r="Z331" s="12"/>
      <c r="AA331" s="12"/>
      <c r="AB331" s="12"/>
      <c r="AC331" s="12"/>
      <c r="AD331" s="15"/>
      <c r="AE331" s="12"/>
      <c r="AF331" s="13"/>
      <c r="AG331" s="12"/>
      <c r="AH331" s="12"/>
      <c r="AI331" s="15"/>
      <c r="AJ331" s="12"/>
      <c r="AK331" s="12"/>
      <c r="AL331" s="12"/>
      <c r="AM331" s="12"/>
      <c r="AN331" s="12"/>
      <c r="AO331" s="12"/>
      <c r="AP331" s="12"/>
      <c r="AQ331" s="15"/>
      <c r="AR331" s="12"/>
      <c r="AS331" s="12"/>
      <c r="AT331" s="12"/>
      <c r="AU331" s="12"/>
      <c r="AV331" s="12"/>
      <c r="AW331" s="12"/>
      <c r="AX331" s="13"/>
      <c r="AY331" s="12"/>
      <c r="AZ331" s="12" t="str">
        <f>IF(AND(A331="",B331="",E331="",G331="",I331="",AV331="",AX331=""),"",IF(OR(B331="skip",AV331="skip"),"SKIP",IF(OR(B331="to_candidate",AV331="proposed_name"),IF(OR(A331="",AW331="",AX331="",COUNTIF($A$6:$A$505,A331)&gt;1),"REVIEW","TO_PROPOSED"),IF(OR(B331="",A331="",E331="",G331="",I331="",U331="",AV331="",COUNTIF($A$6:$A$505,A331)&gt;1,(COUNTIFS('أرقام التواصل'!$A$6:$A$505,"client",'أرقام التواصل'!$B$6:$B$505,A331,'أرقام التواصل'!$I$6:$I$505,"TRUE")+COUNTIFS('أرقام التواصل'!$A$6:$A$505,"client",'أرقام التواصل'!$B$6:$B$505,A331,'أرقام التواصل'!$C$6:$C$505,1))=0),"REVIEW","READY"))))</f>
        <v/>
      </c>
      <c r="BA331" s="16" t="str">
        <f>IF(AZ331="","",IF(OR(AZ331="READY",AZ331="TO_PROPOSED"),"",IF(AZ331="SKIP","Skipped by decision",TRIM(IF(B331="","missing import_action; ","")&amp;IF(A331="","missing migration_customer_key; ","")&amp;IF(AND(A331&lt;&gt;"",COUNTIF($A$6:$A$505,A331)&gt;1),"duplicate migration_customer_key; ","")&amp;IF(AND(NOT(OR(B331="to_candidate",AV331="proposed_name")),E331=""),"missing branch_id; ","")&amp;IF(AND(NOT(OR(B331="to_candidate",AV331="proposed_name")),G331=""),"missing first_name; ","")&amp;IF(AND(NOT(OR(B331="to_candidate",AV331="proposed_name")),I331=""),"missing last_name; ","")&amp;IF(AND(NOT(OR(B331="to_candidate",AV331="proposed_name")),U331=""),"missing final_geo_unit_id; ","")&amp;IF(AV331="","missing final_destination; ","")&amp;IF(AND(NOT(OR(B331="to_candidate",AV331="proposed_name")),(COUNTIFS('أرقام التواصل'!$A$6:$A$505,"client",'أرقام التواصل'!$B$6:$B$505,A331,'أرقام التواصل'!$I$6:$I$505,"TRUE")+COUNTIFS('أرقام التواصل'!$A$6:$A$505,"client",'أرقام التواصل'!$B$6:$B$505,A331,'أرقام التواصل'!$C$6:$C$505,1))=0),"missing primary contact in أرقام التواصل; ","")&amp;IF(OR(B331="to_candidate",AV331="proposed_name"),IF(AW331="","missing proposed_move_reason; ","")&amp;IF(AX331="","missing proposed_name_key; ",""),"")))))</f>
        <v/>
      </c>
    </row>
    <row r="332" spans="1:53">
      <c r="A332" s="11"/>
      <c r="B332" s="12"/>
      <c r="C332" s="13"/>
      <c r="D332" s="12"/>
      <c r="E332" s="12"/>
      <c r="F332" s="12"/>
      <c r="G332" s="12"/>
      <c r="H332" s="12"/>
      <c r="I332" s="12"/>
      <c r="J332" s="12"/>
      <c r="K332" s="12" t="str">
        <f t="shared" si="9"/>
        <v/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 t="str">
        <f t="shared" si="10"/>
        <v/>
      </c>
      <c r="V332" s="12"/>
      <c r="W332" s="14"/>
      <c r="X332" s="14"/>
      <c r="Y332" s="13"/>
      <c r="Z332" s="12"/>
      <c r="AA332" s="12"/>
      <c r="AB332" s="12"/>
      <c r="AC332" s="12"/>
      <c r="AD332" s="15"/>
      <c r="AE332" s="12"/>
      <c r="AF332" s="13"/>
      <c r="AG332" s="12"/>
      <c r="AH332" s="12"/>
      <c r="AI332" s="15"/>
      <c r="AJ332" s="12"/>
      <c r="AK332" s="12"/>
      <c r="AL332" s="12"/>
      <c r="AM332" s="12"/>
      <c r="AN332" s="12"/>
      <c r="AO332" s="12"/>
      <c r="AP332" s="12"/>
      <c r="AQ332" s="15"/>
      <c r="AR332" s="12"/>
      <c r="AS332" s="12"/>
      <c r="AT332" s="12"/>
      <c r="AU332" s="12"/>
      <c r="AV332" s="12"/>
      <c r="AW332" s="12"/>
      <c r="AX332" s="13"/>
      <c r="AY332" s="12"/>
      <c r="AZ332" s="12" t="str">
        <f>IF(AND(A332="",B332="",E332="",G332="",I332="",AV332="",AX332=""),"",IF(OR(B332="skip",AV332="skip"),"SKIP",IF(OR(B332="to_candidate",AV332="proposed_name"),IF(OR(A332="",AW332="",AX332="",COUNTIF($A$6:$A$505,A332)&gt;1),"REVIEW","TO_PROPOSED"),IF(OR(B332="",A332="",E332="",G332="",I332="",U332="",AV332="",COUNTIF($A$6:$A$505,A332)&gt;1,(COUNTIFS('أرقام التواصل'!$A$6:$A$505,"client",'أرقام التواصل'!$B$6:$B$505,A332,'أرقام التواصل'!$I$6:$I$505,"TRUE")+COUNTIFS('أرقام التواصل'!$A$6:$A$505,"client",'أرقام التواصل'!$B$6:$B$505,A332,'أرقام التواصل'!$C$6:$C$505,1))=0),"REVIEW","READY"))))</f>
        <v/>
      </c>
      <c r="BA332" s="16" t="str">
        <f>IF(AZ332="","",IF(OR(AZ332="READY",AZ332="TO_PROPOSED"),"",IF(AZ332="SKIP","Skipped by decision",TRIM(IF(B332="","missing import_action; ","")&amp;IF(A332="","missing migration_customer_key; ","")&amp;IF(AND(A332&lt;&gt;"",COUNTIF($A$6:$A$505,A332)&gt;1),"duplicate migration_customer_key; ","")&amp;IF(AND(NOT(OR(B332="to_candidate",AV332="proposed_name")),E332=""),"missing branch_id; ","")&amp;IF(AND(NOT(OR(B332="to_candidate",AV332="proposed_name")),G332=""),"missing first_name; ","")&amp;IF(AND(NOT(OR(B332="to_candidate",AV332="proposed_name")),I332=""),"missing last_name; ","")&amp;IF(AND(NOT(OR(B332="to_candidate",AV332="proposed_name")),U332=""),"missing final_geo_unit_id; ","")&amp;IF(AV332="","missing final_destination; ","")&amp;IF(AND(NOT(OR(B332="to_candidate",AV332="proposed_name")),(COUNTIFS('أرقام التواصل'!$A$6:$A$505,"client",'أرقام التواصل'!$B$6:$B$505,A332,'أرقام التواصل'!$I$6:$I$505,"TRUE")+COUNTIFS('أرقام التواصل'!$A$6:$A$505,"client",'أرقام التواصل'!$B$6:$B$505,A332,'أرقام التواصل'!$C$6:$C$505,1))=0),"missing primary contact in أرقام التواصل; ","")&amp;IF(OR(B332="to_candidate",AV332="proposed_name"),IF(AW332="","missing proposed_move_reason; ","")&amp;IF(AX332="","missing proposed_name_key; ",""),"")))))</f>
        <v/>
      </c>
    </row>
    <row r="333" spans="1:53">
      <c r="A333" s="11"/>
      <c r="B333" s="12"/>
      <c r="C333" s="13"/>
      <c r="D333" s="12"/>
      <c r="E333" s="12"/>
      <c r="F333" s="12"/>
      <c r="G333" s="12"/>
      <c r="H333" s="12"/>
      <c r="I333" s="12"/>
      <c r="J333" s="12"/>
      <c r="K333" s="12" t="str">
        <f t="shared" si="9"/>
        <v/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 t="str">
        <f t="shared" si="10"/>
        <v/>
      </c>
      <c r="V333" s="12"/>
      <c r="W333" s="14"/>
      <c r="X333" s="14"/>
      <c r="Y333" s="13"/>
      <c r="Z333" s="12"/>
      <c r="AA333" s="12"/>
      <c r="AB333" s="12"/>
      <c r="AC333" s="12"/>
      <c r="AD333" s="15"/>
      <c r="AE333" s="12"/>
      <c r="AF333" s="13"/>
      <c r="AG333" s="12"/>
      <c r="AH333" s="12"/>
      <c r="AI333" s="15"/>
      <c r="AJ333" s="12"/>
      <c r="AK333" s="12"/>
      <c r="AL333" s="12"/>
      <c r="AM333" s="12"/>
      <c r="AN333" s="12"/>
      <c r="AO333" s="12"/>
      <c r="AP333" s="12"/>
      <c r="AQ333" s="15"/>
      <c r="AR333" s="12"/>
      <c r="AS333" s="12"/>
      <c r="AT333" s="12"/>
      <c r="AU333" s="12"/>
      <c r="AV333" s="12"/>
      <c r="AW333" s="12"/>
      <c r="AX333" s="13"/>
      <c r="AY333" s="12"/>
      <c r="AZ333" s="12" t="str">
        <f>IF(AND(A333="",B333="",E333="",G333="",I333="",AV333="",AX333=""),"",IF(OR(B333="skip",AV333="skip"),"SKIP",IF(OR(B333="to_candidate",AV333="proposed_name"),IF(OR(A333="",AW333="",AX333="",COUNTIF($A$6:$A$505,A333)&gt;1),"REVIEW","TO_PROPOSED"),IF(OR(B333="",A333="",E333="",G333="",I333="",U333="",AV333="",COUNTIF($A$6:$A$505,A333)&gt;1,(COUNTIFS('أرقام التواصل'!$A$6:$A$505,"client",'أرقام التواصل'!$B$6:$B$505,A333,'أرقام التواصل'!$I$6:$I$505,"TRUE")+COUNTIFS('أرقام التواصل'!$A$6:$A$505,"client",'أرقام التواصل'!$B$6:$B$505,A333,'أرقام التواصل'!$C$6:$C$505,1))=0),"REVIEW","READY"))))</f>
        <v/>
      </c>
      <c r="BA333" s="16" t="str">
        <f>IF(AZ333="","",IF(OR(AZ333="READY",AZ333="TO_PROPOSED"),"",IF(AZ333="SKIP","Skipped by decision",TRIM(IF(B333="","missing import_action; ","")&amp;IF(A333="","missing migration_customer_key; ","")&amp;IF(AND(A333&lt;&gt;"",COUNTIF($A$6:$A$505,A333)&gt;1),"duplicate migration_customer_key; ","")&amp;IF(AND(NOT(OR(B333="to_candidate",AV333="proposed_name")),E333=""),"missing branch_id; ","")&amp;IF(AND(NOT(OR(B333="to_candidate",AV333="proposed_name")),G333=""),"missing first_name; ","")&amp;IF(AND(NOT(OR(B333="to_candidate",AV333="proposed_name")),I333=""),"missing last_name; ","")&amp;IF(AND(NOT(OR(B333="to_candidate",AV333="proposed_name")),U333=""),"missing final_geo_unit_id; ","")&amp;IF(AV333="","missing final_destination; ","")&amp;IF(AND(NOT(OR(B333="to_candidate",AV333="proposed_name")),(COUNTIFS('أرقام التواصل'!$A$6:$A$505,"client",'أرقام التواصل'!$B$6:$B$505,A333,'أرقام التواصل'!$I$6:$I$505,"TRUE")+COUNTIFS('أرقام التواصل'!$A$6:$A$505,"client",'أرقام التواصل'!$B$6:$B$505,A333,'أرقام التواصل'!$C$6:$C$505,1))=0),"missing primary contact in أرقام التواصل; ","")&amp;IF(OR(B333="to_candidate",AV333="proposed_name"),IF(AW333="","missing proposed_move_reason; ","")&amp;IF(AX333="","missing proposed_name_key; ",""),"")))))</f>
        <v/>
      </c>
    </row>
    <row r="334" spans="1:53">
      <c r="A334" s="11"/>
      <c r="B334" s="12"/>
      <c r="C334" s="13"/>
      <c r="D334" s="12"/>
      <c r="E334" s="12"/>
      <c r="F334" s="12"/>
      <c r="G334" s="12"/>
      <c r="H334" s="12"/>
      <c r="I334" s="12"/>
      <c r="J334" s="12"/>
      <c r="K334" s="12" t="str">
        <f t="shared" si="9"/>
        <v/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 t="str">
        <f t="shared" si="10"/>
        <v/>
      </c>
      <c r="V334" s="12"/>
      <c r="W334" s="14"/>
      <c r="X334" s="14"/>
      <c r="Y334" s="13"/>
      <c r="Z334" s="12"/>
      <c r="AA334" s="12"/>
      <c r="AB334" s="12"/>
      <c r="AC334" s="12"/>
      <c r="AD334" s="15"/>
      <c r="AE334" s="12"/>
      <c r="AF334" s="13"/>
      <c r="AG334" s="12"/>
      <c r="AH334" s="12"/>
      <c r="AI334" s="15"/>
      <c r="AJ334" s="12"/>
      <c r="AK334" s="12"/>
      <c r="AL334" s="12"/>
      <c r="AM334" s="12"/>
      <c r="AN334" s="12"/>
      <c r="AO334" s="12"/>
      <c r="AP334" s="12"/>
      <c r="AQ334" s="15"/>
      <c r="AR334" s="12"/>
      <c r="AS334" s="12"/>
      <c r="AT334" s="12"/>
      <c r="AU334" s="12"/>
      <c r="AV334" s="12"/>
      <c r="AW334" s="12"/>
      <c r="AX334" s="13"/>
      <c r="AY334" s="12"/>
      <c r="AZ334" s="12" t="str">
        <f>IF(AND(A334="",B334="",E334="",G334="",I334="",AV334="",AX334=""),"",IF(OR(B334="skip",AV334="skip"),"SKIP",IF(OR(B334="to_candidate",AV334="proposed_name"),IF(OR(A334="",AW334="",AX334="",COUNTIF($A$6:$A$505,A334)&gt;1),"REVIEW","TO_PROPOSED"),IF(OR(B334="",A334="",E334="",G334="",I334="",U334="",AV334="",COUNTIF($A$6:$A$505,A334)&gt;1,(COUNTIFS('أرقام التواصل'!$A$6:$A$505,"client",'أرقام التواصل'!$B$6:$B$505,A334,'أرقام التواصل'!$I$6:$I$505,"TRUE")+COUNTIFS('أرقام التواصل'!$A$6:$A$505,"client",'أرقام التواصل'!$B$6:$B$505,A334,'أرقام التواصل'!$C$6:$C$505,1))=0),"REVIEW","READY"))))</f>
        <v/>
      </c>
      <c r="BA334" s="16" t="str">
        <f>IF(AZ334="","",IF(OR(AZ334="READY",AZ334="TO_PROPOSED"),"",IF(AZ334="SKIP","Skipped by decision",TRIM(IF(B334="","missing import_action; ","")&amp;IF(A334="","missing migration_customer_key; ","")&amp;IF(AND(A334&lt;&gt;"",COUNTIF($A$6:$A$505,A334)&gt;1),"duplicate migration_customer_key; ","")&amp;IF(AND(NOT(OR(B334="to_candidate",AV334="proposed_name")),E334=""),"missing branch_id; ","")&amp;IF(AND(NOT(OR(B334="to_candidate",AV334="proposed_name")),G334=""),"missing first_name; ","")&amp;IF(AND(NOT(OR(B334="to_candidate",AV334="proposed_name")),I334=""),"missing last_name; ","")&amp;IF(AND(NOT(OR(B334="to_candidate",AV334="proposed_name")),U334=""),"missing final_geo_unit_id; ","")&amp;IF(AV334="","missing final_destination; ","")&amp;IF(AND(NOT(OR(B334="to_candidate",AV334="proposed_name")),(COUNTIFS('أرقام التواصل'!$A$6:$A$505,"client",'أرقام التواصل'!$B$6:$B$505,A334,'أرقام التواصل'!$I$6:$I$505,"TRUE")+COUNTIFS('أرقام التواصل'!$A$6:$A$505,"client",'أرقام التواصل'!$B$6:$B$505,A334,'أرقام التواصل'!$C$6:$C$505,1))=0),"missing primary contact in أرقام التواصل; ","")&amp;IF(OR(B334="to_candidate",AV334="proposed_name"),IF(AW334="","missing proposed_move_reason; ","")&amp;IF(AX334="","missing proposed_name_key; ",""),"")))))</f>
        <v/>
      </c>
    </row>
    <row r="335" spans="1:53">
      <c r="A335" s="11"/>
      <c r="B335" s="12"/>
      <c r="C335" s="13"/>
      <c r="D335" s="12"/>
      <c r="E335" s="12"/>
      <c r="F335" s="12"/>
      <c r="G335" s="12"/>
      <c r="H335" s="12"/>
      <c r="I335" s="12"/>
      <c r="J335" s="12"/>
      <c r="K335" s="12" t="str">
        <f t="shared" si="9"/>
        <v/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 t="str">
        <f t="shared" si="10"/>
        <v/>
      </c>
      <c r="V335" s="12"/>
      <c r="W335" s="14"/>
      <c r="X335" s="14"/>
      <c r="Y335" s="13"/>
      <c r="Z335" s="12"/>
      <c r="AA335" s="12"/>
      <c r="AB335" s="12"/>
      <c r="AC335" s="12"/>
      <c r="AD335" s="15"/>
      <c r="AE335" s="12"/>
      <c r="AF335" s="13"/>
      <c r="AG335" s="12"/>
      <c r="AH335" s="12"/>
      <c r="AI335" s="15"/>
      <c r="AJ335" s="12"/>
      <c r="AK335" s="12"/>
      <c r="AL335" s="12"/>
      <c r="AM335" s="12"/>
      <c r="AN335" s="12"/>
      <c r="AO335" s="12"/>
      <c r="AP335" s="12"/>
      <c r="AQ335" s="15"/>
      <c r="AR335" s="12"/>
      <c r="AS335" s="12"/>
      <c r="AT335" s="12"/>
      <c r="AU335" s="12"/>
      <c r="AV335" s="12"/>
      <c r="AW335" s="12"/>
      <c r="AX335" s="13"/>
      <c r="AY335" s="12"/>
      <c r="AZ335" s="12" t="str">
        <f>IF(AND(A335="",B335="",E335="",G335="",I335="",AV335="",AX335=""),"",IF(OR(B335="skip",AV335="skip"),"SKIP",IF(OR(B335="to_candidate",AV335="proposed_name"),IF(OR(A335="",AW335="",AX335="",COUNTIF($A$6:$A$505,A335)&gt;1),"REVIEW","TO_PROPOSED"),IF(OR(B335="",A335="",E335="",G335="",I335="",U335="",AV335="",COUNTIF($A$6:$A$505,A335)&gt;1,(COUNTIFS('أرقام التواصل'!$A$6:$A$505,"client",'أرقام التواصل'!$B$6:$B$505,A335,'أرقام التواصل'!$I$6:$I$505,"TRUE")+COUNTIFS('أرقام التواصل'!$A$6:$A$505,"client",'أرقام التواصل'!$B$6:$B$505,A335,'أرقام التواصل'!$C$6:$C$505,1))=0),"REVIEW","READY"))))</f>
        <v/>
      </c>
      <c r="BA335" s="16" t="str">
        <f>IF(AZ335="","",IF(OR(AZ335="READY",AZ335="TO_PROPOSED"),"",IF(AZ335="SKIP","Skipped by decision",TRIM(IF(B335="","missing import_action; ","")&amp;IF(A335="","missing migration_customer_key; ","")&amp;IF(AND(A335&lt;&gt;"",COUNTIF($A$6:$A$505,A335)&gt;1),"duplicate migration_customer_key; ","")&amp;IF(AND(NOT(OR(B335="to_candidate",AV335="proposed_name")),E335=""),"missing branch_id; ","")&amp;IF(AND(NOT(OR(B335="to_candidate",AV335="proposed_name")),G335=""),"missing first_name; ","")&amp;IF(AND(NOT(OR(B335="to_candidate",AV335="proposed_name")),I335=""),"missing last_name; ","")&amp;IF(AND(NOT(OR(B335="to_candidate",AV335="proposed_name")),U335=""),"missing final_geo_unit_id; ","")&amp;IF(AV335="","missing final_destination; ","")&amp;IF(AND(NOT(OR(B335="to_candidate",AV335="proposed_name")),(COUNTIFS('أرقام التواصل'!$A$6:$A$505,"client",'أرقام التواصل'!$B$6:$B$505,A335,'أرقام التواصل'!$I$6:$I$505,"TRUE")+COUNTIFS('أرقام التواصل'!$A$6:$A$505,"client",'أرقام التواصل'!$B$6:$B$505,A335,'أرقام التواصل'!$C$6:$C$505,1))=0),"missing primary contact in أرقام التواصل; ","")&amp;IF(OR(B335="to_candidate",AV335="proposed_name"),IF(AW335="","missing proposed_move_reason; ","")&amp;IF(AX335="","missing proposed_name_key; ",""),"")))))</f>
        <v/>
      </c>
    </row>
    <row r="336" spans="1:53">
      <c r="A336" s="11"/>
      <c r="B336" s="12"/>
      <c r="C336" s="13"/>
      <c r="D336" s="12"/>
      <c r="E336" s="12"/>
      <c r="F336" s="12"/>
      <c r="G336" s="12"/>
      <c r="H336" s="12"/>
      <c r="I336" s="12"/>
      <c r="J336" s="12"/>
      <c r="K336" s="12" t="str">
        <f t="shared" si="9"/>
        <v/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 t="str">
        <f t="shared" si="10"/>
        <v/>
      </c>
      <c r="V336" s="12"/>
      <c r="W336" s="14"/>
      <c r="X336" s="14"/>
      <c r="Y336" s="13"/>
      <c r="Z336" s="12"/>
      <c r="AA336" s="12"/>
      <c r="AB336" s="12"/>
      <c r="AC336" s="12"/>
      <c r="AD336" s="15"/>
      <c r="AE336" s="12"/>
      <c r="AF336" s="13"/>
      <c r="AG336" s="12"/>
      <c r="AH336" s="12"/>
      <c r="AI336" s="15"/>
      <c r="AJ336" s="12"/>
      <c r="AK336" s="12"/>
      <c r="AL336" s="12"/>
      <c r="AM336" s="12"/>
      <c r="AN336" s="12"/>
      <c r="AO336" s="12"/>
      <c r="AP336" s="12"/>
      <c r="AQ336" s="15"/>
      <c r="AR336" s="12"/>
      <c r="AS336" s="12"/>
      <c r="AT336" s="12"/>
      <c r="AU336" s="12"/>
      <c r="AV336" s="12"/>
      <c r="AW336" s="12"/>
      <c r="AX336" s="13"/>
      <c r="AY336" s="12"/>
      <c r="AZ336" s="12" t="str">
        <f>IF(AND(A336="",B336="",E336="",G336="",I336="",AV336="",AX336=""),"",IF(OR(B336="skip",AV336="skip"),"SKIP",IF(OR(B336="to_candidate",AV336="proposed_name"),IF(OR(A336="",AW336="",AX336="",COUNTIF($A$6:$A$505,A336)&gt;1),"REVIEW","TO_PROPOSED"),IF(OR(B336="",A336="",E336="",G336="",I336="",U336="",AV336="",COUNTIF($A$6:$A$505,A336)&gt;1,(COUNTIFS('أرقام التواصل'!$A$6:$A$505,"client",'أرقام التواصل'!$B$6:$B$505,A336,'أرقام التواصل'!$I$6:$I$505,"TRUE")+COUNTIFS('أرقام التواصل'!$A$6:$A$505,"client",'أرقام التواصل'!$B$6:$B$505,A336,'أرقام التواصل'!$C$6:$C$505,1))=0),"REVIEW","READY"))))</f>
        <v/>
      </c>
      <c r="BA336" s="16" t="str">
        <f>IF(AZ336="","",IF(OR(AZ336="READY",AZ336="TO_PROPOSED"),"",IF(AZ336="SKIP","Skipped by decision",TRIM(IF(B336="","missing import_action; ","")&amp;IF(A336="","missing migration_customer_key; ","")&amp;IF(AND(A336&lt;&gt;"",COUNTIF($A$6:$A$505,A336)&gt;1),"duplicate migration_customer_key; ","")&amp;IF(AND(NOT(OR(B336="to_candidate",AV336="proposed_name")),E336=""),"missing branch_id; ","")&amp;IF(AND(NOT(OR(B336="to_candidate",AV336="proposed_name")),G336=""),"missing first_name; ","")&amp;IF(AND(NOT(OR(B336="to_candidate",AV336="proposed_name")),I336=""),"missing last_name; ","")&amp;IF(AND(NOT(OR(B336="to_candidate",AV336="proposed_name")),U336=""),"missing final_geo_unit_id; ","")&amp;IF(AV336="","missing final_destination; ","")&amp;IF(AND(NOT(OR(B336="to_candidate",AV336="proposed_name")),(COUNTIFS('أرقام التواصل'!$A$6:$A$505,"client",'أرقام التواصل'!$B$6:$B$505,A336,'أرقام التواصل'!$I$6:$I$505,"TRUE")+COUNTIFS('أرقام التواصل'!$A$6:$A$505,"client",'أرقام التواصل'!$B$6:$B$505,A336,'أرقام التواصل'!$C$6:$C$505,1))=0),"missing primary contact in أرقام التواصل; ","")&amp;IF(OR(B336="to_candidate",AV336="proposed_name"),IF(AW336="","missing proposed_move_reason; ","")&amp;IF(AX336="","missing proposed_name_key; ",""),"")))))</f>
        <v/>
      </c>
    </row>
    <row r="337" spans="1:53">
      <c r="A337" s="11"/>
      <c r="B337" s="12"/>
      <c r="C337" s="13"/>
      <c r="D337" s="12"/>
      <c r="E337" s="12"/>
      <c r="F337" s="12"/>
      <c r="G337" s="12"/>
      <c r="H337" s="12"/>
      <c r="I337" s="12"/>
      <c r="J337" s="12"/>
      <c r="K337" s="12" t="str">
        <f t="shared" si="9"/>
        <v/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 t="str">
        <f t="shared" si="10"/>
        <v/>
      </c>
      <c r="V337" s="12"/>
      <c r="W337" s="14"/>
      <c r="X337" s="14"/>
      <c r="Y337" s="13"/>
      <c r="Z337" s="12"/>
      <c r="AA337" s="12"/>
      <c r="AB337" s="12"/>
      <c r="AC337" s="12"/>
      <c r="AD337" s="15"/>
      <c r="AE337" s="12"/>
      <c r="AF337" s="13"/>
      <c r="AG337" s="12"/>
      <c r="AH337" s="12"/>
      <c r="AI337" s="15"/>
      <c r="AJ337" s="12"/>
      <c r="AK337" s="12"/>
      <c r="AL337" s="12"/>
      <c r="AM337" s="12"/>
      <c r="AN337" s="12"/>
      <c r="AO337" s="12"/>
      <c r="AP337" s="12"/>
      <c r="AQ337" s="15"/>
      <c r="AR337" s="12"/>
      <c r="AS337" s="12"/>
      <c r="AT337" s="12"/>
      <c r="AU337" s="12"/>
      <c r="AV337" s="12"/>
      <c r="AW337" s="12"/>
      <c r="AX337" s="13"/>
      <c r="AY337" s="12"/>
      <c r="AZ337" s="12" t="str">
        <f>IF(AND(A337="",B337="",E337="",G337="",I337="",AV337="",AX337=""),"",IF(OR(B337="skip",AV337="skip"),"SKIP",IF(OR(B337="to_candidate",AV337="proposed_name"),IF(OR(A337="",AW337="",AX337="",COUNTIF($A$6:$A$505,A337)&gt;1),"REVIEW","TO_PROPOSED"),IF(OR(B337="",A337="",E337="",G337="",I337="",U337="",AV337="",COUNTIF($A$6:$A$505,A337)&gt;1,(COUNTIFS('أرقام التواصل'!$A$6:$A$505,"client",'أرقام التواصل'!$B$6:$B$505,A337,'أرقام التواصل'!$I$6:$I$505,"TRUE")+COUNTIFS('أرقام التواصل'!$A$6:$A$505,"client",'أرقام التواصل'!$B$6:$B$505,A337,'أرقام التواصل'!$C$6:$C$505,1))=0),"REVIEW","READY"))))</f>
        <v/>
      </c>
      <c r="BA337" s="16" t="str">
        <f>IF(AZ337="","",IF(OR(AZ337="READY",AZ337="TO_PROPOSED"),"",IF(AZ337="SKIP","Skipped by decision",TRIM(IF(B337="","missing import_action; ","")&amp;IF(A337="","missing migration_customer_key; ","")&amp;IF(AND(A337&lt;&gt;"",COUNTIF($A$6:$A$505,A337)&gt;1),"duplicate migration_customer_key; ","")&amp;IF(AND(NOT(OR(B337="to_candidate",AV337="proposed_name")),E337=""),"missing branch_id; ","")&amp;IF(AND(NOT(OR(B337="to_candidate",AV337="proposed_name")),G337=""),"missing first_name; ","")&amp;IF(AND(NOT(OR(B337="to_candidate",AV337="proposed_name")),I337=""),"missing last_name; ","")&amp;IF(AND(NOT(OR(B337="to_candidate",AV337="proposed_name")),U337=""),"missing final_geo_unit_id; ","")&amp;IF(AV337="","missing final_destination; ","")&amp;IF(AND(NOT(OR(B337="to_candidate",AV337="proposed_name")),(COUNTIFS('أرقام التواصل'!$A$6:$A$505,"client",'أرقام التواصل'!$B$6:$B$505,A337,'أرقام التواصل'!$I$6:$I$505,"TRUE")+COUNTIFS('أرقام التواصل'!$A$6:$A$505,"client",'أرقام التواصل'!$B$6:$B$505,A337,'أرقام التواصل'!$C$6:$C$505,1))=0),"missing primary contact in أرقام التواصل; ","")&amp;IF(OR(B337="to_candidate",AV337="proposed_name"),IF(AW337="","missing proposed_move_reason; ","")&amp;IF(AX337="","missing proposed_name_key; ",""),"")))))</f>
        <v/>
      </c>
    </row>
    <row r="338" spans="1:53">
      <c r="A338" s="11"/>
      <c r="B338" s="12"/>
      <c r="C338" s="13"/>
      <c r="D338" s="12"/>
      <c r="E338" s="12"/>
      <c r="F338" s="12"/>
      <c r="G338" s="12"/>
      <c r="H338" s="12"/>
      <c r="I338" s="12"/>
      <c r="J338" s="12"/>
      <c r="K338" s="12" t="str">
        <f t="shared" si="9"/>
        <v/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 t="str">
        <f t="shared" si="10"/>
        <v/>
      </c>
      <c r="V338" s="12"/>
      <c r="W338" s="14"/>
      <c r="X338" s="14"/>
      <c r="Y338" s="13"/>
      <c r="Z338" s="12"/>
      <c r="AA338" s="12"/>
      <c r="AB338" s="12"/>
      <c r="AC338" s="12"/>
      <c r="AD338" s="15"/>
      <c r="AE338" s="12"/>
      <c r="AF338" s="13"/>
      <c r="AG338" s="12"/>
      <c r="AH338" s="12"/>
      <c r="AI338" s="15"/>
      <c r="AJ338" s="12"/>
      <c r="AK338" s="12"/>
      <c r="AL338" s="12"/>
      <c r="AM338" s="12"/>
      <c r="AN338" s="12"/>
      <c r="AO338" s="12"/>
      <c r="AP338" s="12"/>
      <c r="AQ338" s="15"/>
      <c r="AR338" s="12"/>
      <c r="AS338" s="12"/>
      <c r="AT338" s="12"/>
      <c r="AU338" s="12"/>
      <c r="AV338" s="12"/>
      <c r="AW338" s="12"/>
      <c r="AX338" s="13"/>
      <c r="AY338" s="12"/>
      <c r="AZ338" s="12" t="str">
        <f>IF(AND(A338="",B338="",E338="",G338="",I338="",AV338="",AX338=""),"",IF(OR(B338="skip",AV338="skip"),"SKIP",IF(OR(B338="to_candidate",AV338="proposed_name"),IF(OR(A338="",AW338="",AX338="",COUNTIF($A$6:$A$505,A338)&gt;1),"REVIEW","TO_PROPOSED"),IF(OR(B338="",A338="",E338="",G338="",I338="",U338="",AV338="",COUNTIF($A$6:$A$505,A338)&gt;1,(COUNTIFS('أرقام التواصل'!$A$6:$A$505,"client",'أرقام التواصل'!$B$6:$B$505,A338,'أرقام التواصل'!$I$6:$I$505,"TRUE")+COUNTIFS('أرقام التواصل'!$A$6:$A$505,"client",'أرقام التواصل'!$B$6:$B$505,A338,'أرقام التواصل'!$C$6:$C$505,1))=0),"REVIEW","READY"))))</f>
        <v/>
      </c>
      <c r="BA338" s="16" t="str">
        <f>IF(AZ338="","",IF(OR(AZ338="READY",AZ338="TO_PROPOSED"),"",IF(AZ338="SKIP","Skipped by decision",TRIM(IF(B338="","missing import_action; ","")&amp;IF(A338="","missing migration_customer_key; ","")&amp;IF(AND(A338&lt;&gt;"",COUNTIF($A$6:$A$505,A338)&gt;1),"duplicate migration_customer_key; ","")&amp;IF(AND(NOT(OR(B338="to_candidate",AV338="proposed_name")),E338=""),"missing branch_id; ","")&amp;IF(AND(NOT(OR(B338="to_candidate",AV338="proposed_name")),G338=""),"missing first_name; ","")&amp;IF(AND(NOT(OR(B338="to_candidate",AV338="proposed_name")),I338=""),"missing last_name; ","")&amp;IF(AND(NOT(OR(B338="to_candidate",AV338="proposed_name")),U338=""),"missing final_geo_unit_id; ","")&amp;IF(AV338="","missing final_destination; ","")&amp;IF(AND(NOT(OR(B338="to_candidate",AV338="proposed_name")),(COUNTIFS('أرقام التواصل'!$A$6:$A$505,"client",'أرقام التواصل'!$B$6:$B$505,A338,'أرقام التواصل'!$I$6:$I$505,"TRUE")+COUNTIFS('أرقام التواصل'!$A$6:$A$505,"client",'أرقام التواصل'!$B$6:$B$505,A338,'أرقام التواصل'!$C$6:$C$505,1))=0),"missing primary contact in أرقام التواصل; ","")&amp;IF(OR(B338="to_candidate",AV338="proposed_name"),IF(AW338="","missing proposed_move_reason; ","")&amp;IF(AX338="","missing proposed_name_key; ",""),"")))))</f>
        <v/>
      </c>
    </row>
    <row r="339" spans="1:53">
      <c r="A339" s="11"/>
      <c r="B339" s="12"/>
      <c r="C339" s="13"/>
      <c r="D339" s="12"/>
      <c r="E339" s="12"/>
      <c r="F339" s="12"/>
      <c r="G339" s="12"/>
      <c r="H339" s="12"/>
      <c r="I339" s="12"/>
      <c r="J339" s="12"/>
      <c r="K339" s="12" t="str">
        <f t="shared" si="9"/>
        <v/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 t="str">
        <f t="shared" si="10"/>
        <v/>
      </c>
      <c r="V339" s="12"/>
      <c r="W339" s="14"/>
      <c r="X339" s="14"/>
      <c r="Y339" s="13"/>
      <c r="Z339" s="12"/>
      <c r="AA339" s="12"/>
      <c r="AB339" s="12"/>
      <c r="AC339" s="12"/>
      <c r="AD339" s="15"/>
      <c r="AE339" s="12"/>
      <c r="AF339" s="13"/>
      <c r="AG339" s="12"/>
      <c r="AH339" s="12"/>
      <c r="AI339" s="15"/>
      <c r="AJ339" s="12"/>
      <c r="AK339" s="12"/>
      <c r="AL339" s="12"/>
      <c r="AM339" s="12"/>
      <c r="AN339" s="12"/>
      <c r="AO339" s="12"/>
      <c r="AP339" s="12"/>
      <c r="AQ339" s="15"/>
      <c r="AR339" s="12"/>
      <c r="AS339" s="12"/>
      <c r="AT339" s="12"/>
      <c r="AU339" s="12"/>
      <c r="AV339" s="12"/>
      <c r="AW339" s="12"/>
      <c r="AX339" s="13"/>
      <c r="AY339" s="12"/>
      <c r="AZ339" s="12" t="str">
        <f>IF(AND(A339="",B339="",E339="",G339="",I339="",AV339="",AX339=""),"",IF(OR(B339="skip",AV339="skip"),"SKIP",IF(OR(B339="to_candidate",AV339="proposed_name"),IF(OR(A339="",AW339="",AX339="",COUNTIF($A$6:$A$505,A339)&gt;1),"REVIEW","TO_PROPOSED"),IF(OR(B339="",A339="",E339="",G339="",I339="",U339="",AV339="",COUNTIF($A$6:$A$505,A339)&gt;1,(COUNTIFS('أرقام التواصل'!$A$6:$A$505,"client",'أرقام التواصل'!$B$6:$B$505,A339,'أرقام التواصل'!$I$6:$I$505,"TRUE")+COUNTIFS('أرقام التواصل'!$A$6:$A$505,"client",'أرقام التواصل'!$B$6:$B$505,A339,'أرقام التواصل'!$C$6:$C$505,1))=0),"REVIEW","READY"))))</f>
        <v/>
      </c>
      <c r="BA339" s="16" t="str">
        <f>IF(AZ339="","",IF(OR(AZ339="READY",AZ339="TO_PROPOSED"),"",IF(AZ339="SKIP","Skipped by decision",TRIM(IF(B339="","missing import_action; ","")&amp;IF(A339="","missing migration_customer_key; ","")&amp;IF(AND(A339&lt;&gt;"",COUNTIF($A$6:$A$505,A339)&gt;1),"duplicate migration_customer_key; ","")&amp;IF(AND(NOT(OR(B339="to_candidate",AV339="proposed_name")),E339=""),"missing branch_id; ","")&amp;IF(AND(NOT(OR(B339="to_candidate",AV339="proposed_name")),G339=""),"missing first_name; ","")&amp;IF(AND(NOT(OR(B339="to_candidate",AV339="proposed_name")),I339=""),"missing last_name; ","")&amp;IF(AND(NOT(OR(B339="to_candidate",AV339="proposed_name")),U339=""),"missing final_geo_unit_id; ","")&amp;IF(AV339="","missing final_destination; ","")&amp;IF(AND(NOT(OR(B339="to_candidate",AV339="proposed_name")),(COUNTIFS('أرقام التواصل'!$A$6:$A$505,"client",'أرقام التواصل'!$B$6:$B$505,A339,'أرقام التواصل'!$I$6:$I$505,"TRUE")+COUNTIFS('أرقام التواصل'!$A$6:$A$505,"client",'أرقام التواصل'!$B$6:$B$505,A339,'أرقام التواصل'!$C$6:$C$505,1))=0),"missing primary contact in أرقام التواصل; ","")&amp;IF(OR(B339="to_candidate",AV339="proposed_name"),IF(AW339="","missing proposed_move_reason; ","")&amp;IF(AX339="","missing proposed_name_key; ",""),"")))))</f>
        <v/>
      </c>
    </row>
    <row r="340" spans="1:53">
      <c r="A340" s="11"/>
      <c r="B340" s="12"/>
      <c r="C340" s="13"/>
      <c r="D340" s="12"/>
      <c r="E340" s="12"/>
      <c r="F340" s="12"/>
      <c r="G340" s="12"/>
      <c r="H340" s="12"/>
      <c r="I340" s="12"/>
      <c r="J340" s="12"/>
      <c r="K340" s="12" t="str">
        <f t="shared" si="9"/>
        <v/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 t="str">
        <f t="shared" si="10"/>
        <v/>
      </c>
      <c r="V340" s="12"/>
      <c r="W340" s="14"/>
      <c r="X340" s="14"/>
      <c r="Y340" s="13"/>
      <c r="Z340" s="12"/>
      <c r="AA340" s="12"/>
      <c r="AB340" s="12"/>
      <c r="AC340" s="12"/>
      <c r="AD340" s="15"/>
      <c r="AE340" s="12"/>
      <c r="AF340" s="13"/>
      <c r="AG340" s="12"/>
      <c r="AH340" s="12"/>
      <c r="AI340" s="15"/>
      <c r="AJ340" s="12"/>
      <c r="AK340" s="12"/>
      <c r="AL340" s="12"/>
      <c r="AM340" s="12"/>
      <c r="AN340" s="12"/>
      <c r="AO340" s="12"/>
      <c r="AP340" s="12"/>
      <c r="AQ340" s="15"/>
      <c r="AR340" s="12"/>
      <c r="AS340" s="12"/>
      <c r="AT340" s="12"/>
      <c r="AU340" s="12"/>
      <c r="AV340" s="12"/>
      <c r="AW340" s="12"/>
      <c r="AX340" s="13"/>
      <c r="AY340" s="12"/>
      <c r="AZ340" s="12" t="str">
        <f>IF(AND(A340="",B340="",E340="",G340="",I340="",AV340="",AX340=""),"",IF(OR(B340="skip",AV340="skip"),"SKIP",IF(OR(B340="to_candidate",AV340="proposed_name"),IF(OR(A340="",AW340="",AX340="",COUNTIF($A$6:$A$505,A340)&gt;1),"REVIEW","TO_PROPOSED"),IF(OR(B340="",A340="",E340="",G340="",I340="",U340="",AV340="",COUNTIF($A$6:$A$505,A340)&gt;1,(COUNTIFS('أرقام التواصل'!$A$6:$A$505,"client",'أرقام التواصل'!$B$6:$B$505,A340,'أرقام التواصل'!$I$6:$I$505,"TRUE")+COUNTIFS('أرقام التواصل'!$A$6:$A$505,"client",'أرقام التواصل'!$B$6:$B$505,A340,'أرقام التواصل'!$C$6:$C$505,1))=0),"REVIEW","READY"))))</f>
        <v/>
      </c>
      <c r="BA340" s="16" t="str">
        <f>IF(AZ340="","",IF(OR(AZ340="READY",AZ340="TO_PROPOSED"),"",IF(AZ340="SKIP","Skipped by decision",TRIM(IF(B340="","missing import_action; ","")&amp;IF(A340="","missing migration_customer_key; ","")&amp;IF(AND(A340&lt;&gt;"",COUNTIF($A$6:$A$505,A340)&gt;1),"duplicate migration_customer_key; ","")&amp;IF(AND(NOT(OR(B340="to_candidate",AV340="proposed_name")),E340=""),"missing branch_id; ","")&amp;IF(AND(NOT(OR(B340="to_candidate",AV340="proposed_name")),G340=""),"missing first_name; ","")&amp;IF(AND(NOT(OR(B340="to_candidate",AV340="proposed_name")),I340=""),"missing last_name; ","")&amp;IF(AND(NOT(OR(B340="to_candidate",AV340="proposed_name")),U340=""),"missing final_geo_unit_id; ","")&amp;IF(AV340="","missing final_destination; ","")&amp;IF(AND(NOT(OR(B340="to_candidate",AV340="proposed_name")),(COUNTIFS('أرقام التواصل'!$A$6:$A$505,"client",'أرقام التواصل'!$B$6:$B$505,A340,'أرقام التواصل'!$I$6:$I$505,"TRUE")+COUNTIFS('أرقام التواصل'!$A$6:$A$505,"client",'أرقام التواصل'!$B$6:$B$505,A340,'أرقام التواصل'!$C$6:$C$505,1))=0),"missing primary contact in أرقام التواصل; ","")&amp;IF(OR(B340="to_candidate",AV340="proposed_name"),IF(AW340="","missing proposed_move_reason; ","")&amp;IF(AX340="","missing proposed_name_key; ",""),"")))))</f>
        <v/>
      </c>
    </row>
    <row r="341" spans="1:53">
      <c r="A341" s="11"/>
      <c r="B341" s="12"/>
      <c r="C341" s="13"/>
      <c r="D341" s="12"/>
      <c r="E341" s="12"/>
      <c r="F341" s="12"/>
      <c r="G341" s="12"/>
      <c r="H341" s="12"/>
      <c r="I341" s="12"/>
      <c r="J341" s="12"/>
      <c r="K341" s="12" t="str">
        <f t="shared" si="9"/>
        <v/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 t="str">
        <f t="shared" si="10"/>
        <v/>
      </c>
      <c r="V341" s="12"/>
      <c r="W341" s="14"/>
      <c r="X341" s="14"/>
      <c r="Y341" s="13"/>
      <c r="Z341" s="12"/>
      <c r="AA341" s="12"/>
      <c r="AB341" s="12"/>
      <c r="AC341" s="12"/>
      <c r="AD341" s="15"/>
      <c r="AE341" s="12"/>
      <c r="AF341" s="13"/>
      <c r="AG341" s="12"/>
      <c r="AH341" s="12"/>
      <c r="AI341" s="15"/>
      <c r="AJ341" s="12"/>
      <c r="AK341" s="12"/>
      <c r="AL341" s="12"/>
      <c r="AM341" s="12"/>
      <c r="AN341" s="12"/>
      <c r="AO341" s="12"/>
      <c r="AP341" s="12"/>
      <c r="AQ341" s="15"/>
      <c r="AR341" s="12"/>
      <c r="AS341" s="12"/>
      <c r="AT341" s="12"/>
      <c r="AU341" s="12"/>
      <c r="AV341" s="12"/>
      <c r="AW341" s="12"/>
      <c r="AX341" s="13"/>
      <c r="AY341" s="12"/>
      <c r="AZ341" s="12" t="str">
        <f>IF(AND(A341="",B341="",E341="",G341="",I341="",AV341="",AX341=""),"",IF(OR(B341="skip",AV341="skip"),"SKIP",IF(OR(B341="to_candidate",AV341="proposed_name"),IF(OR(A341="",AW341="",AX341="",COUNTIF($A$6:$A$505,A341)&gt;1),"REVIEW","TO_PROPOSED"),IF(OR(B341="",A341="",E341="",G341="",I341="",U341="",AV341="",COUNTIF($A$6:$A$505,A341)&gt;1,(COUNTIFS('أرقام التواصل'!$A$6:$A$505,"client",'أرقام التواصل'!$B$6:$B$505,A341,'أرقام التواصل'!$I$6:$I$505,"TRUE")+COUNTIFS('أرقام التواصل'!$A$6:$A$505,"client",'أرقام التواصل'!$B$6:$B$505,A341,'أرقام التواصل'!$C$6:$C$505,1))=0),"REVIEW","READY"))))</f>
        <v/>
      </c>
      <c r="BA341" s="16" t="str">
        <f>IF(AZ341="","",IF(OR(AZ341="READY",AZ341="TO_PROPOSED"),"",IF(AZ341="SKIP","Skipped by decision",TRIM(IF(B341="","missing import_action; ","")&amp;IF(A341="","missing migration_customer_key; ","")&amp;IF(AND(A341&lt;&gt;"",COUNTIF($A$6:$A$505,A341)&gt;1),"duplicate migration_customer_key; ","")&amp;IF(AND(NOT(OR(B341="to_candidate",AV341="proposed_name")),E341=""),"missing branch_id; ","")&amp;IF(AND(NOT(OR(B341="to_candidate",AV341="proposed_name")),G341=""),"missing first_name; ","")&amp;IF(AND(NOT(OR(B341="to_candidate",AV341="proposed_name")),I341=""),"missing last_name; ","")&amp;IF(AND(NOT(OR(B341="to_candidate",AV341="proposed_name")),U341=""),"missing final_geo_unit_id; ","")&amp;IF(AV341="","missing final_destination; ","")&amp;IF(AND(NOT(OR(B341="to_candidate",AV341="proposed_name")),(COUNTIFS('أرقام التواصل'!$A$6:$A$505,"client",'أرقام التواصل'!$B$6:$B$505,A341,'أرقام التواصل'!$I$6:$I$505,"TRUE")+COUNTIFS('أرقام التواصل'!$A$6:$A$505,"client",'أرقام التواصل'!$B$6:$B$505,A341,'أرقام التواصل'!$C$6:$C$505,1))=0),"missing primary contact in أرقام التواصل; ","")&amp;IF(OR(B341="to_candidate",AV341="proposed_name"),IF(AW341="","missing proposed_move_reason; ","")&amp;IF(AX341="","missing proposed_name_key; ",""),"")))))</f>
        <v/>
      </c>
    </row>
    <row r="342" spans="1:53">
      <c r="A342" s="11"/>
      <c r="B342" s="12"/>
      <c r="C342" s="13"/>
      <c r="D342" s="12"/>
      <c r="E342" s="12"/>
      <c r="F342" s="12"/>
      <c r="G342" s="12"/>
      <c r="H342" s="12"/>
      <c r="I342" s="12"/>
      <c r="J342" s="12"/>
      <c r="K342" s="12" t="str">
        <f t="shared" si="9"/>
        <v/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 t="str">
        <f t="shared" si="10"/>
        <v/>
      </c>
      <c r="V342" s="12"/>
      <c r="W342" s="14"/>
      <c r="X342" s="14"/>
      <c r="Y342" s="13"/>
      <c r="Z342" s="12"/>
      <c r="AA342" s="12"/>
      <c r="AB342" s="12"/>
      <c r="AC342" s="12"/>
      <c r="AD342" s="15"/>
      <c r="AE342" s="12"/>
      <c r="AF342" s="13"/>
      <c r="AG342" s="12"/>
      <c r="AH342" s="12"/>
      <c r="AI342" s="15"/>
      <c r="AJ342" s="12"/>
      <c r="AK342" s="12"/>
      <c r="AL342" s="12"/>
      <c r="AM342" s="12"/>
      <c r="AN342" s="12"/>
      <c r="AO342" s="12"/>
      <c r="AP342" s="12"/>
      <c r="AQ342" s="15"/>
      <c r="AR342" s="12"/>
      <c r="AS342" s="12"/>
      <c r="AT342" s="12"/>
      <c r="AU342" s="12"/>
      <c r="AV342" s="12"/>
      <c r="AW342" s="12"/>
      <c r="AX342" s="13"/>
      <c r="AY342" s="12"/>
      <c r="AZ342" s="12" t="str">
        <f>IF(AND(A342="",B342="",E342="",G342="",I342="",AV342="",AX342=""),"",IF(OR(B342="skip",AV342="skip"),"SKIP",IF(OR(B342="to_candidate",AV342="proposed_name"),IF(OR(A342="",AW342="",AX342="",COUNTIF($A$6:$A$505,A342)&gt;1),"REVIEW","TO_PROPOSED"),IF(OR(B342="",A342="",E342="",G342="",I342="",U342="",AV342="",COUNTIF($A$6:$A$505,A342)&gt;1,(COUNTIFS('أرقام التواصل'!$A$6:$A$505,"client",'أرقام التواصل'!$B$6:$B$505,A342,'أرقام التواصل'!$I$6:$I$505,"TRUE")+COUNTIFS('أرقام التواصل'!$A$6:$A$505,"client",'أرقام التواصل'!$B$6:$B$505,A342,'أرقام التواصل'!$C$6:$C$505,1))=0),"REVIEW","READY"))))</f>
        <v/>
      </c>
      <c r="BA342" s="16" t="str">
        <f>IF(AZ342="","",IF(OR(AZ342="READY",AZ342="TO_PROPOSED"),"",IF(AZ342="SKIP","Skipped by decision",TRIM(IF(B342="","missing import_action; ","")&amp;IF(A342="","missing migration_customer_key; ","")&amp;IF(AND(A342&lt;&gt;"",COUNTIF($A$6:$A$505,A342)&gt;1),"duplicate migration_customer_key; ","")&amp;IF(AND(NOT(OR(B342="to_candidate",AV342="proposed_name")),E342=""),"missing branch_id; ","")&amp;IF(AND(NOT(OR(B342="to_candidate",AV342="proposed_name")),G342=""),"missing first_name; ","")&amp;IF(AND(NOT(OR(B342="to_candidate",AV342="proposed_name")),I342=""),"missing last_name; ","")&amp;IF(AND(NOT(OR(B342="to_candidate",AV342="proposed_name")),U342=""),"missing final_geo_unit_id; ","")&amp;IF(AV342="","missing final_destination; ","")&amp;IF(AND(NOT(OR(B342="to_candidate",AV342="proposed_name")),(COUNTIFS('أرقام التواصل'!$A$6:$A$505,"client",'أرقام التواصل'!$B$6:$B$505,A342,'أرقام التواصل'!$I$6:$I$505,"TRUE")+COUNTIFS('أرقام التواصل'!$A$6:$A$505,"client",'أرقام التواصل'!$B$6:$B$505,A342,'أرقام التواصل'!$C$6:$C$505,1))=0),"missing primary contact in أرقام التواصل; ","")&amp;IF(OR(B342="to_candidate",AV342="proposed_name"),IF(AW342="","missing proposed_move_reason; ","")&amp;IF(AX342="","missing proposed_name_key; ",""),"")))))</f>
        <v/>
      </c>
    </row>
    <row r="343" spans="1:53">
      <c r="A343" s="11"/>
      <c r="B343" s="12"/>
      <c r="C343" s="13"/>
      <c r="D343" s="12"/>
      <c r="E343" s="12"/>
      <c r="F343" s="12"/>
      <c r="G343" s="12"/>
      <c r="H343" s="12"/>
      <c r="I343" s="12"/>
      <c r="J343" s="12"/>
      <c r="K343" s="12" t="str">
        <f t="shared" si="9"/>
        <v/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 t="str">
        <f t="shared" si="10"/>
        <v/>
      </c>
      <c r="V343" s="12"/>
      <c r="W343" s="14"/>
      <c r="X343" s="14"/>
      <c r="Y343" s="13"/>
      <c r="Z343" s="12"/>
      <c r="AA343" s="12"/>
      <c r="AB343" s="12"/>
      <c r="AC343" s="12"/>
      <c r="AD343" s="15"/>
      <c r="AE343" s="12"/>
      <c r="AF343" s="13"/>
      <c r="AG343" s="12"/>
      <c r="AH343" s="12"/>
      <c r="AI343" s="15"/>
      <c r="AJ343" s="12"/>
      <c r="AK343" s="12"/>
      <c r="AL343" s="12"/>
      <c r="AM343" s="12"/>
      <c r="AN343" s="12"/>
      <c r="AO343" s="12"/>
      <c r="AP343" s="12"/>
      <c r="AQ343" s="15"/>
      <c r="AR343" s="12"/>
      <c r="AS343" s="12"/>
      <c r="AT343" s="12"/>
      <c r="AU343" s="12"/>
      <c r="AV343" s="12"/>
      <c r="AW343" s="12"/>
      <c r="AX343" s="13"/>
      <c r="AY343" s="12"/>
      <c r="AZ343" s="12" t="str">
        <f>IF(AND(A343="",B343="",E343="",G343="",I343="",AV343="",AX343=""),"",IF(OR(B343="skip",AV343="skip"),"SKIP",IF(OR(B343="to_candidate",AV343="proposed_name"),IF(OR(A343="",AW343="",AX343="",COUNTIF($A$6:$A$505,A343)&gt;1),"REVIEW","TO_PROPOSED"),IF(OR(B343="",A343="",E343="",G343="",I343="",U343="",AV343="",COUNTIF($A$6:$A$505,A343)&gt;1,(COUNTIFS('أرقام التواصل'!$A$6:$A$505,"client",'أرقام التواصل'!$B$6:$B$505,A343,'أرقام التواصل'!$I$6:$I$505,"TRUE")+COUNTIFS('أرقام التواصل'!$A$6:$A$505,"client",'أرقام التواصل'!$B$6:$B$505,A343,'أرقام التواصل'!$C$6:$C$505,1))=0),"REVIEW","READY"))))</f>
        <v/>
      </c>
      <c r="BA343" s="16" t="str">
        <f>IF(AZ343="","",IF(OR(AZ343="READY",AZ343="TO_PROPOSED"),"",IF(AZ343="SKIP","Skipped by decision",TRIM(IF(B343="","missing import_action; ","")&amp;IF(A343="","missing migration_customer_key; ","")&amp;IF(AND(A343&lt;&gt;"",COUNTIF($A$6:$A$505,A343)&gt;1),"duplicate migration_customer_key; ","")&amp;IF(AND(NOT(OR(B343="to_candidate",AV343="proposed_name")),E343=""),"missing branch_id; ","")&amp;IF(AND(NOT(OR(B343="to_candidate",AV343="proposed_name")),G343=""),"missing first_name; ","")&amp;IF(AND(NOT(OR(B343="to_candidate",AV343="proposed_name")),I343=""),"missing last_name; ","")&amp;IF(AND(NOT(OR(B343="to_candidate",AV343="proposed_name")),U343=""),"missing final_geo_unit_id; ","")&amp;IF(AV343="","missing final_destination; ","")&amp;IF(AND(NOT(OR(B343="to_candidate",AV343="proposed_name")),(COUNTIFS('أرقام التواصل'!$A$6:$A$505,"client",'أرقام التواصل'!$B$6:$B$505,A343,'أرقام التواصل'!$I$6:$I$505,"TRUE")+COUNTIFS('أرقام التواصل'!$A$6:$A$505,"client",'أرقام التواصل'!$B$6:$B$505,A343,'أرقام التواصل'!$C$6:$C$505,1))=0),"missing primary contact in أرقام التواصل; ","")&amp;IF(OR(B343="to_candidate",AV343="proposed_name"),IF(AW343="","missing proposed_move_reason; ","")&amp;IF(AX343="","missing proposed_name_key; ",""),"")))))</f>
        <v/>
      </c>
    </row>
    <row r="344" spans="1:53">
      <c r="A344" s="11"/>
      <c r="B344" s="12"/>
      <c r="C344" s="13"/>
      <c r="D344" s="12"/>
      <c r="E344" s="12"/>
      <c r="F344" s="12"/>
      <c r="G344" s="12"/>
      <c r="H344" s="12"/>
      <c r="I344" s="12"/>
      <c r="J344" s="12"/>
      <c r="K344" s="12" t="str">
        <f t="shared" si="9"/>
        <v/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 t="str">
        <f t="shared" si="10"/>
        <v/>
      </c>
      <c r="V344" s="12"/>
      <c r="W344" s="14"/>
      <c r="X344" s="14"/>
      <c r="Y344" s="13"/>
      <c r="Z344" s="12"/>
      <c r="AA344" s="12"/>
      <c r="AB344" s="12"/>
      <c r="AC344" s="12"/>
      <c r="AD344" s="15"/>
      <c r="AE344" s="12"/>
      <c r="AF344" s="13"/>
      <c r="AG344" s="12"/>
      <c r="AH344" s="12"/>
      <c r="AI344" s="15"/>
      <c r="AJ344" s="12"/>
      <c r="AK344" s="12"/>
      <c r="AL344" s="12"/>
      <c r="AM344" s="12"/>
      <c r="AN344" s="12"/>
      <c r="AO344" s="12"/>
      <c r="AP344" s="12"/>
      <c r="AQ344" s="15"/>
      <c r="AR344" s="12"/>
      <c r="AS344" s="12"/>
      <c r="AT344" s="12"/>
      <c r="AU344" s="12"/>
      <c r="AV344" s="12"/>
      <c r="AW344" s="12"/>
      <c r="AX344" s="13"/>
      <c r="AY344" s="12"/>
      <c r="AZ344" s="12" t="str">
        <f>IF(AND(A344="",B344="",E344="",G344="",I344="",AV344="",AX344=""),"",IF(OR(B344="skip",AV344="skip"),"SKIP",IF(OR(B344="to_candidate",AV344="proposed_name"),IF(OR(A344="",AW344="",AX344="",COUNTIF($A$6:$A$505,A344)&gt;1),"REVIEW","TO_PROPOSED"),IF(OR(B344="",A344="",E344="",G344="",I344="",U344="",AV344="",COUNTIF($A$6:$A$505,A344)&gt;1,(COUNTIFS('أرقام التواصل'!$A$6:$A$505,"client",'أرقام التواصل'!$B$6:$B$505,A344,'أرقام التواصل'!$I$6:$I$505,"TRUE")+COUNTIFS('أرقام التواصل'!$A$6:$A$505,"client",'أرقام التواصل'!$B$6:$B$505,A344,'أرقام التواصل'!$C$6:$C$505,1))=0),"REVIEW","READY"))))</f>
        <v/>
      </c>
      <c r="BA344" s="16" t="str">
        <f>IF(AZ344="","",IF(OR(AZ344="READY",AZ344="TO_PROPOSED"),"",IF(AZ344="SKIP","Skipped by decision",TRIM(IF(B344="","missing import_action; ","")&amp;IF(A344="","missing migration_customer_key; ","")&amp;IF(AND(A344&lt;&gt;"",COUNTIF($A$6:$A$505,A344)&gt;1),"duplicate migration_customer_key; ","")&amp;IF(AND(NOT(OR(B344="to_candidate",AV344="proposed_name")),E344=""),"missing branch_id; ","")&amp;IF(AND(NOT(OR(B344="to_candidate",AV344="proposed_name")),G344=""),"missing first_name; ","")&amp;IF(AND(NOT(OR(B344="to_candidate",AV344="proposed_name")),I344=""),"missing last_name; ","")&amp;IF(AND(NOT(OR(B344="to_candidate",AV344="proposed_name")),U344=""),"missing final_geo_unit_id; ","")&amp;IF(AV344="","missing final_destination; ","")&amp;IF(AND(NOT(OR(B344="to_candidate",AV344="proposed_name")),(COUNTIFS('أرقام التواصل'!$A$6:$A$505,"client",'أرقام التواصل'!$B$6:$B$505,A344,'أرقام التواصل'!$I$6:$I$505,"TRUE")+COUNTIFS('أرقام التواصل'!$A$6:$A$505,"client",'أرقام التواصل'!$B$6:$B$505,A344,'أرقام التواصل'!$C$6:$C$505,1))=0),"missing primary contact in أرقام التواصل; ","")&amp;IF(OR(B344="to_candidate",AV344="proposed_name"),IF(AW344="","missing proposed_move_reason; ","")&amp;IF(AX344="","missing proposed_name_key; ",""),"")))))</f>
        <v/>
      </c>
    </row>
    <row r="345" spans="1:53">
      <c r="A345" s="11"/>
      <c r="B345" s="12"/>
      <c r="C345" s="13"/>
      <c r="D345" s="12"/>
      <c r="E345" s="12"/>
      <c r="F345" s="12"/>
      <c r="G345" s="12"/>
      <c r="H345" s="12"/>
      <c r="I345" s="12"/>
      <c r="J345" s="12"/>
      <c r="K345" s="12" t="str">
        <f t="shared" si="9"/>
        <v/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 t="str">
        <f t="shared" si="10"/>
        <v/>
      </c>
      <c r="V345" s="12"/>
      <c r="W345" s="14"/>
      <c r="X345" s="14"/>
      <c r="Y345" s="13"/>
      <c r="Z345" s="12"/>
      <c r="AA345" s="12"/>
      <c r="AB345" s="12"/>
      <c r="AC345" s="12"/>
      <c r="AD345" s="15"/>
      <c r="AE345" s="12"/>
      <c r="AF345" s="13"/>
      <c r="AG345" s="12"/>
      <c r="AH345" s="12"/>
      <c r="AI345" s="15"/>
      <c r="AJ345" s="12"/>
      <c r="AK345" s="12"/>
      <c r="AL345" s="12"/>
      <c r="AM345" s="12"/>
      <c r="AN345" s="12"/>
      <c r="AO345" s="12"/>
      <c r="AP345" s="12"/>
      <c r="AQ345" s="15"/>
      <c r="AR345" s="12"/>
      <c r="AS345" s="12"/>
      <c r="AT345" s="12"/>
      <c r="AU345" s="12"/>
      <c r="AV345" s="12"/>
      <c r="AW345" s="12"/>
      <c r="AX345" s="13"/>
      <c r="AY345" s="12"/>
      <c r="AZ345" s="12" t="str">
        <f>IF(AND(A345="",B345="",E345="",G345="",I345="",AV345="",AX345=""),"",IF(OR(B345="skip",AV345="skip"),"SKIP",IF(OR(B345="to_candidate",AV345="proposed_name"),IF(OR(A345="",AW345="",AX345="",COUNTIF($A$6:$A$505,A345)&gt;1),"REVIEW","TO_PROPOSED"),IF(OR(B345="",A345="",E345="",G345="",I345="",U345="",AV345="",COUNTIF($A$6:$A$505,A345)&gt;1,(COUNTIFS('أرقام التواصل'!$A$6:$A$505,"client",'أرقام التواصل'!$B$6:$B$505,A345,'أرقام التواصل'!$I$6:$I$505,"TRUE")+COUNTIFS('أرقام التواصل'!$A$6:$A$505,"client",'أرقام التواصل'!$B$6:$B$505,A345,'أرقام التواصل'!$C$6:$C$505,1))=0),"REVIEW","READY"))))</f>
        <v/>
      </c>
      <c r="BA345" s="16" t="str">
        <f>IF(AZ345="","",IF(OR(AZ345="READY",AZ345="TO_PROPOSED"),"",IF(AZ345="SKIP","Skipped by decision",TRIM(IF(B345="","missing import_action; ","")&amp;IF(A345="","missing migration_customer_key; ","")&amp;IF(AND(A345&lt;&gt;"",COUNTIF($A$6:$A$505,A345)&gt;1),"duplicate migration_customer_key; ","")&amp;IF(AND(NOT(OR(B345="to_candidate",AV345="proposed_name")),E345=""),"missing branch_id; ","")&amp;IF(AND(NOT(OR(B345="to_candidate",AV345="proposed_name")),G345=""),"missing first_name; ","")&amp;IF(AND(NOT(OR(B345="to_candidate",AV345="proposed_name")),I345=""),"missing last_name; ","")&amp;IF(AND(NOT(OR(B345="to_candidate",AV345="proposed_name")),U345=""),"missing final_geo_unit_id; ","")&amp;IF(AV345="","missing final_destination; ","")&amp;IF(AND(NOT(OR(B345="to_candidate",AV345="proposed_name")),(COUNTIFS('أرقام التواصل'!$A$6:$A$505,"client",'أرقام التواصل'!$B$6:$B$505,A345,'أرقام التواصل'!$I$6:$I$505,"TRUE")+COUNTIFS('أرقام التواصل'!$A$6:$A$505,"client",'أرقام التواصل'!$B$6:$B$505,A345,'أرقام التواصل'!$C$6:$C$505,1))=0),"missing primary contact in أرقام التواصل; ","")&amp;IF(OR(B345="to_candidate",AV345="proposed_name"),IF(AW345="","missing proposed_move_reason; ","")&amp;IF(AX345="","missing proposed_name_key; ",""),"")))))</f>
        <v/>
      </c>
    </row>
    <row r="346" spans="1:53">
      <c r="A346" s="11"/>
      <c r="B346" s="12"/>
      <c r="C346" s="13"/>
      <c r="D346" s="12"/>
      <c r="E346" s="12"/>
      <c r="F346" s="12"/>
      <c r="G346" s="12"/>
      <c r="H346" s="12"/>
      <c r="I346" s="12"/>
      <c r="J346" s="12"/>
      <c r="K346" s="12" t="str">
        <f t="shared" si="9"/>
        <v/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 t="str">
        <f t="shared" si="10"/>
        <v/>
      </c>
      <c r="V346" s="12"/>
      <c r="W346" s="14"/>
      <c r="X346" s="14"/>
      <c r="Y346" s="13"/>
      <c r="Z346" s="12"/>
      <c r="AA346" s="12"/>
      <c r="AB346" s="12"/>
      <c r="AC346" s="12"/>
      <c r="AD346" s="15"/>
      <c r="AE346" s="12"/>
      <c r="AF346" s="13"/>
      <c r="AG346" s="12"/>
      <c r="AH346" s="12"/>
      <c r="AI346" s="15"/>
      <c r="AJ346" s="12"/>
      <c r="AK346" s="12"/>
      <c r="AL346" s="12"/>
      <c r="AM346" s="12"/>
      <c r="AN346" s="12"/>
      <c r="AO346" s="12"/>
      <c r="AP346" s="12"/>
      <c r="AQ346" s="15"/>
      <c r="AR346" s="12"/>
      <c r="AS346" s="12"/>
      <c r="AT346" s="12"/>
      <c r="AU346" s="12"/>
      <c r="AV346" s="12"/>
      <c r="AW346" s="12"/>
      <c r="AX346" s="13"/>
      <c r="AY346" s="12"/>
      <c r="AZ346" s="12" t="str">
        <f>IF(AND(A346="",B346="",E346="",G346="",I346="",AV346="",AX346=""),"",IF(OR(B346="skip",AV346="skip"),"SKIP",IF(OR(B346="to_candidate",AV346="proposed_name"),IF(OR(A346="",AW346="",AX346="",COUNTIF($A$6:$A$505,A346)&gt;1),"REVIEW","TO_PROPOSED"),IF(OR(B346="",A346="",E346="",G346="",I346="",U346="",AV346="",COUNTIF($A$6:$A$505,A346)&gt;1,(COUNTIFS('أرقام التواصل'!$A$6:$A$505,"client",'أرقام التواصل'!$B$6:$B$505,A346,'أرقام التواصل'!$I$6:$I$505,"TRUE")+COUNTIFS('أرقام التواصل'!$A$6:$A$505,"client",'أرقام التواصل'!$B$6:$B$505,A346,'أرقام التواصل'!$C$6:$C$505,1))=0),"REVIEW","READY"))))</f>
        <v/>
      </c>
      <c r="BA346" s="16" t="str">
        <f>IF(AZ346="","",IF(OR(AZ346="READY",AZ346="TO_PROPOSED"),"",IF(AZ346="SKIP","Skipped by decision",TRIM(IF(B346="","missing import_action; ","")&amp;IF(A346="","missing migration_customer_key; ","")&amp;IF(AND(A346&lt;&gt;"",COUNTIF($A$6:$A$505,A346)&gt;1),"duplicate migration_customer_key; ","")&amp;IF(AND(NOT(OR(B346="to_candidate",AV346="proposed_name")),E346=""),"missing branch_id; ","")&amp;IF(AND(NOT(OR(B346="to_candidate",AV346="proposed_name")),G346=""),"missing first_name; ","")&amp;IF(AND(NOT(OR(B346="to_candidate",AV346="proposed_name")),I346=""),"missing last_name; ","")&amp;IF(AND(NOT(OR(B346="to_candidate",AV346="proposed_name")),U346=""),"missing final_geo_unit_id; ","")&amp;IF(AV346="","missing final_destination; ","")&amp;IF(AND(NOT(OR(B346="to_candidate",AV346="proposed_name")),(COUNTIFS('أرقام التواصل'!$A$6:$A$505,"client",'أرقام التواصل'!$B$6:$B$505,A346,'أرقام التواصل'!$I$6:$I$505,"TRUE")+COUNTIFS('أرقام التواصل'!$A$6:$A$505,"client",'أرقام التواصل'!$B$6:$B$505,A346,'أرقام التواصل'!$C$6:$C$505,1))=0),"missing primary contact in أرقام التواصل; ","")&amp;IF(OR(B346="to_candidate",AV346="proposed_name"),IF(AW346="","missing proposed_move_reason; ","")&amp;IF(AX346="","missing proposed_name_key; ",""),"")))))</f>
        <v/>
      </c>
    </row>
    <row r="347" spans="1:53">
      <c r="A347" s="11"/>
      <c r="B347" s="12"/>
      <c r="C347" s="13"/>
      <c r="D347" s="12"/>
      <c r="E347" s="12"/>
      <c r="F347" s="12"/>
      <c r="G347" s="12"/>
      <c r="H347" s="12"/>
      <c r="I347" s="12"/>
      <c r="J347" s="12"/>
      <c r="K347" s="12" t="str">
        <f t="shared" si="9"/>
        <v/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 t="str">
        <f t="shared" si="10"/>
        <v/>
      </c>
      <c r="V347" s="12"/>
      <c r="W347" s="14"/>
      <c r="X347" s="14"/>
      <c r="Y347" s="13"/>
      <c r="Z347" s="12"/>
      <c r="AA347" s="12"/>
      <c r="AB347" s="12"/>
      <c r="AC347" s="12"/>
      <c r="AD347" s="15"/>
      <c r="AE347" s="12"/>
      <c r="AF347" s="13"/>
      <c r="AG347" s="12"/>
      <c r="AH347" s="12"/>
      <c r="AI347" s="15"/>
      <c r="AJ347" s="12"/>
      <c r="AK347" s="12"/>
      <c r="AL347" s="12"/>
      <c r="AM347" s="12"/>
      <c r="AN347" s="12"/>
      <c r="AO347" s="12"/>
      <c r="AP347" s="12"/>
      <c r="AQ347" s="15"/>
      <c r="AR347" s="12"/>
      <c r="AS347" s="12"/>
      <c r="AT347" s="12"/>
      <c r="AU347" s="12"/>
      <c r="AV347" s="12"/>
      <c r="AW347" s="12"/>
      <c r="AX347" s="13"/>
      <c r="AY347" s="12"/>
      <c r="AZ347" s="12" t="str">
        <f>IF(AND(A347="",B347="",E347="",G347="",I347="",AV347="",AX347=""),"",IF(OR(B347="skip",AV347="skip"),"SKIP",IF(OR(B347="to_candidate",AV347="proposed_name"),IF(OR(A347="",AW347="",AX347="",COUNTIF($A$6:$A$505,A347)&gt;1),"REVIEW","TO_PROPOSED"),IF(OR(B347="",A347="",E347="",G347="",I347="",U347="",AV347="",COUNTIF($A$6:$A$505,A347)&gt;1,(COUNTIFS('أرقام التواصل'!$A$6:$A$505,"client",'أرقام التواصل'!$B$6:$B$505,A347,'أرقام التواصل'!$I$6:$I$505,"TRUE")+COUNTIFS('أرقام التواصل'!$A$6:$A$505,"client",'أرقام التواصل'!$B$6:$B$505,A347,'أرقام التواصل'!$C$6:$C$505,1))=0),"REVIEW","READY"))))</f>
        <v/>
      </c>
      <c r="BA347" s="16" t="str">
        <f>IF(AZ347="","",IF(OR(AZ347="READY",AZ347="TO_PROPOSED"),"",IF(AZ347="SKIP","Skipped by decision",TRIM(IF(B347="","missing import_action; ","")&amp;IF(A347="","missing migration_customer_key; ","")&amp;IF(AND(A347&lt;&gt;"",COUNTIF($A$6:$A$505,A347)&gt;1),"duplicate migration_customer_key; ","")&amp;IF(AND(NOT(OR(B347="to_candidate",AV347="proposed_name")),E347=""),"missing branch_id; ","")&amp;IF(AND(NOT(OR(B347="to_candidate",AV347="proposed_name")),G347=""),"missing first_name; ","")&amp;IF(AND(NOT(OR(B347="to_candidate",AV347="proposed_name")),I347=""),"missing last_name; ","")&amp;IF(AND(NOT(OR(B347="to_candidate",AV347="proposed_name")),U347=""),"missing final_geo_unit_id; ","")&amp;IF(AV347="","missing final_destination; ","")&amp;IF(AND(NOT(OR(B347="to_candidate",AV347="proposed_name")),(COUNTIFS('أرقام التواصل'!$A$6:$A$505,"client",'أرقام التواصل'!$B$6:$B$505,A347,'أرقام التواصل'!$I$6:$I$505,"TRUE")+COUNTIFS('أرقام التواصل'!$A$6:$A$505,"client",'أرقام التواصل'!$B$6:$B$505,A347,'أرقام التواصل'!$C$6:$C$505,1))=0),"missing primary contact in أرقام التواصل; ","")&amp;IF(OR(B347="to_candidate",AV347="proposed_name"),IF(AW347="","missing proposed_move_reason; ","")&amp;IF(AX347="","missing proposed_name_key; ",""),"")))))</f>
        <v/>
      </c>
    </row>
    <row r="348" spans="1:53">
      <c r="A348" s="11"/>
      <c r="B348" s="12"/>
      <c r="C348" s="13"/>
      <c r="D348" s="12"/>
      <c r="E348" s="12"/>
      <c r="F348" s="12"/>
      <c r="G348" s="12"/>
      <c r="H348" s="12"/>
      <c r="I348" s="12"/>
      <c r="J348" s="12"/>
      <c r="K348" s="12" t="str">
        <f t="shared" si="9"/>
        <v/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 t="str">
        <f t="shared" si="10"/>
        <v/>
      </c>
      <c r="V348" s="12"/>
      <c r="W348" s="14"/>
      <c r="X348" s="14"/>
      <c r="Y348" s="13"/>
      <c r="Z348" s="12"/>
      <c r="AA348" s="12"/>
      <c r="AB348" s="12"/>
      <c r="AC348" s="12"/>
      <c r="AD348" s="15"/>
      <c r="AE348" s="12"/>
      <c r="AF348" s="13"/>
      <c r="AG348" s="12"/>
      <c r="AH348" s="12"/>
      <c r="AI348" s="15"/>
      <c r="AJ348" s="12"/>
      <c r="AK348" s="12"/>
      <c r="AL348" s="12"/>
      <c r="AM348" s="12"/>
      <c r="AN348" s="12"/>
      <c r="AO348" s="12"/>
      <c r="AP348" s="12"/>
      <c r="AQ348" s="15"/>
      <c r="AR348" s="12"/>
      <c r="AS348" s="12"/>
      <c r="AT348" s="12"/>
      <c r="AU348" s="12"/>
      <c r="AV348" s="12"/>
      <c r="AW348" s="12"/>
      <c r="AX348" s="13"/>
      <c r="AY348" s="12"/>
      <c r="AZ348" s="12" t="str">
        <f>IF(AND(A348="",B348="",E348="",G348="",I348="",AV348="",AX348=""),"",IF(OR(B348="skip",AV348="skip"),"SKIP",IF(OR(B348="to_candidate",AV348="proposed_name"),IF(OR(A348="",AW348="",AX348="",COUNTIF($A$6:$A$505,A348)&gt;1),"REVIEW","TO_PROPOSED"),IF(OR(B348="",A348="",E348="",G348="",I348="",U348="",AV348="",COUNTIF($A$6:$A$505,A348)&gt;1,(COUNTIFS('أرقام التواصل'!$A$6:$A$505,"client",'أرقام التواصل'!$B$6:$B$505,A348,'أرقام التواصل'!$I$6:$I$505,"TRUE")+COUNTIFS('أرقام التواصل'!$A$6:$A$505,"client",'أرقام التواصل'!$B$6:$B$505,A348,'أرقام التواصل'!$C$6:$C$505,1))=0),"REVIEW","READY"))))</f>
        <v/>
      </c>
      <c r="BA348" s="16" t="str">
        <f>IF(AZ348="","",IF(OR(AZ348="READY",AZ348="TO_PROPOSED"),"",IF(AZ348="SKIP","Skipped by decision",TRIM(IF(B348="","missing import_action; ","")&amp;IF(A348="","missing migration_customer_key; ","")&amp;IF(AND(A348&lt;&gt;"",COUNTIF($A$6:$A$505,A348)&gt;1),"duplicate migration_customer_key; ","")&amp;IF(AND(NOT(OR(B348="to_candidate",AV348="proposed_name")),E348=""),"missing branch_id; ","")&amp;IF(AND(NOT(OR(B348="to_candidate",AV348="proposed_name")),G348=""),"missing first_name; ","")&amp;IF(AND(NOT(OR(B348="to_candidate",AV348="proposed_name")),I348=""),"missing last_name; ","")&amp;IF(AND(NOT(OR(B348="to_candidate",AV348="proposed_name")),U348=""),"missing final_geo_unit_id; ","")&amp;IF(AV348="","missing final_destination; ","")&amp;IF(AND(NOT(OR(B348="to_candidate",AV348="proposed_name")),(COUNTIFS('أرقام التواصل'!$A$6:$A$505,"client",'أرقام التواصل'!$B$6:$B$505,A348,'أرقام التواصل'!$I$6:$I$505,"TRUE")+COUNTIFS('أرقام التواصل'!$A$6:$A$505,"client",'أرقام التواصل'!$B$6:$B$505,A348,'أرقام التواصل'!$C$6:$C$505,1))=0),"missing primary contact in أرقام التواصل; ","")&amp;IF(OR(B348="to_candidate",AV348="proposed_name"),IF(AW348="","missing proposed_move_reason; ","")&amp;IF(AX348="","missing proposed_name_key; ",""),"")))))</f>
        <v/>
      </c>
    </row>
    <row r="349" spans="1:53">
      <c r="A349" s="11"/>
      <c r="B349" s="12"/>
      <c r="C349" s="13"/>
      <c r="D349" s="12"/>
      <c r="E349" s="12"/>
      <c r="F349" s="12"/>
      <c r="G349" s="12"/>
      <c r="H349" s="12"/>
      <c r="I349" s="12"/>
      <c r="J349" s="12"/>
      <c r="K349" s="12" t="str">
        <f t="shared" si="9"/>
        <v/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 t="str">
        <f t="shared" si="10"/>
        <v/>
      </c>
      <c r="V349" s="12"/>
      <c r="W349" s="14"/>
      <c r="X349" s="14"/>
      <c r="Y349" s="13"/>
      <c r="Z349" s="12"/>
      <c r="AA349" s="12"/>
      <c r="AB349" s="12"/>
      <c r="AC349" s="12"/>
      <c r="AD349" s="15"/>
      <c r="AE349" s="12"/>
      <c r="AF349" s="13"/>
      <c r="AG349" s="12"/>
      <c r="AH349" s="12"/>
      <c r="AI349" s="15"/>
      <c r="AJ349" s="12"/>
      <c r="AK349" s="12"/>
      <c r="AL349" s="12"/>
      <c r="AM349" s="12"/>
      <c r="AN349" s="12"/>
      <c r="AO349" s="12"/>
      <c r="AP349" s="12"/>
      <c r="AQ349" s="15"/>
      <c r="AR349" s="12"/>
      <c r="AS349" s="12"/>
      <c r="AT349" s="12"/>
      <c r="AU349" s="12"/>
      <c r="AV349" s="12"/>
      <c r="AW349" s="12"/>
      <c r="AX349" s="13"/>
      <c r="AY349" s="12"/>
      <c r="AZ349" s="12" t="str">
        <f>IF(AND(A349="",B349="",E349="",G349="",I349="",AV349="",AX349=""),"",IF(OR(B349="skip",AV349="skip"),"SKIP",IF(OR(B349="to_candidate",AV349="proposed_name"),IF(OR(A349="",AW349="",AX349="",COUNTIF($A$6:$A$505,A349)&gt;1),"REVIEW","TO_PROPOSED"),IF(OR(B349="",A349="",E349="",G349="",I349="",U349="",AV349="",COUNTIF($A$6:$A$505,A349)&gt;1,(COUNTIFS('أرقام التواصل'!$A$6:$A$505,"client",'أرقام التواصل'!$B$6:$B$505,A349,'أرقام التواصل'!$I$6:$I$505,"TRUE")+COUNTIFS('أرقام التواصل'!$A$6:$A$505,"client",'أرقام التواصل'!$B$6:$B$505,A349,'أرقام التواصل'!$C$6:$C$505,1))=0),"REVIEW","READY"))))</f>
        <v/>
      </c>
      <c r="BA349" s="16" t="str">
        <f>IF(AZ349="","",IF(OR(AZ349="READY",AZ349="TO_PROPOSED"),"",IF(AZ349="SKIP","Skipped by decision",TRIM(IF(B349="","missing import_action; ","")&amp;IF(A349="","missing migration_customer_key; ","")&amp;IF(AND(A349&lt;&gt;"",COUNTIF($A$6:$A$505,A349)&gt;1),"duplicate migration_customer_key; ","")&amp;IF(AND(NOT(OR(B349="to_candidate",AV349="proposed_name")),E349=""),"missing branch_id; ","")&amp;IF(AND(NOT(OR(B349="to_candidate",AV349="proposed_name")),G349=""),"missing first_name; ","")&amp;IF(AND(NOT(OR(B349="to_candidate",AV349="proposed_name")),I349=""),"missing last_name; ","")&amp;IF(AND(NOT(OR(B349="to_candidate",AV349="proposed_name")),U349=""),"missing final_geo_unit_id; ","")&amp;IF(AV349="","missing final_destination; ","")&amp;IF(AND(NOT(OR(B349="to_candidate",AV349="proposed_name")),(COUNTIFS('أرقام التواصل'!$A$6:$A$505,"client",'أرقام التواصل'!$B$6:$B$505,A349,'أرقام التواصل'!$I$6:$I$505,"TRUE")+COUNTIFS('أرقام التواصل'!$A$6:$A$505,"client",'أرقام التواصل'!$B$6:$B$505,A349,'أرقام التواصل'!$C$6:$C$505,1))=0),"missing primary contact in أرقام التواصل; ","")&amp;IF(OR(B349="to_candidate",AV349="proposed_name"),IF(AW349="","missing proposed_move_reason; ","")&amp;IF(AX349="","missing proposed_name_key; ",""),"")))))</f>
        <v/>
      </c>
    </row>
    <row r="350" spans="1:53">
      <c r="A350" s="11"/>
      <c r="B350" s="12"/>
      <c r="C350" s="13"/>
      <c r="D350" s="12"/>
      <c r="E350" s="12"/>
      <c r="F350" s="12"/>
      <c r="G350" s="12"/>
      <c r="H350" s="12"/>
      <c r="I350" s="12"/>
      <c r="J350" s="12"/>
      <c r="K350" s="12" t="str">
        <f t="shared" si="9"/>
        <v/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 t="str">
        <f t="shared" si="10"/>
        <v/>
      </c>
      <c r="V350" s="12"/>
      <c r="W350" s="14"/>
      <c r="X350" s="14"/>
      <c r="Y350" s="13"/>
      <c r="Z350" s="12"/>
      <c r="AA350" s="12"/>
      <c r="AB350" s="12"/>
      <c r="AC350" s="12"/>
      <c r="AD350" s="15"/>
      <c r="AE350" s="12"/>
      <c r="AF350" s="13"/>
      <c r="AG350" s="12"/>
      <c r="AH350" s="12"/>
      <c r="AI350" s="15"/>
      <c r="AJ350" s="12"/>
      <c r="AK350" s="12"/>
      <c r="AL350" s="12"/>
      <c r="AM350" s="12"/>
      <c r="AN350" s="12"/>
      <c r="AO350" s="12"/>
      <c r="AP350" s="12"/>
      <c r="AQ350" s="15"/>
      <c r="AR350" s="12"/>
      <c r="AS350" s="12"/>
      <c r="AT350" s="12"/>
      <c r="AU350" s="12"/>
      <c r="AV350" s="12"/>
      <c r="AW350" s="12"/>
      <c r="AX350" s="13"/>
      <c r="AY350" s="12"/>
      <c r="AZ350" s="12" t="str">
        <f>IF(AND(A350="",B350="",E350="",G350="",I350="",AV350="",AX350=""),"",IF(OR(B350="skip",AV350="skip"),"SKIP",IF(OR(B350="to_candidate",AV350="proposed_name"),IF(OR(A350="",AW350="",AX350="",COUNTIF($A$6:$A$505,A350)&gt;1),"REVIEW","TO_PROPOSED"),IF(OR(B350="",A350="",E350="",G350="",I350="",U350="",AV350="",COUNTIF($A$6:$A$505,A350)&gt;1,(COUNTIFS('أرقام التواصل'!$A$6:$A$505,"client",'أرقام التواصل'!$B$6:$B$505,A350,'أرقام التواصل'!$I$6:$I$505,"TRUE")+COUNTIFS('أرقام التواصل'!$A$6:$A$505,"client",'أرقام التواصل'!$B$6:$B$505,A350,'أرقام التواصل'!$C$6:$C$505,1))=0),"REVIEW","READY"))))</f>
        <v/>
      </c>
      <c r="BA350" s="16" t="str">
        <f>IF(AZ350="","",IF(OR(AZ350="READY",AZ350="TO_PROPOSED"),"",IF(AZ350="SKIP","Skipped by decision",TRIM(IF(B350="","missing import_action; ","")&amp;IF(A350="","missing migration_customer_key; ","")&amp;IF(AND(A350&lt;&gt;"",COUNTIF($A$6:$A$505,A350)&gt;1),"duplicate migration_customer_key; ","")&amp;IF(AND(NOT(OR(B350="to_candidate",AV350="proposed_name")),E350=""),"missing branch_id; ","")&amp;IF(AND(NOT(OR(B350="to_candidate",AV350="proposed_name")),G350=""),"missing first_name; ","")&amp;IF(AND(NOT(OR(B350="to_candidate",AV350="proposed_name")),I350=""),"missing last_name; ","")&amp;IF(AND(NOT(OR(B350="to_candidate",AV350="proposed_name")),U350=""),"missing final_geo_unit_id; ","")&amp;IF(AV350="","missing final_destination; ","")&amp;IF(AND(NOT(OR(B350="to_candidate",AV350="proposed_name")),(COUNTIFS('أرقام التواصل'!$A$6:$A$505,"client",'أرقام التواصل'!$B$6:$B$505,A350,'أرقام التواصل'!$I$6:$I$505,"TRUE")+COUNTIFS('أرقام التواصل'!$A$6:$A$505,"client",'أرقام التواصل'!$B$6:$B$505,A350,'أرقام التواصل'!$C$6:$C$505,1))=0),"missing primary contact in أرقام التواصل; ","")&amp;IF(OR(B350="to_candidate",AV350="proposed_name"),IF(AW350="","missing proposed_move_reason; ","")&amp;IF(AX350="","missing proposed_name_key; ",""),"")))))</f>
        <v/>
      </c>
    </row>
    <row r="351" spans="1:53">
      <c r="A351" s="11"/>
      <c r="B351" s="12"/>
      <c r="C351" s="13"/>
      <c r="D351" s="12"/>
      <c r="E351" s="12"/>
      <c r="F351" s="12"/>
      <c r="G351" s="12"/>
      <c r="H351" s="12"/>
      <c r="I351" s="12"/>
      <c r="J351" s="12"/>
      <c r="K351" s="12" t="str">
        <f t="shared" si="9"/>
        <v/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 t="str">
        <f t="shared" si="10"/>
        <v/>
      </c>
      <c r="V351" s="12"/>
      <c r="W351" s="14"/>
      <c r="X351" s="14"/>
      <c r="Y351" s="13"/>
      <c r="Z351" s="12"/>
      <c r="AA351" s="12"/>
      <c r="AB351" s="12"/>
      <c r="AC351" s="12"/>
      <c r="AD351" s="15"/>
      <c r="AE351" s="12"/>
      <c r="AF351" s="13"/>
      <c r="AG351" s="12"/>
      <c r="AH351" s="12"/>
      <c r="AI351" s="15"/>
      <c r="AJ351" s="12"/>
      <c r="AK351" s="12"/>
      <c r="AL351" s="12"/>
      <c r="AM351" s="12"/>
      <c r="AN351" s="12"/>
      <c r="AO351" s="12"/>
      <c r="AP351" s="12"/>
      <c r="AQ351" s="15"/>
      <c r="AR351" s="12"/>
      <c r="AS351" s="12"/>
      <c r="AT351" s="12"/>
      <c r="AU351" s="12"/>
      <c r="AV351" s="12"/>
      <c r="AW351" s="12"/>
      <c r="AX351" s="13"/>
      <c r="AY351" s="12"/>
      <c r="AZ351" s="12" t="str">
        <f>IF(AND(A351="",B351="",E351="",G351="",I351="",AV351="",AX351=""),"",IF(OR(B351="skip",AV351="skip"),"SKIP",IF(OR(B351="to_candidate",AV351="proposed_name"),IF(OR(A351="",AW351="",AX351="",COUNTIF($A$6:$A$505,A351)&gt;1),"REVIEW","TO_PROPOSED"),IF(OR(B351="",A351="",E351="",G351="",I351="",U351="",AV351="",COUNTIF($A$6:$A$505,A351)&gt;1,(COUNTIFS('أرقام التواصل'!$A$6:$A$505,"client",'أرقام التواصل'!$B$6:$B$505,A351,'أرقام التواصل'!$I$6:$I$505,"TRUE")+COUNTIFS('أرقام التواصل'!$A$6:$A$505,"client",'أرقام التواصل'!$B$6:$B$505,A351,'أرقام التواصل'!$C$6:$C$505,1))=0),"REVIEW","READY"))))</f>
        <v/>
      </c>
      <c r="BA351" s="16" t="str">
        <f>IF(AZ351="","",IF(OR(AZ351="READY",AZ351="TO_PROPOSED"),"",IF(AZ351="SKIP","Skipped by decision",TRIM(IF(B351="","missing import_action; ","")&amp;IF(A351="","missing migration_customer_key; ","")&amp;IF(AND(A351&lt;&gt;"",COUNTIF($A$6:$A$505,A351)&gt;1),"duplicate migration_customer_key; ","")&amp;IF(AND(NOT(OR(B351="to_candidate",AV351="proposed_name")),E351=""),"missing branch_id; ","")&amp;IF(AND(NOT(OR(B351="to_candidate",AV351="proposed_name")),G351=""),"missing first_name; ","")&amp;IF(AND(NOT(OR(B351="to_candidate",AV351="proposed_name")),I351=""),"missing last_name; ","")&amp;IF(AND(NOT(OR(B351="to_candidate",AV351="proposed_name")),U351=""),"missing final_geo_unit_id; ","")&amp;IF(AV351="","missing final_destination; ","")&amp;IF(AND(NOT(OR(B351="to_candidate",AV351="proposed_name")),(COUNTIFS('أرقام التواصل'!$A$6:$A$505,"client",'أرقام التواصل'!$B$6:$B$505,A351,'أرقام التواصل'!$I$6:$I$505,"TRUE")+COUNTIFS('أرقام التواصل'!$A$6:$A$505,"client",'أرقام التواصل'!$B$6:$B$505,A351,'أرقام التواصل'!$C$6:$C$505,1))=0),"missing primary contact in أرقام التواصل; ","")&amp;IF(OR(B351="to_candidate",AV351="proposed_name"),IF(AW351="","missing proposed_move_reason; ","")&amp;IF(AX351="","missing proposed_name_key; ",""),"")))))</f>
        <v/>
      </c>
    </row>
    <row r="352" spans="1:53">
      <c r="A352" s="11"/>
      <c r="B352" s="12"/>
      <c r="C352" s="13"/>
      <c r="D352" s="12"/>
      <c r="E352" s="12"/>
      <c r="F352" s="12"/>
      <c r="G352" s="12"/>
      <c r="H352" s="12"/>
      <c r="I352" s="12"/>
      <c r="J352" s="12"/>
      <c r="K352" s="12" t="str">
        <f t="shared" si="9"/>
        <v/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 t="str">
        <f t="shared" si="10"/>
        <v/>
      </c>
      <c r="V352" s="12"/>
      <c r="W352" s="14"/>
      <c r="X352" s="14"/>
      <c r="Y352" s="13"/>
      <c r="Z352" s="12"/>
      <c r="AA352" s="12"/>
      <c r="AB352" s="12"/>
      <c r="AC352" s="12"/>
      <c r="AD352" s="15"/>
      <c r="AE352" s="12"/>
      <c r="AF352" s="13"/>
      <c r="AG352" s="12"/>
      <c r="AH352" s="12"/>
      <c r="AI352" s="15"/>
      <c r="AJ352" s="12"/>
      <c r="AK352" s="12"/>
      <c r="AL352" s="12"/>
      <c r="AM352" s="12"/>
      <c r="AN352" s="12"/>
      <c r="AO352" s="12"/>
      <c r="AP352" s="12"/>
      <c r="AQ352" s="15"/>
      <c r="AR352" s="12"/>
      <c r="AS352" s="12"/>
      <c r="AT352" s="12"/>
      <c r="AU352" s="12"/>
      <c r="AV352" s="12"/>
      <c r="AW352" s="12"/>
      <c r="AX352" s="13"/>
      <c r="AY352" s="12"/>
      <c r="AZ352" s="12" t="str">
        <f>IF(AND(A352="",B352="",E352="",G352="",I352="",AV352="",AX352=""),"",IF(OR(B352="skip",AV352="skip"),"SKIP",IF(OR(B352="to_candidate",AV352="proposed_name"),IF(OR(A352="",AW352="",AX352="",COUNTIF($A$6:$A$505,A352)&gt;1),"REVIEW","TO_PROPOSED"),IF(OR(B352="",A352="",E352="",G352="",I352="",U352="",AV352="",COUNTIF($A$6:$A$505,A352)&gt;1,(COUNTIFS('أرقام التواصل'!$A$6:$A$505,"client",'أرقام التواصل'!$B$6:$B$505,A352,'أرقام التواصل'!$I$6:$I$505,"TRUE")+COUNTIFS('أرقام التواصل'!$A$6:$A$505,"client",'أرقام التواصل'!$B$6:$B$505,A352,'أرقام التواصل'!$C$6:$C$505,1))=0),"REVIEW","READY"))))</f>
        <v/>
      </c>
      <c r="BA352" s="16" t="str">
        <f>IF(AZ352="","",IF(OR(AZ352="READY",AZ352="TO_PROPOSED"),"",IF(AZ352="SKIP","Skipped by decision",TRIM(IF(B352="","missing import_action; ","")&amp;IF(A352="","missing migration_customer_key; ","")&amp;IF(AND(A352&lt;&gt;"",COUNTIF($A$6:$A$505,A352)&gt;1),"duplicate migration_customer_key; ","")&amp;IF(AND(NOT(OR(B352="to_candidate",AV352="proposed_name")),E352=""),"missing branch_id; ","")&amp;IF(AND(NOT(OR(B352="to_candidate",AV352="proposed_name")),G352=""),"missing first_name; ","")&amp;IF(AND(NOT(OR(B352="to_candidate",AV352="proposed_name")),I352=""),"missing last_name; ","")&amp;IF(AND(NOT(OR(B352="to_candidate",AV352="proposed_name")),U352=""),"missing final_geo_unit_id; ","")&amp;IF(AV352="","missing final_destination; ","")&amp;IF(AND(NOT(OR(B352="to_candidate",AV352="proposed_name")),(COUNTIFS('أرقام التواصل'!$A$6:$A$505,"client",'أرقام التواصل'!$B$6:$B$505,A352,'أرقام التواصل'!$I$6:$I$505,"TRUE")+COUNTIFS('أرقام التواصل'!$A$6:$A$505,"client",'أرقام التواصل'!$B$6:$B$505,A352,'أرقام التواصل'!$C$6:$C$505,1))=0),"missing primary contact in أرقام التواصل; ","")&amp;IF(OR(B352="to_candidate",AV352="proposed_name"),IF(AW352="","missing proposed_move_reason; ","")&amp;IF(AX352="","missing proposed_name_key; ",""),"")))))</f>
        <v/>
      </c>
    </row>
    <row r="353" spans="1:53">
      <c r="A353" s="11"/>
      <c r="B353" s="12"/>
      <c r="C353" s="13"/>
      <c r="D353" s="12"/>
      <c r="E353" s="12"/>
      <c r="F353" s="12"/>
      <c r="G353" s="12"/>
      <c r="H353" s="12"/>
      <c r="I353" s="12"/>
      <c r="J353" s="12"/>
      <c r="K353" s="12" t="str">
        <f t="shared" si="9"/>
        <v/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 t="str">
        <f t="shared" si="10"/>
        <v/>
      </c>
      <c r="V353" s="12"/>
      <c r="W353" s="14"/>
      <c r="X353" s="14"/>
      <c r="Y353" s="13"/>
      <c r="Z353" s="12"/>
      <c r="AA353" s="12"/>
      <c r="AB353" s="12"/>
      <c r="AC353" s="12"/>
      <c r="AD353" s="15"/>
      <c r="AE353" s="12"/>
      <c r="AF353" s="13"/>
      <c r="AG353" s="12"/>
      <c r="AH353" s="12"/>
      <c r="AI353" s="15"/>
      <c r="AJ353" s="12"/>
      <c r="AK353" s="12"/>
      <c r="AL353" s="12"/>
      <c r="AM353" s="12"/>
      <c r="AN353" s="12"/>
      <c r="AO353" s="12"/>
      <c r="AP353" s="12"/>
      <c r="AQ353" s="15"/>
      <c r="AR353" s="12"/>
      <c r="AS353" s="12"/>
      <c r="AT353" s="12"/>
      <c r="AU353" s="12"/>
      <c r="AV353" s="12"/>
      <c r="AW353" s="12"/>
      <c r="AX353" s="13"/>
      <c r="AY353" s="12"/>
      <c r="AZ353" s="12" t="str">
        <f>IF(AND(A353="",B353="",E353="",G353="",I353="",AV353="",AX353=""),"",IF(OR(B353="skip",AV353="skip"),"SKIP",IF(OR(B353="to_candidate",AV353="proposed_name"),IF(OR(A353="",AW353="",AX353="",COUNTIF($A$6:$A$505,A353)&gt;1),"REVIEW","TO_PROPOSED"),IF(OR(B353="",A353="",E353="",G353="",I353="",U353="",AV353="",COUNTIF($A$6:$A$505,A353)&gt;1,(COUNTIFS('أرقام التواصل'!$A$6:$A$505,"client",'أرقام التواصل'!$B$6:$B$505,A353,'أرقام التواصل'!$I$6:$I$505,"TRUE")+COUNTIFS('أرقام التواصل'!$A$6:$A$505,"client",'أرقام التواصل'!$B$6:$B$505,A353,'أرقام التواصل'!$C$6:$C$505,1))=0),"REVIEW","READY"))))</f>
        <v/>
      </c>
      <c r="BA353" s="16" t="str">
        <f>IF(AZ353="","",IF(OR(AZ353="READY",AZ353="TO_PROPOSED"),"",IF(AZ353="SKIP","Skipped by decision",TRIM(IF(B353="","missing import_action; ","")&amp;IF(A353="","missing migration_customer_key; ","")&amp;IF(AND(A353&lt;&gt;"",COUNTIF($A$6:$A$505,A353)&gt;1),"duplicate migration_customer_key; ","")&amp;IF(AND(NOT(OR(B353="to_candidate",AV353="proposed_name")),E353=""),"missing branch_id; ","")&amp;IF(AND(NOT(OR(B353="to_candidate",AV353="proposed_name")),G353=""),"missing first_name; ","")&amp;IF(AND(NOT(OR(B353="to_candidate",AV353="proposed_name")),I353=""),"missing last_name; ","")&amp;IF(AND(NOT(OR(B353="to_candidate",AV353="proposed_name")),U353=""),"missing final_geo_unit_id; ","")&amp;IF(AV353="","missing final_destination; ","")&amp;IF(AND(NOT(OR(B353="to_candidate",AV353="proposed_name")),(COUNTIFS('أرقام التواصل'!$A$6:$A$505,"client",'أرقام التواصل'!$B$6:$B$505,A353,'أرقام التواصل'!$I$6:$I$505,"TRUE")+COUNTIFS('أرقام التواصل'!$A$6:$A$505,"client",'أرقام التواصل'!$B$6:$B$505,A353,'أرقام التواصل'!$C$6:$C$505,1))=0),"missing primary contact in أرقام التواصل; ","")&amp;IF(OR(B353="to_candidate",AV353="proposed_name"),IF(AW353="","missing proposed_move_reason; ","")&amp;IF(AX353="","missing proposed_name_key; ",""),"")))))</f>
        <v/>
      </c>
    </row>
    <row r="354" spans="1:53">
      <c r="A354" s="11"/>
      <c r="B354" s="12"/>
      <c r="C354" s="13"/>
      <c r="D354" s="12"/>
      <c r="E354" s="12"/>
      <c r="F354" s="12"/>
      <c r="G354" s="12"/>
      <c r="H354" s="12"/>
      <c r="I354" s="12"/>
      <c r="J354" s="12"/>
      <c r="K354" s="12" t="str">
        <f t="shared" si="9"/>
        <v/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 t="str">
        <f t="shared" si="10"/>
        <v/>
      </c>
      <c r="V354" s="12"/>
      <c r="W354" s="14"/>
      <c r="X354" s="14"/>
      <c r="Y354" s="13"/>
      <c r="Z354" s="12"/>
      <c r="AA354" s="12"/>
      <c r="AB354" s="12"/>
      <c r="AC354" s="12"/>
      <c r="AD354" s="15"/>
      <c r="AE354" s="12"/>
      <c r="AF354" s="13"/>
      <c r="AG354" s="12"/>
      <c r="AH354" s="12"/>
      <c r="AI354" s="15"/>
      <c r="AJ354" s="12"/>
      <c r="AK354" s="12"/>
      <c r="AL354" s="12"/>
      <c r="AM354" s="12"/>
      <c r="AN354" s="12"/>
      <c r="AO354" s="12"/>
      <c r="AP354" s="12"/>
      <c r="AQ354" s="15"/>
      <c r="AR354" s="12"/>
      <c r="AS354" s="12"/>
      <c r="AT354" s="12"/>
      <c r="AU354" s="12"/>
      <c r="AV354" s="12"/>
      <c r="AW354" s="12"/>
      <c r="AX354" s="13"/>
      <c r="AY354" s="12"/>
      <c r="AZ354" s="12" t="str">
        <f>IF(AND(A354="",B354="",E354="",G354="",I354="",AV354="",AX354=""),"",IF(OR(B354="skip",AV354="skip"),"SKIP",IF(OR(B354="to_candidate",AV354="proposed_name"),IF(OR(A354="",AW354="",AX354="",COUNTIF($A$6:$A$505,A354)&gt;1),"REVIEW","TO_PROPOSED"),IF(OR(B354="",A354="",E354="",G354="",I354="",U354="",AV354="",COUNTIF($A$6:$A$505,A354)&gt;1,(COUNTIFS('أرقام التواصل'!$A$6:$A$505,"client",'أرقام التواصل'!$B$6:$B$505,A354,'أرقام التواصل'!$I$6:$I$505,"TRUE")+COUNTIFS('أرقام التواصل'!$A$6:$A$505,"client",'أرقام التواصل'!$B$6:$B$505,A354,'أرقام التواصل'!$C$6:$C$505,1))=0),"REVIEW","READY"))))</f>
        <v/>
      </c>
      <c r="BA354" s="16" t="str">
        <f>IF(AZ354="","",IF(OR(AZ354="READY",AZ354="TO_PROPOSED"),"",IF(AZ354="SKIP","Skipped by decision",TRIM(IF(B354="","missing import_action; ","")&amp;IF(A354="","missing migration_customer_key; ","")&amp;IF(AND(A354&lt;&gt;"",COUNTIF($A$6:$A$505,A354)&gt;1),"duplicate migration_customer_key; ","")&amp;IF(AND(NOT(OR(B354="to_candidate",AV354="proposed_name")),E354=""),"missing branch_id; ","")&amp;IF(AND(NOT(OR(B354="to_candidate",AV354="proposed_name")),G354=""),"missing first_name; ","")&amp;IF(AND(NOT(OR(B354="to_candidate",AV354="proposed_name")),I354=""),"missing last_name; ","")&amp;IF(AND(NOT(OR(B354="to_candidate",AV354="proposed_name")),U354=""),"missing final_geo_unit_id; ","")&amp;IF(AV354="","missing final_destination; ","")&amp;IF(AND(NOT(OR(B354="to_candidate",AV354="proposed_name")),(COUNTIFS('أرقام التواصل'!$A$6:$A$505,"client",'أرقام التواصل'!$B$6:$B$505,A354,'أرقام التواصل'!$I$6:$I$505,"TRUE")+COUNTIFS('أرقام التواصل'!$A$6:$A$505,"client",'أرقام التواصل'!$B$6:$B$505,A354,'أرقام التواصل'!$C$6:$C$505,1))=0),"missing primary contact in أرقام التواصل; ","")&amp;IF(OR(B354="to_candidate",AV354="proposed_name"),IF(AW354="","missing proposed_move_reason; ","")&amp;IF(AX354="","missing proposed_name_key; ",""),"")))))</f>
        <v/>
      </c>
    </row>
    <row r="355" spans="1:53">
      <c r="A355" s="11"/>
      <c r="B355" s="12"/>
      <c r="C355" s="13"/>
      <c r="D355" s="12"/>
      <c r="E355" s="12"/>
      <c r="F355" s="12"/>
      <c r="G355" s="12"/>
      <c r="H355" s="12"/>
      <c r="I355" s="12"/>
      <c r="J355" s="12"/>
      <c r="K355" s="12" t="str">
        <f t="shared" si="9"/>
        <v/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 t="str">
        <f t="shared" si="10"/>
        <v/>
      </c>
      <c r="V355" s="12"/>
      <c r="W355" s="14"/>
      <c r="X355" s="14"/>
      <c r="Y355" s="13"/>
      <c r="Z355" s="12"/>
      <c r="AA355" s="12"/>
      <c r="AB355" s="12"/>
      <c r="AC355" s="12"/>
      <c r="AD355" s="15"/>
      <c r="AE355" s="12"/>
      <c r="AF355" s="13"/>
      <c r="AG355" s="12"/>
      <c r="AH355" s="12"/>
      <c r="AI355" s="15"/>
      <c r="AJ355" s="12"/>
      <c r="AK355" s="12"/>
      <c r="AL355" s="12"/>
      <c r="AM355" s="12"/>
      <c r="AN355" s="12"/>
      <c r="AO355" s="12"/>
      <c r="AP355" s="12"/>
      <c r="AQ355" s="15"/>
      <c r="AR355" s="12"/>
      <c r="AS355" s="12"/>
      <c r="AT355" s="12"/>
      <c r="AU355" s="12"/>
      <c r="AV355" s="12"/>
      <c r="AW355" s="12"/>
      <c r="AX355" s="13"/>
      <c r="AY355" s="12"/>
      <c r="AZ355" s="12" t="str">
        <f>IF(AND(A355="",B355="",E355="",G355="",I355="",AV355="",AX355=""),"",IF(OR(B355="skip",AV355="skip"),"SKIP",IF(OR(B355="to_candidate",AV355="proposed_name"),IF(OR(A355="",AW355="",AX355="",COUNTIF($A$6:$A$505,A355)&gt;1),"REVIEW","TO_PROPOSED"),IF(OR(B355="",A355="",E355="",G355="",I355="",U355="",AV355="",COUNTIF($A$6:$A$505,A355)&gt;1,(COUNTIFS('أرقام التواصل'!$A$6:$A$505,"client",'أرقام التواصل'!$B$6:$B$505,A355,'أرقام التواصل'!$I$6:$I$505,"TRUE")+COUNTIFS('أرقام التواصل'!$A$6:$A$505,"client",'أرقام التواصل'!$B$6:$B$505,A355,'أرقام التواصل'!$C$6:$C$505,1))=0),"REVIEW","READY"))))</f>
        <v/>
      </c>
      <c r="BA355" s="16" t="str">
        <f>IF(AZ355="","",IF(OR(AZ355="READY",AZ355="TO_PROPOSED"),"",IF(AZ355="SKIP","Skipped by decision",TRIM(IF(B355="","missing import_action; ","")&amp;IF(A355="","missing migration_customer_key; ","")&amp;IF(AND(A355&lt;&gt;"",COUNTIF($A$6:$A$505,A355)&gt;1),"duplicate migration_customer_key; ","")&amp;IF(AND(NOT(OR(B355="to_candidate",AV355="proposed_name")),E355=""),"missing branch_id; ","")&amp;IF(AND(NOT(OR(B355="to_candidate",AV355="proposed_name")),G355=""),"missing first_name; ","")&amp;IF(AND(NOT(OR(B355="to_candidate",AV355="proposed_name")),I355=""),"missing last_name; ","")&amp;IF(AND(NOT(OR(B355="to_candidate",AV355="proposed_name")),U355=""),"missing final_geo_unit_id; ","")&amp;IF(AV355="","missing final_destination; ","")&amp;IF(AND(NOT(OR(B355="to_candidate",AV355="proposed_name")),(COUNTIFS('أرقام التواصل'!$A$6:$A$505,"client",'أرقام التواصل'!$B$6:$B$505,A355,'أرقام التواصل'!$I$6:$I$505,"TRUE")+COUNTIFS('أرقام التواصل'!$A$6:$A$505,"client",'أرقام التواصل'!$B$6:$B$505,A355,'أرقام التواصل'!$C$6:$C$505,1))=0),"missing primary contact in أرقام التواصل; ","")&amp;IF(OR(B355="to_candidate",AV355="proposed_name"),IF(AW355="","missing proposed_move_reason; ","")&amp;IF(AX355="","missing proposed_name_key; ",""),"")))))</f>
        <v/>
      </c>
    </row>
    <row r="356" spans="1:53">
      <c r="A356" s="11"/>
      <c r="B356" s="12"/>
      <c r="C356" s="13"/>
      <c r="D356" s="12"/>
      <c r="E356" s="12"/>
      <c r="F356" s="12"/>
      <c r="G356" s="12"/>
      <c r="H356" s="12"/>
      <c r="I356" s="12"/>
      <c r="J356" s="12"/>
      <c r="K356" s="12" t="str">
        <f t="shared" si="9"/>
        <v/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 t="str">
        <f t="shared" si="10"/>
        <v/>
      </c>
      <c r="V356" s="12"/>
      <c r="W356" s="14"/>
      <c r="X356" s="14"/>
      <c r="Y356" s="13"/>
      <c r="Z356" s="12"/>
      <c r="AA356" s="12"/>
      <c r="AB356" s="12"/>
      <c r="AC356" s="12"/>
      <c r="AD356" s="15"/>
      <c r="AE356" s="12"/>
      <c r="AF356" s="13"/>
      <c r="AG356" s="12"/>
      <c r="AH356" s="12"/>
      <c r="AI356" s="15"/>
      <c r="AJ356" s="12"/>
      <c r="AK356" s="12"/>
      <c r="AL356" s="12"/>
      <c r="AM356" s="12"/>
      <c r="AN356" s="12"/>
      <c r="AO356" s="12"/>
      <c r="AP356" s="12"/>
      <c r="AQ356" s="15"/>
      <c r="AR356" s="12"/>
      <c r="AS356" s="12"/>
      <c r="AT356" s="12"/>
      <c r="AU356" s="12"/>
      <c r="AV356" s="12"/>
      <c r="AW356" s="12"/>
      <c r="AX356" s="13"/>
      <c r="AY356" s="12"/>
      <c r="AZ356" s="12" t="str">
        <f>IF(AND(A356="",B356="",E356="",G356="",I356="",AV356="",AX356=""),"",IF(OR(B356="skip",AV356="skip"),"SKIP",IF(OR(B356="to_candidate",AV356="proposed_name"),IF(OR(A356="",AW356="",AX356="",COUNTIF($A$6:$A$505,A356)&gt;1),"REVIEW","TO_PROPOSED"),IF(OR(B356="",A356="",E356="",G356="",I356="",U356="",AV356="",COUNTIF($A$6:$A$505,A356)&gt;1,(COUNTIFS('أرقام التواصل'!$A$6:$A$505,"client",'أرقام التواصل'!$B$6:$B$505,A356,'أرقام التواصل'!$I$6:$I$505,"TRUE")+COUNTIFS('أرقام التواصل'!$A$6:$A$505,"client",'أرقام التواصل'!$B$6:$B$505,A356,'أرقام التواصل'!$C$6:$C$505,1))=0),"REVIEW","READY"))))</f>
        <v/>
      </c>
      <c r="BA356" s="16" t="str">
        <f>IF(AZ356="","",IF(OR(AZ356="READY",AZ356="TO_PROPOSED"),"",IF(AZ356="SKIP","Skipped by decision",TRIM(IF(B356="","missing import_action; ","")&amp;IF(A356="","missing migration_customer_key; ","")&amp;IF(AND(A356&lt;&gt;"",COUNTIF($A$6:$A$505,A356)&gt;1),"duplicate migration_customer_key; ","")&amp;IF(AND(NOT(OR(B356="to_candidate",AV356="proposed_name")),E356=""),"missing branch_id; ","")&amp;IF(AND(NOT(OR(B356="to_candidate",AV356="proposed_name")),G356=""),"missing first_name; ","")&amp;IF(AND(NOT(OR(B356="to_candidate",AV356="proposed_name")),I356=""),"missing last_name; ","")&amp;IF(AND(NOT(OR(B356="to_candidate",AV356="proposed_name")),U356=""),"missing final_geo_unit_id; ","")&amp;IF(AV356="","missing final_destination; ","")&amp;IF(AND(NOT(OR(B356="to_candidate",AV356="proposed_name")),(COUNTIFS('أرقام التواصل'!$A$6:$A$505,"client",'أرقام التواصل'!$B$6:$B$505,A356,'أرقام التواصل'!$I$6:$I$505,"TRUE")+COUNTIFS('أرقام التواصل'!$A$6:$A$505,"client",'أرقام التواصل'!$B$6:$B$505,A356,'أرقام التواصل'!$C$6:$C$505,1))=0),"missing primary contact in أرقام التواصل; ","")&amp;IF(OR(B356="to_candidate",AV356="proposed_name"),IF(AW356="","missing proposed_move_reason; ","")&amp;IF(AX356="","missing proposed_name_key; ",""),"")))))</f>
        <v/>
      </c>
    </row>
    <row r="357" spans="1:53">
      <c r="A357" s="11"/>
      <c r="B357" s="12"/>
      <c r="C357" s="13"/>
      <c r="D357" s="12"/>
      <c r="E357" s="12"/>
      <c r="F357" s="12"/>
      <c r="G357" s="12"/>
      <c r="H357" s="12"/>
      <c r="I357" s="12"/>
      <c r="J357" s="12"/>
      <c r="K357" s="12" t="str">
        <f t="shared" si="9"/>
        <v/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 t="str">
        <f t="shared" si="10"/>
        <v/>
      </c>
      <c r="V357" s="12"/>
      <c r="W357" s="14"/>
      <c r="X357" s="14"/>
      <c r="Y357" s="13"/>
      <c r="Z357" s="12"/>
      <c r="AA357" s="12"/>
      <c r="AB357" s="12"/>
      <c r="AC357" s="12"/>
      <c r="AD357" s="15"/>
      <c r="AE357" s="12"/>
      <c r="AF357" s="13"/>
      <c r="AG357" s="12"/>
      <c r="AH357" s="12"/>
      <c r="AI357" s="15"/>
      <c r="AJ357" s="12"/>
      <c r="AK357" s="12"/>
      <c r="AL357" s="12"/>
      <c r="AM357" s="12"/>
      <c r="AN357" s="12"/>
      <c r="AO357" s="12"/>
      <c r="AP357" s="12"/>
      <c r="AQ357" s="15"/>
      <c r="AR357" s="12"/>
      <c r="AS357" s="12"/>
      <c r="AT357" s="12"/>
      <c r="AU357" s="12"/>
      <c r="AV357" s="12"/>
      <c r="AW357" s="12"/>
      <c r="AX357" s="13"/>
      <c r="AY357" s="12"/>
      <c r="AZ357" s="12" t="str">
        <f>IF(AND(A357="",B357="",E357="",G357="",I357="",AV357="",AX357=""),"",IF(OR(B357="skip",AV357="skip"),"SKIP",IF(OR(B357="to_candidate",AV357="proposed_name"),IF(OR(A357="",AW357="",AX357="",COUNTIF($A$6:$A$505,A357)&gt;1),"REVIEW","TO_PROPOSED"),IF(OR(B357="",A357="",E357="",G357="",I357="",U357="",AV357="",COUNTIF($A$6:$A$505,A357)&gt;1,(COUNTIFS('أرقام التواصل'!$A$6:$A$505,"client",'أرقام التواصل'!$B$6:$B$505,A357,'أرقام التواصل'!$I$6:$I$505,"TRUE")+COUNTIFS('أرقام التواصل'!$A$6:$A$505,"client",'أرقام التواصل'!$B$6:$B$505,A357,'أرقام التواصل'!$C$6:$C$505,1))=0),"REVIEW","READY"))))</f>
        <v/>
      </c>
      <c r="BA357" s="16" t="str">
        <f>IF(AZ357="","",IF(OR(AZ357="READY",AZ357="TO_PROPOSED"),"",IF(AZ357="SKIP","Skipped by decision",TRIM(IF(B357="","missing import_action; ","")&amp;IF(A357="","missing migration_customer_key; ","")&amp;IF(AND(A357&lt;&gt;"",COUNTIF($A$6:$A$505,A357)&gt;1),"duplicate migration_customer_key; ","")&amp;IF(AND(NOT(OR(B357="to_candidate",AV357="proposed_name")),E357=""),"missing branch_id; ","")&amp;IF(AND(NOT(OR(B357="to_candidate",AV357="proposed_name")),G357=""),"missing first_name; ","")&amp;IF(AND(NOT(OR(B357="to_candidate",AV357="proposed_name")),I357=""),"missing last_name; ","")&amp;IF(AND(NOT(OR(B357="to_candidate",AV357="proposed_name")),U357=""),"missing final_geo_unit_id; ","")&amp;IF(AV357="","missing final_destination; ","")&amp;IF(AND(NOT(OR(B357="to_candidate",AV357="proposed_name")),(COUNTIFS('أرقام التواصل'!$A$6:$A$505,"client",'أرقام التواصل'!$B$6:$B$505,A357,'أرقام التواصل'!$I$6:$I$505,"TRUE")+COUNTIFS('أرقام التواصل'!$A$6:$A$505,"client",'أرقام التواصل'!$B$6:$B$505,A357,'أرقام التواصل'!$C$6:$C$505,1))=0),"missing primary contact in أرقام التواصل; ","")&amp;IF(OR(B357="to_candidate",AV357="proposed_name"),IF(AW357="","missing proposed_move_reason; ","")&amp;IF(AX357="","missing proposed_name_key; ",""),"")))))</f>
        <v/>
      </c>
    </row>
    <row r="358" spans="1:53">
      <c r="A358" s="11"/>
      <c r="B358" s="12"/>
      <c r="C358" s="13"/>
      <c r="D358" s="12"/>
      <c r="E358" s="12"/>
      <c r="F358" s="12"/>
      <c r="G358" s="12"/>
      <c r="H358" s="12"/>
      <c r="I358" s="12"/>
      <c r="J358" s="12"/>
      <c r="K358" s="12" t="str">
        <f t="shared" si="9"/>
        <v/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 t="str">
        <f t="shared" si="10"/>
        <v/>
      </c>
      <c r="V358" s="12"/>
      <c r="W358" s="14"/>
      <c r="X358" s="14"/>
      <c r="Y358" s="13"/>
      <c r="Z358" s="12"/>
      <c r="AA358" s="12"/>
      <c r="AB358" s="12"/>
      <c r="AC358" s="12"/>
      <c r="AD358" s="15"/>
      <c r="AE358" s="12"/>
      <c r="AF358" s="13"/>
      <c r="AG358" s="12"/>
      <c r="AH358" s="12"/>
      <c r="AI358" s="15"/>
      <c r="AJ358" s="12"/>
      <c r="AK358" s="12"/>
      <c r="AL358" s="12"/>
      <c r="AM358" s="12"/>
      <c r="AN358" s="12"/>
      <c r="AO358" s="12"/>
      <c r="AP358" s="12"/>
      <c r="AQ358" s="15"/>
      <c r="AR358" s="12"/>
      <c r="AS358" s="12"/>
      <c r="AT358" s="12"/>
      <c r="AU358" s="12"/>
      <c r="AV358" s="12"/>
      <c r="AW358" s="12"/>
      <c r="AX358" s="13"/>
      <c r="AY358" s="12"/>
      <c r="AZ358" s="12" t="str">
        <f>IF(AND(A358="",B358="",E358="",G358="",I358="",AV358="",AX358=""),"",IF(OR(B358="skip",AV358="skip"),"SKIP",IF(OR(B358="to_candidate",AV358="proposed_name"),IF(OR(A358="",AW358="",AX358="",COUNTIF($A$6:$A$505,A358)&gt;1),"REVIEW","TO_PROPOSED"),IF(OR(B358="",A358="",E358="",G358="",I358="",U358="",AV358="",COUNTIF($A$6:$A$505,A358)&gt;1,(COUNTIFS('أرقام التواصل'!$A$6:$A$505,"client",'أرقام التواصل'!$B$6:$B$505,A358,'أرقام التواصل'!$I$6:$I$505,"TRUE")+COUNTIFS('أرقام التواصل'!$A$6:$A$505,"client",'أرقام التواصل'!$B$6:$B$505,A358,'أرقام التواصل'!$C$6:$C$505,1))=0),"REVIEW","READY"))))</f>
        <v/>
      </c>
      <c r="BA358" s="16" t="str">
        <f>IF(AZ358="","",IF(OR(AZ358="READY",AZ358="TO_PROPOSED"),"",IF(AZ358="SKIP","Skipped by decision",TRIM(IF(B358="","missing import_action; ","")&amp;IF(A358="","missing migration_customer_key; ","")&amp;IF(AND(A358&lt;&gt;"",COUNTIF($A$6:$A$505,A358)&gt;1),"duplicate migration_customer_key; ","")&amp;IF(AND(NOT(OR(B358="to_candidate",AV358="proposed_name")),E358=""),"missing branch_id; ","")&amp;IF(AND(NOT(OR(B358="to_candidate",AV358="proposed_name")),G358=""),"missing first_name; ","")&amp;IF(AND(NOT(OR(B358="to_candidate",AV358="proposed_name")),I358=""),"missing last_name; ","")&amp;IF(AND(NOT(OR(B358="to_candidate",AV358="proposed_name")),U358=""),"missing final_geo_unit_id; ","")&amp;IF(AV358="","missing final_destination; ","")&amp;IF(AND(NOT(OR(B358="to_candidate",AV358="proposed_name")),(COUNTIFS('أرقام التواصل'!$A$6:$A$505,"client",'أرقام التواصل'!$B$6:$B$505,A358,'أرقام التواصل'!$I$6:$I$505,"TRUE")+COUNTIFS('أرقام التواصل'!$A$6:$A$505,"client",'أرقام التواصل'!$B$6:$B$505,A358,'أرقام التواصل'!$C$6:$C$505,1))=0),"missing primary contact in أرقام التواصل; ","")&amp;IF(OR(B358="to_candidate",AV358="proposed_name"),IF(AW358="","missing proposed_move_reason; ","")&amp;IF(AX358="","missing proposed_name_key; ",""),"")))))</f>
        <v/>
      </c>
    </row>
    <row r="359" spans="1:53">
      <c r="A359" s="11"/>
      <c r="B359" s="12"/>
      <c r="C359" s="13"/>
      <c r="D359" s="12"/>
      <c r="E359" s="12"/>
      <c r="F359" s="12"/>
      <c r="G359" s="12"/>
      <c r="H359" s="12"/>
      <c r="I359" s="12"/>
      <c r="J359" s="12"/>
      <c r="K359" s="12" t="str">
        <f t="shared" si="9"/>
        <v/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 t="str">
        <f t="shared" si="10"/>
        <v/>
      </c>
      <c r="V359" s="12"/>
      <c r="W359" s="14"/>
      <c r="X359" s="14"/>
      <c r="Y359" s="13"/>
      <c r="Z359" s="12"/>
      <c r="AA359" s="12"/>
      <c r="AB359" s="12"/>
      <c r="AC359" s="12"/>
      <c r="AD359" s="15"/>
      <c r="AE359" s="12"/>
      <c r="AF359" s="13"/>
      <c r="AG359" s="12"/>
      <c r="AH359" s="12"/>
      <c r="AI359" s="15"/>
      <c r="AJ359" s="12"/>
      <c r="AK359" s="12"/>
      <c r="AL359" s="12"/>
      <c r="AM359" s="12"/>
      <c r="AN359" s="12"/>
      <c r="AO359" s="12"/>
      <c r="AP359" s="12"/>
      <c r="AQ359" s="15"/>
      <c r="AR359" s="12"/>
      <c r="AS359" s="12"/>
      <c r="AT359" s="12"/>
      <c r="AU359" s="12"/>
      <c r="AV359" s="12"/>
      <c r="AW359" s="12"/>
      <c r="AX359" s="13"/>
      <c r="AY359" s="12"/>
      <c r="AZ359" s="12" t="str">
        <f>IF(AND(A359="",B359="",E359="",G359="",I359="",AV359="",AX359=""),"",IF(OR(B359="skip",AV359="skip"),"SKIP",IF(OR(B359="to_candidate",AV359="proposed_name"),IF(OR(A359="",AW359="",AX359="",COUNTIF($A$6:$A$505,A359)&gt;1),"REVIEW","TO_PROPOSED"),IF(OR(B359="",A359="",E359="",G359="",I359="",U359="",AV359="",COUNTIF($A$6:$A$505,A359)&gt;1,(COUNTIFS('أرقام التواصل'!$A$6:$A$505,"client",'أرقام التواصل'!$B$6:$B$505,A359,'أرقام التواصل'!$I$6:$I$505,"TRUE")+COUNTIFS('أرقام التواصل'!$A$6:$A$505,"client",'أرقام التواصل'!$B$6:$B$505,A359,'أرقام التواصل'!$C$6:$C$505,1))=0),"REVIEW","READY"))))</f>
        <v/>
      </c>
      <c r="BA359" s="16" t="str">
        <f>IF(AZ359="","",IF(OR(AZ359="READY",AZ359="TO_PROPOSED"),"",IF(AZ359="SKIP","Skipped by decision",TRIM(IF(B359="","missing import_action; ","")&amp;IF(A359="","missing migration_customer_key; ","")&amp;IF(AND(A359&lt;&gt;"",COUNTIF($A$6:$A$505,A359)&gt;1),"duplicate migration_customer_key; ","")&amp;IF(AND(NOT(OR(B359="to_candidate",AV359="proposed_name")),E359=""),"missing branch_id; ","")&amp;IF(AND(NOT(OR(B359="to_candidate",AV359="proposed_name")),G359=""),"missing first_name; ","")&amp;IF(AND(NOT(OR(B359="to_candidate",AV359="proposed_name")),I359=""),"missing last_name; ","")&amp;IF(AND(NOT(OR(B359="to_candidate",AV359="proposed_name")),U359=""),"missing final_geo_unit_id; ","")&amp;IF(AV359="","missing final_destination; ","")&amp;IF(AND(NOT(OR(B359="to_candidate",AV359="proposed_name")),(COUNTIFS('أرقام التواصل'!$A$6:$A$505,"client",'أرقام التواصل'!$B$6:$B$505,A359,'أرقام التواصل'!$I$6:$I$505,"TRUE")+COUNTIFS('أرقام التواصل'!$A$6:$A$505,"client",'أرقام التواصل'!$B$6:$B$505,A359,'أرقام التواصل'!$C$6:$C$505,1))=0),"missing primary contact in أرقام التواصل; ","")&amp;IF(OR(B359="to_candidate",AV359="proposed_name"),IF(AW359="","missing proposed_move_reason; ","")&amp;IF(AX359="","missing proposed_name_key; ",""),"")))))</f>
        <v/>
      </c>
    </row>
    <row r="360" spans="1:53">
      <c r="A360" s="11"/>
      <c r="B360" s="12"/>
      <c r="C360" s="13"/>
      <c r="D360" s="12"/>
      <c r="E360" s="12"/>
      <c r="F360" s="12"/>
      <c r="G360" s="12"/>
      <c r="H360" s="12"/>
      <c r="I360" s="12"/>
      <c r="J360" s="12"/>
      <c r="K360" s="12" t="str">
        <f t="shared" si="9"/>
        <v/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 t="str">
        <f t="shared" si="10"/>
        <v/>
      </c>
      <c r="V360" s="12"/>
      <c r="W360" s="14"/>
      <c r="X360" s="14"/>
      <c r="Y360" s="13"/>
      <c r="Z360" s="12"/>
      <c r="AA360" s="12"/>
      <c r="AB360" s="12"/>
      <c r="AC360" s="12"/>
      <c r="AD360" s="15"/>
      <c r="AE360" s="12"/>
      <c r="AF360" s="13"/>
      <c r="AG360" s="12"/>
      <c r="AH360" s="12"/>
      <c r="AI360" s="15"/>
      <c r="AJ360" s="12"/>
      <c r="AK360" s="12"/>
      <c r="AL360" s="12"/>
      <c r="AM360" s="12"/>
      <c r="AN360" s="12"/>
      <c r="AO360" s="12"/>
      <c r="AP360" s="12"/>
      <c r="AQ360" s="15"/>
      <c r="AR360" s="12"/>
      <c r="AS360" s="12"/>
      <c r="AT360" s="12"/>
      <c r="AU360" s="12"/>
      <c r="AV360" s="12"/>
      <c r="AW360" s="12"/>
      <c r="AX360" s="13"/>
      <c r="AY360" s="12"/>
      <c r="AZ360" s="12" t="str">
        <f>IF(AND(A360="",B360="",E360="",G360="",I360="",AV360="",AX360=""),"",IF(OR(B360="skip",AV360="skip"),"SKIP",IF(OR(B360="to_candidate",AV360="proposed_name"),IF(OR(A360="",AW360="",AX360="",COUNTIF($A$6:$A$505,A360)&gt;1),"REVIEW","TO_PROPOSED"),IF(OR(B360="",A360="",E360="",G360="",I360="",U360="",AV360="",COUNTIF($A$6:$A$505,A360)&gt;1,(COUNTIFS('أرقام التواصل'!$A$6:$A$505,"client",'أرقام التواصل'!$B$6:$B$505,A360,'أرقام التواصل'!$I$6:$I$505,"TRUE")+COUNTIFS('أرقام التواصل'!$A$6:$A$505,"client",'أرقام التواصل'!$B$6:$B$505,A360,'أرقام التواصل'!$C$6:$C$505,1))=0),"REVIEW","READY"))))</f>
        <v/>
      </c>
      <c r="BA360" s="16" t="str">
        <f>IF(AZ360="","",IF(OR(AZ360="READY",AZ360="TO_PROPOSED"),"",IF(AZ360="SKIP","Skipped by decision",TRIM(IF(B360="","missing import_action; ","")&amp;IF(A360="","missing migration_customer_key; ","")&amp;IF(AND(A360&lt;&gt;"",COUNTIF($A$6:$A$505,A360)&gt;1),"duplicate migration_customer_key; ","")&amp;IF(AND(NOT(OR(B360="to_candidate",AV360="proposed_name")),E360=""),"missing branch_id; ","")&amp;IF(AND(NOT(OR(B360="to_candidate",AV360="proposed_name")),G360=""),"missing first_name; ","")&amp;IF(AND(NOT(OR(B360="to_candidate",AV360="proposed_name")),I360=""),"missing last_name; ","")&amp;IF(AND(NOT(OR(B360="to_candidate",AV360="proposed_name")),U360=""),"missing final_geo_unit_id; ","")&amp;IF(AV360="","missing final_destination; ","")&amp;IF(AND(NOT(OR(B360="to_candidate",AV360="proposed_name")),(COUNTIFS('أرقام التواصل'!$A$6:$A$505,"client",'أرقام التواصل'!$B$6:$B$505,A360,'أرقام التواصل'!$I$6:$I$505,"TRUE")+COUNTIFS('أرقام التواصل'!$A$6:$A$505,"client",'أرقام التواصل'!$B$6:$B$505,A360,'أرقام التواصل'!$C$6:$C$505,1))=0),"missing primary contact in أرقام التواصل; ","")&amp;IF(OR(B360="to_candidate",AV360="proposed_name"),IF(AW360="","missing proposed_move_reason; ","")&amp;IF(AX360="","missing proposed_name_key; ",""),"")))))</f>
        <v/>
      </c>
    </row>
    <row r="361" spans="1:53">
      <c r="A361" s="11"/>
      <c r="B361" s="12"/>
      <c r="C361" s="13"/>
      <c r="D361" s="12"/>
      <c r="E361" s="12"/>
      <c r="F361" s="12"/>
      <c r="G361" s="12"/>
      <c r="H361" s="12"/>
      <c r="I361" s="12"/>
      <c r="J361" s="12"/>
      <c r="K361" s="12" t="str">
        <f t="shared" si="9"/>
        <v/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 t="str">
        <f t="shared" si="10"/>
        <v/>
      </c>
      <c r="V361" s="12"/>
      <c r="W361" s="14"/>
      <c r="X361" s="14"/>
      <c r="Y361" s="13"/>
      <c r="Z361" s="12"/>
      <c r="AA361" s="12"/>
      <c r="AB361" s="12"/>
      <c r="AC361" s="12"/>
      <c r="AD361" s="15"/>
      <c r="AE361" s="12"/>
      <c r="AF361" s="13"/>
      <c r="AG361" s="12"/>
      <c r="AH361" s="12"/>
      <c r="AI361" s="15"/>
      <c r="AJ361" s="12"/>
      <c r="AK361" s="12"/>
      <c r="AL361" s="12"/>
      <c r="AM361" s="12"/>
      <c r="AN361" s="12"/>
      <c r="AO361" s="12"/>
      <c r="AP361" s="12"/>
      <c r="AQ361" s="15"/>
      <c r="AR361" s="12"/>
      <c r="AS361" s="12"/>
      <c r="AT361" s="12"/>
      <c r="AU361" s="12"/>
      <c r="AV361" s="12"/>
      <c r="AW361" s="12"/>
      <c r="AX361" s="13"/>
      <c r="AY361" s="12"/>
      <c r="AZ361" s="12" t="str">
        <f>IF(AND(A361="",B361="",E361="",G361="",I361="",AV361="",AX361=""),"",IF(OR(B361="skip",AV361="skip"),"SKIP",IF(OR(B361="to_candidate",AV361="proposed_name"),IF(OR(A361="",AW361="",AX361="",COUNTIF($A$6:$A$505,A361)&gt;1),"REVIEW","TO_PROPOSED"),IF(OR(B361="",A361="",E361="",G361="",I361="",U361="",AV361="",COUNTIF($A$6:$A$505,A361)&gt;1,(COUNTIFS('أرقام التواصل'!$A$6:$A$505,"client",'أرقام التواصل'!$B$6:$B$505,A361,'أرقام التواصل'!$I$6:$I$505,"TRUE")+COUNTIFS('أرقام التواصل'!$A$6:$A$505,"client",'أرقام التواصل'!$B$6:$B$505,A361,'أرقام التواصل'!$C$6:$C$505,1))=0),"REVIEW","READY"))))</f>
        <v/>
      </c>
      <c r="BA361" s="16" t="str">
        <f>IF(AZ361="","",IF(OR(AZ361="READY",AZ361="TO_PROPOSED"),"",IF(AZ361="SKIP","Skipped by decision",TRIM(IF(B361="","missing import_action; ","")&amp;IF(A361="","missing migration_customer_key; ","")&amp;IF(AND(A361&lt;&gt;"",COUNTIF($A$6:$A$505,A361)&gt;1),"duplicate migration_customer_key; ","")&amp;IF(AND(NOT(OR(B361="to_candidate",AV361="proposed_name")),E361=""),"missing branch_id; ","")&amp;IF(AND(NOT(OR(B361="to_candidate",AV361="proposed_name")),G361=""),"missing first_name; ","")&amp;IF(AND(NOT(OR(B361="to_candidate",AV361="proposed_name")),I361=""),"missing last_name; ","")&amp;IF(AND(NOT(OR(B361="to_candidate",AV361="proposed_name")),U361=""),"missing final_geo_unit_id; ","")&amp;IF(AV361="","missing final_destination; ","")&amp;IF(AND(NOT(OR(B361="to_candidate",AV361="proposed_name")),(COUNTIFS('أرقام التواصل'!$A$6:$A$505,"client",'أرقام التواصل'!$B$6:$B$505,A361,'أرقام التواصل'!$I$6:$I$505,"TRUE")+COUNTIFS('أرقام التواصل'!$A$6:$A$505,"client",'أرقام التواصل'!$B$6:$B$505,A361,'أرقام التواصل'!$C$6:$C$505,1))=0),"missing primary contact in أرقام التواصل; ","")&amp;IF(OR(B361="to_candidate",AV361="proposed_name"),IF(AW361="","missing proposed_move_reason; ","")&amp;IF(AX361="","missing proposed_name_key; ",""),"")))))</f>
        <v/>
      </c>
    </row>
    <row r="362" spans="1:53">
      <c r="A362" s="11"/>
      <c r="B362" s="12"/>
      <c r="C362" s="13"/>
      <c r="D362" s="12"/>
      <c r="E362" s="12"/>
      <c r="F362" s="12"/>
      <c r="G362" s="12"/>
      <c r="H362" s="12"/>
      <c r="I362" s="12"/>
      <c r="J362" s="12"/>
      <c r="K362" s="12" t="str">
        <f t="shared" si="9"/>
        <v/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 t="str">
        <f t="shared" si="10"/>
        <v/>
      </c>
      <c r="V362" s="12"/>
      <c r="W362" s="14"/>
      <c r="X362" s="14"/>
      <c r="Y362" s="13"/>
      <c r="Z362" s="12"/>
      <c r="AA362" s="12"/>
      <c r="AB362" s="12"/>
      <c r="AC362" s="12"/>
      <c r="AD362" s="15"/>
      <c r="AE362" s="12"/>
      <c r="AF362" s="13"/>
      <c r="AG362" s="12"/>
      <c r="AH362" s="12"/>
      <c r="AI362" s="15"/>
      <c r="AJ362" s="12"/>
      <c r="AK362" s="12"/>
      <c r="AL362" s="12"/>
      <c r="AM362" s="12"/>
      <c r="AN362" s="12"/>
      <c r="AO362" s="12"/>
      <c r="AP362" s="12"/>
      <c r="AQ362" s="15"/>
      <c r="AR362" s="12"/>
      <c r="AS362" s="12"/>
      <c r="AT362" s="12"/>
      <c r="AU362" s="12"/>
      <c r="AV362" s="12"/>
      <c r="AW362" s="12"/>
      <c r="AX362" s="13"/>
      <c r="AY362" s="12"/>
      <c r="AZ362" s="12" t="str">
        <f>IF(AND(A362="",B362="",E362="",G362="",I362="",AV362="",AX362=""),"",IF(OR(B362="skip",AV362="skip"),"SKIP",IF(OR(B362="to_candidate",AV362="proposed_name"),IF(OR(A362="",AW362="",AX362="",COUNTIF($A$6:$A$505,A362)&gt;1),"REVIEW","TO_PROPOSED"),IF(OR(B362="",A362="",E362="",G362="",I362="",U362="",AV362="",COUNTIF($A$6:$A$505,A362)&gt;1,(COUNTIFS('أرقام التواصل'!$A$6:$A$505,"client",'أرقام التواصل'!$B$6:$B$505,A362,'أرقام التواصل'!$I$6:$I$505,"TRUE")+COUNTIFS('أرقام التواصل'!$A$6:$A$505,"client",'أرقام التواصل'!$B$6:$B$505,A362,'أرقام التواصل'!$C$6:$C$505,1))=0),"REVIEW","READY"))))</f>
        <v/>
      </c>
      <c r="BA362" s="16" t="str">
        <f>IF(AZ362="","",IF(OR(AZ362="READY",AZ362="TO_PROPOSED"),"",IF(AZ362="SKIP","Skipped by decision",TRIM(IF(B362="","missing import_action; ","")&amp;IF(A362="","missing migration_customer_key; ","")&amp;IF(AND(A362&lt;&gt;"",COUNTIF($A$6:$A$505,A362)&gt;1),"duplicate migration_customer_key; ","")&amp;IF(AND(NOT(OR(B362="to_candidate",AV362="proposed_name")),E362=""),"missing branch_id; ","")&amp;IF(AND(NOT(OR(B362="to_candidate",AV362="proposed_name")),G362=""),"missing first_name; ","")&amp;IF(AND(NOT(OR(B362="to_candidate",AV362="proposed_name")),I362=""),"missing last_name; ","")&amp;IF(AND(NOT(OR(B362="to_candidate",AV362="proposed_name")),U362=""),"missing final_geo_unit_id; ","")&amp;IF(AV362="","missing final_destination; ","")&amp;IF(AND(NOT(OR(B362="to_candidate",AV362="proposed_name")),(COUNTIFS('أرقام التواصل'!$A$6:$A$505,"client",'أرقام التواصل'!$B$6:$B$505,A362,'أرقام التواصل'!$I$6:$I$505,"TRUE")+COUNTIFS('أرقام التواصل'!$A$6:$A$505,"client",'أرقام التواصل'!$B$6:$B$505,A362,'أرقام التواصل'!$C$6:$C$505,1))=0),"missing primary contact in أرقام التواصل; ","")&amp;IF(OR(B362="to_candidate",AV362="proposed_name"),IF(AW362="","missing proposed_move_reason; ","")&amp;IF(AX362="","missing proposed_name_key; ",""),"")))))</f>
        <v/>
      </c>
    </row>
    <row r="363" spans="1:53">
      <c r="A363" s="11"/>
      <c r="B363" s="12"/>
      <c r="C363" s="13"/>
      <c r="D363" s="12"/>
      <c r="E363" s="12"/>
      <c r="F363" s="12"/>
      <c r="G363" s="12"/>
      <c r="H363" s="12"/>
      <c r="I363" s="12"/>
      <c r="J363" s="12"/>
      <c r="K363" s="12" t="str">
        <f t="shared" si="9"/>
        <v/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 t="str">
        <f t="shared" si="10"/>
        <v/>
      </c>
      <c r="V363" s="12"/>
      <c r="W363" s="14"/>
      <c r="X363" s="14"/>
      <c r="Y363" s="13"/>
      <c r="Z363" s="12"/>
      <c r="AA363" s="12"/>
      <c r="AB363" s="12"/>
      <c r="AC363" s="12"/>
      <c r="AD363" s="15"/>
      <c r="AE363" s="12"/>
      <c r="AF363" s="13"/>
      <c r="AG363" s="12"/>
      <c r="AH363" s="12"/>
      <c r="AI363" s="15"/>
      <c r="AJ363" s="12"/>
      <c r="AK363" s="12"/>
      <c r="AL363" s="12"/>
      <c r="AM363" s="12"/>
      <c r="AN363" s="12"/>
      <c r="AO363" s="12"/>
      <c r="AP363" s="12"/>
      <c r="AQ363" s="15"/>
      <c r="AR363" s="12"/>
      <c r="AS363" s="12"/>
      <c r="AT363" s="12"/>
      <c r="AU363" s="12"/>
      <c r="AV363" s="12"/>
      <c r="AW363" s="12"/>
      <c r="AX363" s="13"/>
      <c r="AY363" s="12"/>
      <c r="AZ363" s="12" t="str">
        <f>IF(AND(A363="",B363="",E363="",G363="",I363="",AV363="",AX363=""),"",IF(OR(B363="skip",AV363="skip"),"SKIP",IF(OR(B363="to_candidate",AV363="proposed_name"),IF(OR(A363="",AW363="",AX363="",COUNTIF($A$6:$A$505,A363)&gt;1),"REVIEW","TO_PROPOSED"),IF(OR(B363="",A363="",E363="",G363="",I363="",U363="",AV363="",COUNTIF($A$6:$A$505,A363)&gt;1,(COUNTIFS('أرقام التواصل'!$A$6:$A$505,"client",'أرقام التواصل'!$B$6:$B$505,A363,'أرقام التواصل'!$I$6:$I$505,"TRUE")+COUNTIFS('أرقام التواصل'!$A$6:$A$505,"client",'أرقام التواصل'!$B$6:$B$505,A363,'أرقام التواصل'!$C$6:$C$505,1))=0),"REVIEW","READY"))))</f>
        <v/>
      </c>
      <c r="BA363" s="16" t="str">
        <f>IF(AZ363="","",IF(OR(AZ363="READY",AZ363="TO_PROPOSED"),"",IF(AZ363="SKIP","Skipped by decision",TRIM(IF(B363="","missing import_action; ","")&amp;IF(A363="","missing migration_customer_key; ","")&amp;IF(AND(A363&lt;&gt;"",COUNTIF($A$6:$A$505,A363)&gt;1),"duplicate migration_customer_key; ","")&amp;IF(AND(NOT(OR(B363="to_candidate",AV363="proposed_name")),E363=""),"missing branch_id; ","")&amp;IF(AND(NOT(OR(B363="to_candidate",AV363="proposed_name")),G363=""),"missing first_name; ","")&amp;IF(AND(NOT(OR(B363="to_candidate",AV363="proposed_name")),I363=""),"missing last_name; ","")&amp;IF(AND(NOT(OR(B363="to_candidate",AV363="proposed_name")),U363=""),"missing final_geo_unit_id; ","")&amp;IF(AV363="","missing final_destination; ","")&amp;IF(AND(NOT(OR(B363="to_candidate",AV363="proposed_name")),(COUNTIFS('أرقام التواصل'!$A$6:$A$505,"client",'أرقام التواصل'!$B$6:$B$505,A363,'أرقام التواصل'!$I$6:$I$505,"TRUE")+COUNTIFS('أرقام التواصل'!$A$6:$A$505,"client",'أرقام التواصل'!$B$6:$B$505,A363,'أرقام التواصل'!$C$6:$C$505,1))=0),"missing primary contact in أرقام التواصل; ","")&amp;IF(OR(B363="to_candidate",AV363="proposed_name"),IF(AW363="","missing proposed_move_reason; ","")&amp;IF(AX363="","missing proposed_name_key; ",""),"")))))</f>
        <v/>
      </c>
    </row>
    <row r="364" spans="1:53">
      <c r="A364" s="11"/>
      <c r="B364" s="12"/>
      <c r="C364" s="13"/>
      <c r="D364" s="12"/>
      <c r="E364" s="12"/>
      <c r="F364" s="12"/>
      <c r="G364" s="12"/>
      <c r="H364" s="12"/>
      <c r="I364" s="12"/>
      <c r="J364" s="12"/>
      <c r="K364" s="12" t="str">
        <f t="shared" si="9"/>
        <v/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 t="str">
        <f t="shared" si="10"/>
        <v/>
      </c>
      <c r="V364" s="12"/>
      <c r="W364" s="14"/>
      <c r="X364" s="14"/>
      <c r="Y364" s="13"/>
      <c r="Z364" s="12"/>
      <c r="AA364" s="12"/>
      <c r="AB364" s="12"/>
      <c r="AC364" s="12"/>
      <c r="AD364" s="15"/>
      <c r="AE364" s="12"/>
      <c r="AF364" s="13"/>
      <c r="AG364" s="12"/>
      <c r="AH364" s="12"/>
      <c r="AI364" s="15"/>
      <c r="AJ364" s="12"/>
      <c r="AK364" s="12"/>
      <c r="AL364" s="12"/>
      <c r="AM364" s="12"/>
      <c r="AN364" s="12"/>
      <c r="AO364" s="12"/>
      <c r="AP364" s="12"/>
      <c r="AQ364" s="15"/>
      <c r="AR364" s="12"/>
      <c r="AS364" s="12"/>
      <c r="AT364" s="12"/>
      <c r="AU364" s="12"/>
      <c r="AV364" s="12"/>
      <c r="AW364" s="12"/>
      <c r="AX364" s="13"/>
      <c r="AY364" s="12"/>
      <c r="AZ364" s="12" t="str">
        <f>IF(AND(A364="",B364="",E364="",G364="",I364="",AV364="",AX364=""),"",IF(OR(B364="skip",AV364="skip"),"SKIP",IF(OR(B364="to_candidate",AV364="proposed_name"),IF(OR(A364="",AW364="",AX364="",COUNTIF($A$6:$A$505,A364)&gt;1),"REVIEW","TO_PROPOSED"),IF(OR(B364="",A364="",E364="",G364="",I364="",U364="",AV364="",COUNTIF($A$6:$A$505,A364)&gt;1,(COUNTIFS('أرقام التواصل'!$A$6:$A$505,"client",'أرقام التواصل'!$B$6:$B$505,A364,'أرقام التواصل'!$I$6:$I$505,"TRUE")+COUNTIFS('أرقام التواصل'!$A$6:$A$505,"client",'أرقام التواصل'!$B$6:$B$505,A364,'أرقام التواصل'!$C$6:$C$505,1))=0),"REVIEW","READY"))))</f>
        <v/>
      </c>
      <c r="BA364" s="16" t="str">
        <f>IF(AZ364="","",IF(OR(AZ364="READY",AZ364="TO_PROPOSED"),"",IF(AZ364="SKIP","Skipped by decision",TRIM(IF(B364="","missing import_action; ","")&amp;IF(A364="","missing migration_customer_key; ","")&amp;IF(AND(A364&lt;&gt;"",COUNTIF($A$6:$A$505,A364)&gt;1),"duplicate migration_customer_key; ","")&amp;IF(AND(NOT(OR(B364="to_candidate",AV364="proposed_name")),E364=""),"missing branch_id; ","")&amp;IF(AND(NOT(OR(B364="to_candidate",AV364="proposed_name")),G364=""),"missing first_name; ","")&amp;IF(AND(NOT(OR(B364="to_candidate",AV364="proposed_name")),I364=""),"missing last_name; ","")&amp;IF(AND(NOT(OR(B364="to_candidate",AV364="proposed_name")),U364=""),"missing final_geo_unit_id; ","")&amp;IF(AV364="","missing final_destination; ","")&amp;IF(AND(NOT(OR(B364="to_candidate",AV364="proposed_name")),(COUNTIFS('أرقام التواصل'!$A$6:$A$505,"client",'أرقام التواصل'!$B$6:$B$505,A364,'أرقام التواصل'!$I$6:$I$505,"TRUE")+COUNTIFS('أرقام التواصل'!$A$6:$A$505,"client",'أرقام التواصل'!$B$6:$B$505,A364,'أرقام التواصل'!$C$6:$C$505,1))=0),"missing primary contact in أرقام التواصل; ","")&amp;IF(OR(B364="to_candidate",AV364="proposed_name"),IF(AW364="","missing proposed_move_reason; ","")&amp;IF(AX364="","missing proposed_name_key; ",""),"")))))</f>
        <v/>
      </c>
    </row>
    <row r="365" spans="1:53">
      <c r="A365" s="11"/>
      <c r="B365" s="12"/>
      <c r="C365" s="13"/>
      <c r="D365" s="12"/>
      <c r="E365" s="12"/>
      <c r="F365" s="12"/>
      <c r="G365" s="12"/>
      <c r="H365" s="12"/>
      <c r="I365" s="12"/>
      <c r="J365" s="12"/>
      <c r="K365" s="12" t="str">
        <f t="shared" si="9"/>
        <v/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 t="str">
        <f t="shared" si="10"/>
        <v/>
      </c>
      <c r="V365" s="12"/>
      <c r="W365" s="14"/>
      <c r="X365" s="14"/>
      <c r="Y365" s="13"/>
      <c r="Z365" s="12"/>
      <c r="AA365" s="12"/>
      <c r="AB365" s="12"/>
      <c r="AC365" s="12"/>
      <c r="AD365" s="15"/>
      <c r="AE365" s="12"/>
      <c r="AF365" s="13"/>
      <c r="AG365" s="12"/>
      <c r="AH365" s="12"/>
      <c r="AI365" s="15"/>
      <c r="AJ365" s="12"/>
      <c r="AK365" s="12"/>
      <c r="AL365" s="12"/>
      <c r="AM365" s="12"/>
      <c r="AN365" s="12"/>
      <c r="AO365" s="12"/>
      <c r="AP365" s="12"/>
      <c r="AQ365" s="15"/>
      <c r="AR365" s="12"/>
      <c r="AS365" s="12"/>
      <c r="AT365" s="12"/>
      <c r="AU365" s="12"/>
      <c r="AV365" s="12"/>
      <c r="AW365" s="12"/>
      <c r="AX365" s="13"/>
      <c r="AY365" s="12"/>
      <c r="AZ365" s="12" t="str">
        <f>IF(AND(A365="",B365="",E365="",G365="",I365="",AV365="",AX365=""),"",IF(OR(B365="skip",AV365="skip"),"SKIP",IF(OR(B365="to_candidate",AV365="proposed_name"),IF(OR(A365="",AW365="",AX365="",COUNTIF($A$6:$A$505,A365)&gt;1),"REVIEW","TO_PROPOSED"),IF(OR(B365="",A365="",E365="",G365="",I365="",U365="",AV365="",COUNTIF($A$6:$A$505,A365)&gt;1,(COUNTIFS('أرقام التواصل'!$A$6:$A$505,"client",'أرقام التواصل'!$B$6:$B$505,A365,'أرقام التواصل'!$I$6:$I$505,"TRUE")+COUNTIFS('أرقام التواصل'!$A$6:$A$505,"client",'أرقام التواصل'!$B$6:$B$505,A365,'أرقام التواصل'!$C$6:$C$505,1))=0),"REVIEW","READY"))))</f>
        <v/>
      </c>
      <c r="BA365" s="16" t="str">
        <f>IF(AZ365="","",IF(OR(AZ365="READY",AZ365="TO_PROPOSED"),"",IF(AZ365="SKIP","Skipped by decision",TRIM(IF(B365="","missing import_action; ","")&amp;IF(A365="","missing migration_customer_key; ","")&amp;IF(AND(A365&lt;&gt;"",COUNTIF($A$6:$A$505,A365)&gt;1),"duplicate migration_customer_key; ","")&amp;IF(AND(NOT(OR(B365="to_candidate",AV365="proposed_name")),E365=""),"missing branch_id; ","")&amp;IF(AND(NOT(OR(B365="to_candidate",AV365="proposed_name")),G365=""),"missing first_name; ","")&amp;IF(AND(NOT(OR(B365="to_candidate",AV365="proposed_name")),I365=""),"missing last_name; ","")&amp;IF(AND(NOT(OR(B365="to_candidate",AV365="proposed_name")),U365=""),"missing final_geo_unit_id; ","")&amp;IF(AV365="","missing final_destination; ","")&amp;IF(AND(NOT(OR(B365="to_candidate",AV365="proposed_name")),(COUNTIFS('أرقام التواصل'!$A$6:$A$505,"client",'أرقام التواصل'!$B$6:$B$505,A365,'أرقام التواصل'!$I$6:$I$505,"TRUE")+COUNTIFS('أرقام التواصل'!$A$6:$A$505,"client",'أرقام التواصل'!$B$6:$B$505,A365,'أرقام التواصل'!$C$6:$C$505,1))=0),"missing primary contact in أرقام التواصل; ","")&amp;IF(OR(B365="to_candidate",AV365="proposed_name"),IF(AW365="","missing proposed_move_reason; ","")&amp;IF(AX365="","missing proposed_name_key; ",""),"")))))</f>
        <v/>
      </c>
    </row>
    <row r="366" spans="1:53">
      <c r="A366" s="11"/>
      <c r="B366" s="12"/>
      <c r="C366" s="13"/>
      <c r="D366" s="12"/>
      <c r="E366" s="12"/>
      <c r="F366" s="12"/>
      <c r="G366" s="12"/>
      <c r="H366" s="12"/>
      <c r="I366" s="12"/>
      <c r="J366" s="12"/>
      <c r="K366" s="12" t="str">
        <f t="shared" si="9"/>
        <v/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 t="str">
        <f t="shared" si="10"/>
        <v/>
      </c>
      <c r="V366" s="12"/>
      <c r="W366" s="14"/>
      <c r="X366" s="14"/>
      <c r="Y366" s="13"/>
      <c r="Z366" s="12"/>
      <c r="AA366" s="12"/>
      <c r="AB366" s="12"/>
      <c r="AC366" s="12"/>
      <c r="AD366" s="15"/>
      <c r="AE366" s="12"/>
      <c r="AF366" s="13"/>
      <c r="AG366" s="12"/>
      <c r="AH366" s="12"/>
      <c r="AI366" s="15"/>
      <c r="AJ366" s="12"/>
      <c r="AK366" s="12"/>
      <c r="AL366" s="12"/>
      <c r="AM366" s="12"/>
      <c r="AN366" s="12"/>
      <c r="AO366" s="12"/>
      <c r="AP366" s="12"/>
      <c r="AQ366" s="15"/>
      <c r="AR366" s="12"/>
      <c r="AS366" s="12"/>
      <c r="AT366" s="12"/>
      <c r="AU366" s="12"/>
      <c r="AV366" s="12"/>
      <c r="AW366" s="12"/>
      <c r="AX366" s="13"/>
      <c r="AY366" s="12"/>
      <c r="AZ366" s="12" t="str">
        <f>IF(AND(A366="",B366="",E366="",G366="",I366="",AV366="",AX366=""),"",IF(OR(B366="skip",AV366="skip"),"SKIP",IF(OR(B366="to_candidate",AV366="proposed_name"),IF(OR(A366="",AW366="",AX366="",COUNTIF($A$6:$A$505,A366)&gt;1),"REVIEW","TO_PROPOSED"),IF(OR(B366="",A366="",E366="",G366="",I366="",U366="",AV366="",COUNTIF($A$6:$A$505,A366)&gt;1,(COUNTIFS('أرقام التواصل'!$A$6:$A$505,"client",'أرقام التواصل'!$B$6:$B$505,A366,'أرقام التواصل'!$I$6:$I$505,"TRUE")+COUNTIFS('أرقام التواصل'!$A$6:$A$505,"client",'أرقام التواصل'!$B$6:$B$505,A366,'أرقام التواصل'!$C$6:$C$505,1))=0),"REVIEW","READY"))))</f>
        <v/>
      </c>
      <c r="BA366" s="16" t="str">
        <f>IF(AZ366="","",IF(OR(AZ366="READY",AZ366="TO_PROPOSED"),"",IF(AZ366="SKIP","Skipped by decision",TRIM(IF(B366="","missing import_action; ","")&amp;IF(A366="","missing migration_customer_key; ","")&amp;IF(AND(A366&lt;&gt;"",COUNTIF($A$6:$A$505,A366)&gt;1),"duplicate migration_customer_key; ","")&amp;IF(AND(NOT(OR(B366="to_candidate",AV366="proposed_name")),E366=""),"missing branch_id; ","")&amp;IF(AND(NOT(OR(B366="to_candidate",AV366="proposed_name")),G366=""),"missing first_name; ","")&amp;IF(AND(NOT(OR(B366="to_candidate",AV366="proposed_name")),I366=""),"missing last_name; ","")&amp;IF(AND(NOT(OR(B366="to_candidate",AV366="proposed_name")),U366=""),"missing final_geo_unit_id; ","")&amp;IF(AV366="","missing final_destination; ","")&amp;IF(AND(NOT(OR(B366="to_candidate",AV366="proposed_name")),(COUNTIFS('أرقام التواصل'!$A$6:$A$505,"client",'أرقام التواصل'!$B$6:$B$505,A366,'أرقام التواصل'!$I$6:$I$505,"TRUE")+COUNTIFS('أرقام التواصل'!$A$6:$A$505,"client",'أرقام التواصل'!$B$6:$B$505,A366,'أرقام التواصل'!$C$6:$C$505,1))=0),"missing primary contact in أرقام التواصل; ","")&amp;IF(OR(B366="to_candidate",AV366="proposed_name"),IF(AW366="","missing proposed_move_reason; ","")&amp;IF(AX366="","missing proposed_name_key; ",""),"")))))</f>
        <v/>
      </c>
    </row>
    <row r="367" spans="1:53">
      <c r="A367" s="11"/>
      <c r="B367" s="12"/>
      <c r="C367" s="13"/>
      <c r="D367" s="12"/>
      <c r="E367" s="12"/>
      <c r="F367" s="12"/>
      <c r="G367" s="12"/>
      <c r="H367" s="12"/>
      <c r="I367" s="12"/>
      <c r="J367" s="12"/>
      <c r="K367" s="12" t="str">
        <f t="shared" si="9"/>
        <v/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 t="str">
        <f t="shared" si="10"/>
        <v/>
      </c>
      <c r="V367" s="12"/>
      <c r="W367" s="14"/>
      <c r="X367" s="14"/>
      <c r="Y367" s="13"/>
      <c r="Z367" s="12"/>
      <c r="AA367" s="12"/>
      <c r="AB367" s="12"/>
      <c r="AC367" s="12"/>
      <c r="AD367" s="15"/>
      <c r="AE367" s="12"/>
      <c r="AF367" s="13"/>
      <c r="AG367" s="12"/>
      <c r="AH367" s="12"/>
      <c r="AI367" s="15"/>
      <c r="AJ367" s="12"/>
      <c r="AK367" s="12"/>
      <c r="AL367" s="12"/>
      <c r="AM367" s="12"/>
      <c r="AN367" s="12"/>
      <c r="AO367" s="12"/>
      <c r="AP367" s="12"/>
      <c r="AQ367" s="15"/>
      <c r="AR367" s="12"/>
      <c r="AS367" s="12"/>
      <c r="AT367" s="12"/>
      <c r="AU367" s="12"/>
      <c r="AV367" s="12"/>
      <c r="AW367" s="12"/>
      <c r="AX367" s="13"/>
      <c r="AY367" s="12"/>
      <c r="AZ367" s="12" t="str">
        <f>IF(AND(A367="",B367="",E367="",G367="",I367="",AV367="",AX367=""),"",IF(OR(B367="skip",AV367="skip"),"SKIP",IF(OR(B367="to_candidate",AV367="proposed_name"),IF(OR(A367="",AW367="",AX367="",COUNTIF($A$6:$A$505,A367)&gt;1),"REVIEW","TO_PROPOSED"),IF(OR(B367="",A367="",E367="",G367="",I367="",U367="",AV367="",COUNTIF($A$6:$A$505,A367)&gt;1,(COUNTIFS('أرقام التواصل'!$A$6:$A$505,"client",'أرقام التواصل'!$B$6:$B$505,A367,'أرقام التواصل'!$I$6:$I$505,"TRUE")+COUNTIFS('أرقام التواصل'!$A$6:$A$505,"client",'أرقام التواصل'!$B$6:$B$505,A367,'أرقام التواصل'!$C$6:$C$505,1))=0),"REVIEW","READY"))))</f>
        <v/>
      </c>
      <c r="BA367" s="16" t="str">
        <f>IF(AZ367="","",IF(OR(AZ367="READY",AZ367="TO_PROPOSED"),"",IF(AZ367="SKIP","Skipped by decision",TRIM(IF(B367="","missing import_action; ","")&amp;IF(A367="","missing migration_customer_key; ","")&amp;IF(AND(A367&lt;&gt;"",COUNTIF($A$6:$A$505,A367)&gt;1),"duplicate migration_customer_key; ","")&amp;IF(AND(NOT(OR(B367="to_candidate",AV367="proposed_name")),E367=""),"missing branch_id; ","")&amp;IF(AND(NOT(OR(B367="to_candidate",AV367="proposed_name")),G367=""),"missing first_name; ","")&amp;IF(AND(NOT(OR(B367="to_candidate",AV367="proposed_name")),I367=""),"missing last_name; ","")&amp;IF(AND(NOT(OR(B367="to_candidate",AV367="proposed_name")),U367=""),"missing final_geo_unit_id; ","")&amp;IF(AV367="","missing final_destination; ","")&amp;IF(AND(NOT(OR(B367="to_candidate",AV367="proposed_name")),(COUNTIFS('أرقام التواصل'!$A$6:$A$505,"client",'أرقام التواصل'!$B$6:$B$505,A367,'أرقام التواصل'!$I$6:$I$505,"TRUE")+COUNTIFS('أرقام التواصل'!$A$6:$A$505,"client",'أرقام التواصل'!$B$6:$B$505,A367,'أرقام التواصل'!$C$6:$C$505,1))=0),"missing primary contact in أرقام التواصل; ","")&amp;IF(OR(B367="to_candidate",AV367="proposed_name"),IF(AW367="","missing proposed_move_reason; ","")&amp;IF(AX367="","missing proposed_name_key; ",""),"")))))</f>
        <v/>
      </c>
    </row>
    <row r="368" spans="1:53">
      <c r="A368" s="11"/>
      <c r="B368" s="12"/>
      <c r="C368" s="13"/>
      <c r="D368" s="12"/>
      <c r="E368" s="12"/>
      <c r="F368" s="12"/>
      <c r="G368" s="12"/>
      <c r="H368" s="12"/>
      <c r="I368" s="12"/>
      <c r="J368" s="12"/>
      <c r="K368" s="12" t="str">
        <f t="shared" si="9"/>
        <v/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 t="str">
        <f t="shared" si="10"/>
        <v/>
      </c>
      <c r="V368" s="12"/>
      <c r="W368" s="14"/>
      <c r="X368" s="14"/>
      <c r="Y368" s="13"/>
      <c r="Z368" s="12"/>
      <c r="AA368" s="12"/>
      <c r="AB368" s="12"/>
      <c r="AC368" s="12"/>
      <c r="AD368" s="15"/>
      <c r="AE368" s="12"/>
      <c r="AF368" s="13"/>
      <c r="AG368" s="12"/>
      <c r="AH368" s="12"/>
      <c r="AI368" s="15"/>
      <c r="AJ368" s="12"/>
      <c r="AK368" s="12"/>
      <c r="AL368" s="12"/>
      <c r="AM368" s="12"/>
      <c r="AN368" s="12"/>
      <c r="AO368" s="12"/>
      <c r="AP368" s="12"/>
      <c r="AQ368" s="15"/>
      <c r="AR368" s="12"/>
      <c r="AS368" s="12"/>
      <c r="AT368" s="12"/>
      <c r="AU368" s="12"/>
      <c r="AV368" s="12"/>
      <c r="AW368" s="12"/>
      <c r="AX368" s="13"/>
      <c r="AY368" s="12"/>
      <c r="AZ368" s="12" t="str">
        <f>IF(AND(A368="",B368="",E368="",G368="",I368="",AV368="",AX368=""),"",IF(OR(B368="skip",AV368="skip"),"SKIP",IF(OR(B368="to_candidate",AV368="proposed_name"),IF(OR(A368="",AW368="",AX368="",COUNTIF($A$6:$A$505,A368)&gt;1),"REVIEW","TO_PROPOSED"),IF(OR(B368="",A368="",E368="",G368="",I368="",U368="",AV368="",COUNTIF($A$6:$A$505,A368)&gt;1,(COUNTIFS('أرقام التواصل'!$A$6:$A$505,"client",'أرقام التواصل'!$B$6:$B$505,A368,'أرقام التواصل'!$I$6:$I$505,"TRUE")+COUNTIFS('أرقام التواصل'!$A$6:$A$505,"client",'أرقام التواصل'!$B$6:$B$505,A368,'أرقام التواصل'!$C$6:$C$505,1))=0),"REVIEW","READY"))))</f>
        <v/>
      </c>
      <c r="BA368" s="16" t="str">
        <f>IF(AZ368="","",IF(OR(AZ368="READY",AZ368="TO_PROPOSED"),"",IF(AZ368="SKIP","Skipped by decision",TRIM(IF(B368="","missing import_action; ","")&amp;IF(A368="","missing migration_customer_key; ","")&amp;IF(AND(A368&lt;&gt;"",COUNTIF($A$6:$A$505,A368)&gt;1),"duplicate migration_customer_key; ","")&amp;IF(AND(NOT(OR(B368="to_candidate",AV368="proposed_name")),E368=""),"missing branch_id; ","")&amp;IF(AND(NOT(OR(B368="to_candidate",AV368="proposed_name")),G368=""),"missing first_name; ","")&amp;IF(AND(NOT(OR(B368="to_candidate",AV368="proposed_name")),I368=""),"missing last_name; ","")&amp;IF(AND(NOT(OR(B368="to_candidate",AV368="proposed_name")),U368=""),"missing final_geo_unit_id; ","")&amp;IF(AV368="","missing final_destination; ","")&amp;IF(AND(NOT(OR(B368="to_candidate",AV368="proposed_name")),(COUNTIFS('أرقام التواصل'!$A$6:$A$505,"client",'أرقام التواصل'!$B$6:$B$505,A368,'أرقام التواصل'!$I$6:$I$505,"TRUE")+COUNTIFS('أرقام التواصل'!$A$6:$A$505,"client",'أرقام التواصل'!$B$6:$B$505,A368,'أرقام التواصل'!$C$6:$C$505,1))=0),"missing primary contact in أرقام التواصل; ","")&amp;IF(OR(B368="to_candidate",AV368="proposed_name"),IF(AW368="","missing proposed_move_reason; ","")&amp;IF(AX368="","missing proposed_name_key; ",""),"")))))</f>
        <v/>
      </c>
    </row>
    <row r="369" spans="1:53">
      <c r="A369" s="11"/>
      <c r="B369" s="12"/>
      <c r="C369" s="13"/>
      <c r="D369" s="12"/>
      <c r="E369" s="12"/>
      <c r="F369" s="12"/>
      <c r="G369" s="12"/>
      <c r="H369" s="12"/>
      <c r="I369" s="12"/>
      <c r="J369" s="12"/>
      <c r="K369" s="12" t="str">
        <f t="shared" si="9"/>
        <v/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 t="str">
        <f t="shared" si="10"/>
        <v/>
      </c>
      <c r="V369" s="12"/>
      <c r="W369" s="14"/>
      <c r="X369" s="14"/>
      <c r="Y369" s="13"/>
      <c r="Z369" s="12"/>
      <c r="AA369" s="12"/>
      <c r="AB369" s="12"/>
      <c r="AC369" s="12"/>
      <c r="AD369" s="15"/>
      <c r="AE369" s="12"/>
      <c r="AF369" s="13"/>
      <c r="AG369" s="12"/>
      <c r="AH369" s="12"/>
      <c r="AI369" s="15"/>
      <c r="AJ369" s="12"/>
      <c r="AK369" s="12"/>
      <c r="AL369" s="12"/>
      <c r="AM369" s="12"/>
      <c r="AN369" s="12"/>
      <c r="AO369" s="12"/>
      <c r="AP369" s="12"/>
      <c r="AQ369" s="15"/>
      <c r="AR369" s="12"/>
      <c r="AS369" s="12"/>
      <c r="AT369" s="12"/>
      <c r="AU369" s="12"/>
      <c r="AV369" s="12"/>
      <c r="AW369" s="12"/>
      <c r="AX369" s="13"/>
      <c r="AY369" s="12"/>
      <c r="AZ369" s="12" t="str">
        <f>IF(AND(A369="",B369="",E369="",G369="",I369="",AV369="",AX369=""),"",IF(OR(B369="skip",AV369="skip"),"SKIP",IF(OR(B369="to_candidate",AV369="proposed_name"),IF(OR(A369="",AW369="",AX369="",COUNTIF($A$6:$A$505,A369)&gt;1),"REVIEW","TO_PROPOSED"),IF(OR(B369="",A369="",E369="",G369="",I369="",U369="",AV369="",COUNTIF($A$6:$A$505,A369)&gt;1,(COUNTIFS('أرقام التواصل'!$A$6:$A$505,"client",'أرقام التواصل'!$B$6:$B$505,A369,'أرقام التواصل'!$I$6:$I$505,"TRUE")+COUNTIFS('أرقام التواصل'!$A$6:$A$505,"client",'أرقام التواصل'!$B$6:$B$505,A369,'أرقام التواصل'!$C$6:$C$505,1))=0),"REVIEW","READY"))))</f>
        <v/>
      </c>
      <c r="BA369" s="16" t="str">
        <f>IF(AZ369="","",IF(OR(AZ369="READY",AZ369="TO_PROPOSED"),"",IF(AZ369="SKIP","Skipped by decision",TRIM(IF(B369="","missing import_action; ","")&amp;IF(A369="","missing migration_customer_key; ","")&amp;IF(AND(A369&lt;&gt;"",COUNTIF($A$6:$A$505,A369)&gt;1),"duplicate migration_customer_key; ","")&amp;IF(AND(NOT(OR(B369="to_candidate",AV369="proposed_name")),E369=""),"missing branch_id; ","")&amp;IF(AND(NOT(OR(B369="to_candidate",AV369="proposed_name")),G369=""),"missing first_name; ","")&amp;IF(AND(NOT(OR(B369="to_candidate",AV369="proposed_name")),I369=""),"missing last_name; ","")&amp;IF(AND(NOT(OR(B369="to_candidate",AV369="proposed_name")),U369=""),"missing final_geo_unit_id; ","")&amp;IF(AV369="","missing final_destination; ","")&amp;IF(AND(NOT(OR(B369="to_candidate",AV369="proposed_name")),(COUNTIFS('أرقام التواصل'!$A$6:$A$505,"client",'أرقام التواصل'!$B$6:$B$505,A369,'أرقام التواصل'!$I$6:$I$505,"TRUE")+COUNTIFS('أرقام التواصل'!$A$6:$A$505,"client",'أرقام التواصل'!$B$6:$B$505,A369,'أرقام التواصل'!$C$6:$C$505,1))=0),"missing primary contact in أرقام التواصل; ","")&amp;IF(OR(B369="to_candidate",AV369="proposed_name"),IF(AW369="","missing proposed_move_reason; ","")&amp;IF(AX369="","missing proposed_name_key; ",""),"")))))</f>
        <v/>
      </c>
    </row>
    <row r="370" spans="1:53">
      <c r="A370" s="11"/>
      <c r="B370" s="12"/>
      <c r="C370" s="13"/>
      <c r="D370" s="12"/>
      <c r="E370" s="12"/>
      <c r="F370" s="12"/>
      <c r="G370" s="12"/>
      <c r="H370" s="12"/>
      <c r="I370" s="12"/>
      <c r="J370" s="12"/>
      <c r="K370" s="12" t="str">
        <f t="shared" si="9"/>
        <v/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 t="str">
        <f t="shared" si="10"/>
        <v/>
      </c>
      <c r="V370" s="12"/>
      <c r="W370" s="14"/>
      <c r="X370" s="14"/>
      <c r="Y370" s="13"/>
      <c r="Z370" s="12"/>
      <c r="AA370" s="12"/>
      <c r="AB370" s="12"/>
      <c r="AC370" s="12"/>
      <c r="AD370" s="15"/>
      <c r="AE370" s="12"/>
      <c r="AF370" s="13"/>
      <c r="AG370" s="12"/>
      <c r="AH370" s="12"/>
      <c r="AI370" s="15"/>
      <c r="AJ370" s="12"/>
      <c r="AK370" s="12"/>
      <c r="AL370" s="12"/>
      <c r="AM370" s="12"/>
      <c r="AN370" s="12"/>
      <c r="AO370" s="12"/>
      <c r="AP370" s="12"/>
      <c r="AQ370" s="15"/>
      <c r="AR370" s="12"/>
      <c r="AS370" s="12"/>
      <c r="AT370" s="12"/>
      <c r="AU370" s="12"/>
      <c r="AV370" s="12"/>
      <c r="AW370" s="12"/>
      <c r="AX370" s="13"/>
      <c r="AY370" s="12"/>
      <c r="AZ370" s="12" t="str">
        <f>IF(AND(A370="",B370="",E370="",G370="",I370="",AV370="",AX370=""),"",IF(OR(B370="skip",AV370="skip"),"SKIP",IF(OR(B370="to_candidate",AV370="proposed_name"),IF(OR(A370="",AW370="",AX370="",COUNTIF($A$6:$A$505,A370)&gt;1),"REVIEW","TO_PROPOSED"),IF(OR(B370="",A370="",E370="",G370="",I370="",U370="",AV370="",COUNTIF($A$6:$A$505,A370)&gt;1,(COUNTIFS('أرقام التواصل'!$A$6:$A$505,"client",'أرقام التواصل'!$B$6:$B$505,A370,'أرقام التواصل'!$I$6:$I$505,"TRUE")+COUNTIFS('أرقام التواصل'!$A$6:$A$505,"client",'أرقام التواصل'!$B$6:$B$505,A370,'أرقام التواصل'!$C$6:$C$505,1))=0),"REVIEW","READY"))))</f>
        <v/>
      </c>
      <c r="BA370" s="16" t="str">
        <f>IF(AZ370="","",IF(OR(AZ370="READY",AZ370="TO_PROPOSED"),"",IF(AZ370="SKIP","Skipped by decision",TRIM(IF(B370="","missing import_action; ","")&amp;IF(A370="","missing migration_customer_key; ","")&amp;IF(AND(A370&lt;&gt;"",COUNTIF($A$6:$A$505,A370)&gt;1),"duplicate migration_customer_key; ","")&amp;IF(AND(NOT(OR(B370="to_candidate",AV370="proposed_name")),E370=""),"missing branch_id; ","")&amp;IF(AND(NOT(OR(B370="to_candidate",AV370="proposed_name")),G370=""),"missing first_name; ","")&amp;IF(AND(NOT(OR(B370="to_candidate",AV370="proposed_name")),I370=""),"missing last_name; ","")&amp;IF(AND(NOT(OR(B370="to_candidate",AV370="proposed_name")),U370=""),"missing final_geo_unit_id; ","")&amp;IF(AV370="","missing final_destination; ","")&amp;IF(AND(NOT(OR(B370="to_candidate",AV370="proposed_name")),(COUNTIFS('أرقام التواصل'!$A$6:$A$505,"client",'أرقام التواصل'!$B$6:$B$505,A370,'أرقام التواصل'!$I$6:$I$505,"TRUE")+COUNTIFS('أرقام التواصل'!$A$6:$A$505,"client",'أرقام التواصل'!$B$6:$B$505,A370,'أرقام التواصل'!$C$6:$C$505,1))=0),"missing primary contact in أرقام التواصل; ","")&amp;IF(OR(B370="to_candidate",AV370="proposed_name"),IF(AW370="","missing proposed_move_reason; ","")&amp;IF(AX370="","missing proposed_name_key; ",""),"")))))</f>
        <v/>
      </c>
    </row>
    <row r="371" spans="1:53">
      <c r="A371" s="11"/>
      <c r="B371" s="12"/>
      <c r="C371" s="13"/>
      <c r="D371" s="12"/>
      <c r="E371" s="12"/>
      <c r="F371" s="12"/>
      <c r="G371" s="12"/>
      <c r="H371" s="12"/>
      <c r="I371" s="12"/>
      <c r="J371" s="12"/>
      <c r="K371" s="12" t="str">
        <f t="shared" si="9"/>
        <v/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 t="str">
        <f t="shared" si="10"/>
        <v/>
      </c>
      <c r="V371" s="12"/>
      <c r="W371" s="14"/>
      <c r="X371" s="14"/>
      <c r="Y371" s="13"/>
      <c r="Z371" s="12"/>
      <c r="AA371" s="12"/>
      <c r="AB371" s="12"/>
      <c r="AC371" s="12"/>
      <c r="AD371" s="15"/>
      <c r="AE371" s="12"/>
      <c r="AF371" s="13"/>
      <c r="AG371" s="12"/>
      <c r="AH371" s="12"/>
      <c r="AI371" s="15"/>
      <c r="AJ371" s="12"/>
      <c r="AK371" s="12"/>
      <c r="AL371" s="12"/>
      <c r="AM371" s="12"/>
      <c r="AN371" s="12"/>
      <c r="AO371" s="12"/>
      <c r="AP371" s="12"/>
      <c r="AQ371" s="15"/>
      <c r="AR371" s="12"/>
      <c r="AS371" s="12"/>
      <c r="AT371" s="12"/>
      <c r="AU371" s="12"/>
      <c r="AV371" s="12"/>
      <c r="AW371" s="12"/>
      <c r="AX371" s="13"/>
      <c r="AY371" s="12"/>
      <c r="AZ371" s="12" t="str">
        <f>IF(AND(A371="",B371="",E371="",G371="",I371="",AV371="",AX371=""),"",IF(OR(B371="skip",AV371="skip"),"SKIP",IF(OR(B371="to_candidate",AV371="proposed_name"),IF(OR(A371="",AW371="",AX371="",COUNTIF($A$6:$A$505,A371)&gt;1),"REVIEW","TO_PROPOSED"),IF(OR(B371="",A371="",E371="",G371="",I371="",U371="",AV371="",COUNTIF($A$6:$A$505,A371)&gt;1,(COUNTIFS('أرقام التواصل'!$A$6:$A$505,"client",'أرقام التواصل'!$B$6:$B$505,A371,'أرقام التواصل'!$I$6:$I$505,"TRUE")+COUNTIFS('أرقام التواصل'!$A$6:$A$505,"client",'أرقام التواصل'!$B$6:$B$505,A371,'أرقام التواصل'!$C$6:$C$505,1))=0),"REVIEW","READY"))))</f>
        <v/>
      </c>
      <c r="BA371" s="16" t="str">
        <f>IF(AZ371="","",IF(OR(AZ371="READY",AZ371="TO_PROPOSED"),"",IF(AZ371="SKIP","Skipped by decision",TRIM(IF(B371="","missing import_action; ","")&amp;IF(A371="","missing migration_customer_key; ","")&amp;IF(AND(A371&lt;&gt;"",COUNTIF($A$6:$A$505,A371)&gt;1),"duplicate migration_customer_key; ","")&amp;IF(AND(NOT(OR(B371="to_candidate",AV371="proposed_name")),E371=""),"missing branch_id; ","")&amp;IF(AND(NOT(OR(B371="to_candidate",AV371="proposed_name")),G371=""),"missing first_name; ","")&amp;IF(AND(NOT(OR(B371="to_candidate",AV371="proposed_name")),I371=""),"missing last_name; ","")&amp;IF(AND(NOT(OR(B371="to_candidate",AV371="proposed_name")),U371=""),"missing final_geo_unit_id; ","")&amp;IF(AV371="","missing final_destination; ","")&amp;IF(AND(NOT(OR(B371="to_candidate",AV371="proposed_name")),(COUNTIFS('أرقام التواصل'!$A$6:$A$505,"client",'أرقام التواصل'!$B$6:$B$505,A371,'أرقام التواصل'!$I$6:$I$505,"TRUE")+COUNTIFS('أرقام التواصل'!$A$6:$A$505,"client",'أرقام التواصل'!$B$6:$B$505,A371,'أرقام التواصل'!$C$6:$C$505,1))=0),"missing primary contact in أرقام التواصل; ","")&amp;IF(OR(B371="to_candidate",AV371="proposed_name"),IF(AW371="","missing proposed_move_reason; ","")&amp;IF(AX371="","missing proposed_name_key; ",""),"")))))</f>
        <v/>
      </c>
    </row>
    <row r="372" spans="1:53">
      <c r="A372" s="11"/>
      <c r="B372" s="12"/>
      <c r="C372" s="13"/>
      <c r="D372" s="12"/>
      <c r="E372" s="12"/>
      <c r="F372" s="12"/>
      <c r="G372" s="12"/>
      <c r="H372" s="12"/>
      <c r="I372" s="12"/>
      <c r="J372" s="12"/>
      <c r="K372" s="12" t="str">
        <f t="shared" si="9"/>
        <v/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 t="str">
        <f t="shared" si="10"/>
        <v/>
      </c>
      <c r="V372" s="12"/>
      <c r="W372" s="14"/>
      <c r="X372" s="14"/>
      <c r="Y372" s="13"/>
      <c r="Z372" s="12"/>
      <c r="AA372" s="12"/>
      <c r="AB372" s="12"/>
      <c r="AC372" s="12"/>
      <c r="AD372" s="15"/>
      <c r="AE372" s="12"/>
      <c r="AF372" s="13"/>
      <c r="AG372" s="12"/>
      <c r="AH372" s="12"/>
      <c r="AI372" s="15"/>
      <c r="AJ372" s="12"/>
      <c r="AK372" s="12"/>
      <c r="AL372" s="12"/>
      <c r="AM372" s="12"/>
      <c r="AN372" s="12"/>
      <c r="AO372" s="12"/>
      <c r="AP372" s="12"/>
      <c r="AQ372" s="15"/>
      <c r="AR372" s="12"/>
      <c r="AS372" s="12"/>
      <c r="AT372" s="12"/>
      <c r="AU372" s="12"/>
      <c r="AV372" s="12"/>
      <c r="AW372" s="12"/>
      <c r="AX372" s="13"/>
      <c r="AY372" s="12"/>
      <c r="AZ372" s="12" t="str">
        <f>IF(AND(A372="",B372="",E372="",G372="",I372="",AV372="",AX372=""),"",IF(OR(B372="skip",AV372="skip"),"SKIP",IF(OR(B372="to_candidate",AV372="proposed_name"),IF(OR(A372="",AW372="",AX372="",COUNTIF($A$6:$A$505,A372)&gt;1),"REVIEW","TO_PROPOSED"),IF(OR(B372="",A372="",E372="",G372="",I372="",U372="",AV372="",COUNTIF($A$6:$A$505,A372)&gt;1,(COUNTIFS('أرقام التواصل'!$A$6:$A$505,"client",'أرقام التواصل'!$B$6:$B$505,A372,'أرقام التواصل'!$I$6:$I$505,"TRUE")+COUNTIFS('أرقام التواصل'!$A$6:$A$505,"client",'أرقام التواصل'!$B$6:$B$505,A372,'أرقام التواصل'!$C$6:$C$505,1))=0),"REVIEW","READY"))))</f>
        <v/>
      </c>
      <c r="BA372" s="16" t="str">
        <f>IF(AZ372="","",IF(OR(AZ372="READY",AZ372="TO_PROPOSED"),"",IF(AZ372="SKIP","Skipped by decision",TRIM(IF(B372="","missing import_action; ","")&amp;IF(A372="","missing migration_customer_key; ","")&amp;IF(AND(A372&lt;&gt;"",COUNTIF($A$6:$A$505,A372)&gt;1),"duplicate migration_customer_key; ","")&amp;IF(AND(NOT(OR(B372="to_candidate",AV372="proposed_name")),E372=""),"missing branch_id; ","")&amp;IF(AND(NOT(OR(B372="to_candidate",AV372="proposed_name")),G372=""),"missing first_name; ","")&amp;IF(AND(NOT(OR(B372="to_candidate",AV372="proposed_name")),I372=""),"missing last_name; ","")&amp;IF(AND(NOT(OR(B372="to_candidate",AV372="proposed_name")),U372=""),"missing final_geo_unit_id; ","")&amp;IF(AV372="","missing final_destination; ","")&amp;IF(AND(NOT(OR(B372="to_candidate",AV372="proposed_name")),(COUNTIFS('أرقام التواصل'!$A$6:$A$505,"client",'أرقام التواصل'!$B$6:$B$505,A372,'أرقام التواصل'!$I$6:$I$505,"TRUE")+COUNTIFS('أرقام التواصل'!$A$6:$A$505,"client",'أرقام التواصل'!$B$6:$B$505,A372,'أرقام التواصل'!$C$6:$C$505,1))=0),"missing primary contact in أرقام التواصل; ","")&amp;IF(OR(B372="to_candidate",AV372="proposed_name"),IF(AW372="","missing proposed_move_reason; ","")&amp;IF(AX372="","missing proposed_name_key; ",""),"")))))</f>
        <v/>
      </c>
    </row>
    <row r="373" spans="1:53">
      <c r="A373" s="11"/>
      <c r="B373" s="12"/>
      <c r="C373" s="13"/>
      <c r="D373" s="12"/>
      <c r="E373" s="12"/>
      <c r="F373" s="12"/>
      <c r="G373" s="12"/>
      <c r="H373" s="12"/>
      <c r="I373" s="12"/>
      <c r="J373" s="12"/>
      <c r="K373" s="12" t="str">
        <f t="shared" si="9"/>
        <v/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 t="str">
        <f t="shared" si="10"/>
        <v/>
      </c>
      <c r="V373" s="12"/>
      <c r="W373" s="14"/>
      <c r="X373" s="14"/>
      <c r="Y373" s="13"/>
      <c r="Z373" s="12"/>
      <c r="AA373" s="12"/>
      <c r="AB373" s="12"/>
      <c r="AC373" s="12"/>
      <c r="AD373" s="15"/>
      <c r="AE373" s="12"/>
      <c r="AF373" s="13"/>
      <c r="AG373" s="12"/>
      <c r="AH373" s="12"/>
      <c r="AI373" s="15"/>
      <c r="AJ373" s="12"/>
      <c r="AK373" s="12"/>
      <c r="AL373" s="12"/>
      <c r="AM373" s="12"/>
      <c r="AN373" s="12"/>
      <c r="AO373" s="12"/>
      <c r="AP373" s="12"/>
      <c r="AQ373" s="15"/>
      <c r="AR373" s="12"/>
      <c r="AS373" s="12"/>
      <c r="AT373" s="12"/>
      <c r="AU373" s="12"/>
      <c r="AV373" s="12"/>
      <c r="AW373" s="12"/>
      <c r="AX373" s="13"/>
      <c r="AY373" s="12"/>
      <c r="AZ373" s="12" t="str">
        <f>IF(AND(A373="",B373="",E373="",G373="",I373="",AV373="",AX373=""),"",IF(OR(B373="skip",AV373="skip"),"SKIP",IF(OR(B373="to_candidate",AV373="proposed_name"),IF(OR(A373="",AW373="",AX373="",COUNTIF($A$6:$A$505,A373)&gt;1),"REVIEW","TO_PROPOSED"),IF(OR(B373="",A373="",E373="",G373="",I373="",U373="",AV373="",COUNTIF($A$6:$A$505,A373)&gt;1,(COUNTIFS('أرقام التواصل'!$A$6:$A$505,"client",'أرقام التواصل'!$B$6:$B$505,A373,'أرقام التواصل'!$I$6:$I$505,"TRUE")+COUNTIFS('أرقام التواصل'!$A$6:$A$505,"client",'أرقام التواصل'!$B$6:$B$505,A373,'أرقام التواصل'!$C$6:$C$505,1))=0),"REVIEW","READY"))))</f>
        <v/>
      </c>
      <c r="BA373" s="16" t="str">
        <f>IF(AZ373="","",IF(OR(AZ373="READY",AZ373="TO_PROPOSED"),"",IF(AZ373="SKIP","Skipped by decision",TRIM(IF(B373="","missing import_action; ","")&amp;IF(A373="","missing migration_customer_key; ","")&amp;IF(AND(A373&lt;&gt;"",COUNTIF($A$6:$A$505,A373)&gt;1),"duplicate migration_customer_key; ","")&amp;IF(AND(NOT(OR(B373="to_candidate",AV373="proposed_name")),E373=""),"missing branch_id; ","")&amp;IF(AND(NOT(OR(B373="to_candidate",AV373="proposed_name")),G373=""),"missing first_name; ","")&amp;IF(AND(NOT(OR(B373="to_candidate",AV373="proposed_name")),I373=""),"missing last_name; ","")&amp;IF(AND(NOT(OR(B373="to_candidate",AV373="proposed_name")),U373=""),"missing final_geo_unit_id; ","")&amp;IF(AV373="","missing final_destination; ","")&amp;IF(AND(NOT(OR(B373="to_candidate",AV373="proposed_name")),(COUNTIFS('أرقام التواصل'!$A$6:$A$505,"client",'أرقام التواصل'!$B$6:$B$505,A373,'أرقام التواصل'!$I$6:$I$505,"TRUE")+COUNTIFS('أرقام التواصل'!$A$6:$A$505,"client",'أرقام التواصل'!$B$6:$B$505,A373,'أرقام التواصل'!$C$6:$C$505,1))=0),"missing primary contact in أرقام التواصل; ","")&amp;IF(OR(B373="to_candidate",AV373="proposed_name"),IF(AW373="","missing proposed_move_reason; ","")&amp;IF(AX373="","missing proposed_name_key; ",""),"")))))</f>
        <v/>
      </c>
    </row>
    <row r="374" spans="1:53">
      <c r="A374" s="11"/>
      <c r="B374" s="12"/>
      <c r="C374" s="13"/>
      <c r="D374" s="12"/>
      <c r="E374" s="12"/>
      <c r="F374" s="12"/>
      <c r="G374" s="12"/>
      <c r="H374" s="12"/>
      <c r="I374" s="12"/>
      <c r="J374" s="12"/>
      <c r="K374" s="12" t="str">
        <f t="shared" si="9"/>
        <v/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 t="str">
        <f t="shared" si="10"/>
        <v/>
      </c>
      <c r="V374" s="12"/>
      <c r="W374" s="14"/>
      <c r="X374" s="14"/>
      <c r="Y374" s="13"/>
      <c r="Z374" s="12"/>
      <c r="AA374" s="12"/>
      <c r="AB374" s="12"/>
      <c r="AC374" s="12"/>
      <c r="AD374" s="15"/>
      <c r="AE374" s="12"/>
      <c r="AF374" s="13"/>
      <c r="AG374" s="12"/>
      <c r="AH374" s="12"/>
      <c r="AI374" s="15"/>
      <c r="AJ374" s="12"/>
      <c r="AK374" s="12"/>
      <c r="AL374" s="12"/>
      <c r="AM374" s="12"/>
      <c r="AN374" s="12"/>
      <c r="AO374" s="12"/>
      <c r="AP374" s="12"/>
      <c r="AQ374" s="15"/>
      <c r="AR374" s="12"/>
      <c r="AS374" s="12"/>
      <c r="AT374" s="12"/>
      <c r="AU374" s="12"/>
      <c r="AV374" s="12"/>
      <c r="AW374" s="12"/>
      <c r="AX374" s="13"/>
      <c r="AY374" s="12"/>
      <c r="AZ374" s="12" t="str">
        <f>IF(AND(A374="",B374="",E374="",G374="",I374="",AV374="",AX374=""),"",IF(OR(B374="skip",AV374="skip"),"SKIP",IF(OR(B374="to_candidate",AV374="proposed_name"),IF(OR(A374="",AW374="",AX374="",COUNTIF($A$6:$A$505,A374)&gt;1),"REVIEW","TO_PROPOSED"),IF(OR(B374="",A374="",E374="",G374="",I374="",U374="",AV374="",COUNTIF($A$6:$A$505,A374)&gt;1,(COUNTIFS('أرقام التواصل'!$A$6:$A$505,"client",'أرقام التواصل'!$B$6:$B$505,A374,'أرقام التواصل'!$I$6:$I$505,"TRUE")+COUNTIFS('أرقام التواصل'!$A$6:$A$505,"client",'أرقام التواصل'!$B$6:$B$505,A374,'أرقام التواصل'!$C$6:$C$505,1))=0),"REVIEW","READY"))))</f>
        <v/>
      </c>
      <c r="BA374" s="16" t="str">
        <f>IF(AZ374="","",IF(OR(AZ374="READY",AZ374="TO_PROPOSED"),"",IF(AZ374="SKIP","Skipped by decision",TRIM(IF(B374="","missing import_action; ","")&amp;IF(A374="","missing migration_customer_key; ","")&amp;IF(AND(A374&lt;&gt;"",COUNTIF($A$6:$A$505,A374)&gt;1),"duplicate migration_customer_key; ","")&amp;IF(AND(NOT(OR(B374="to_candidate",AV374="proposed_name")),E374=""),"missing branch_id; ","")&amp;IF(AND(NOT(OR(B374="to_candidate",AV374="proposed_name")),G374=""),"missing first_name; ","")&amp;IF(AND(NOT(OR(B374="to_candidate",AV374="proposed_name")),I374=""),"missing last_name; ","")&amp;IF(AND(NOT(OR(B374="to_candidate",AV374="proposed_name")),U374=""),"missing final_geo_unit_id; ","")&amp;IF(AV374="","missing final_destination; ","")&amp;IF(AND(NOT(OR(B374="to_candidate",AV374="proposed_name")),(COUNTIFS('أرقام التواصل'!$A$6:$A$505,"client",'أرقام التواصل'!$B$6:$B$505,A374,'أرقام التواصل'!$I$6:$I$505,"TRUE")+COUNTIFS('أرقام التواصل'!$A$6:$A$505,"client",'أرقام التواصل'!$B$6:$B$505,A374,'أرقام التواصل'!$C$6:$C$505,1))=0),"missing primary contact in أرقام التواصل; ","")&amp;IF(OR(B374="to_candidate",AV374="proposed_name"),IF(AW374="","missing proposed_move_reason; ","")&amp;IF(AX374="","missing proposed_name_key; ",""),"")))))</f>
        <v/>
      </c>
    </row>
    <row r="375" spans="1:53">
      <c r="A375" s="11"/>
      <c r="B375" s="12"/>
      <c r="C375" s="13"/>
      <c r="D375" s="12"/>
      <c r="E375" s="12"/>
      <c r="F375" s="12"/>
      <c r="G375" s="12"/>
      <c r="H375" s="12"/>
      <c r="I375" s="12"/>
      <c r="J375" s="12"/>
      <c r="K375" s="12" t="str">
        <f t="shared" si="9"/>
        <v/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 t="str">
        <f t="shared" si="10"/>
        <v/>
      </c>
      <c r="V375" s="12"/>
      <c r="W375" s="14"/>
      <c r="X375" s="14"/>
      <c r="Y375" s="13"/>
      <c r="Z375" s="12"/>
      <c r="AA375" s="12"/>
      <c r="AB375" s="12"/>
      <c r="AC375" s="12"/>
      <c r="AD375" s="15"/>
      <c r="AE375" s="12"/>
      <c r="AF375" s="13"/>
      <c r="AG375" s="12"/>
      <c r="AH375" s="12"/>
      <c r="AI375" s="15"/>
      <c r="AJ375" s="12"/>
      <c r="AK375" s="12"/>
      <c r="AL375" s="12"/>
      <c r="AM375" s="12"/>
      <c r="AN375" s="12"/>
      <c r="AO375" s="12"/>
      <c r="AP375" s="12"/>
      <c r="AQ375" s="15"/>
      <c r="AR375" s="12"/>
      <c r="AS375" s="12"/>
      <c r="AT375" s="12"/>
      <c r="AU375" s="12"/>
      <c r="AV375" s="12"/>
      <c r="AW375" s="12"/>
      <c r="AX375" s="13"/>
      <c r="AY375" s="12"/>
      <c r="AZ375" s="12" t="str">
        <f>IF(AND(A375="",B375="",E375="",G375="",I375="",AV375="",AX375=""),"",IF(OR(B375="skip",AV375="skip"),"SKIP",IF(OR(B375="to_candidate",AV375="proposed_name"),IF(OR(A375="",AW375="",AX375="",COUNTIF($A$6:$A$505,A375)&gt;1),"REVIEW","TO_PROPOSED"),IF(OR(B375="",A375="",E375="",G375="",I375="",U375="",AV375="",COUNTIF($A$6:$A$505,A375)&gt;1,(COUNTIFS('أرقام التواصل'!$A$6:$A$505,"client",'أرقام التواصل'!$B$6:$B$505,A375,'أرقام التواصل'!$I$6:$I$505,"TRUE")+COUNTIFS('أرقام التواصل'!$A$6:$A$505,"client",'أرقام التواصل'!$B$6:$B$505,A375,'أرقام التواصل'!$C$6:$C$505,1))=0),"REVIEW","READY"))))</f>
        <v/>
      </c>
      <c r="BA375" s="16" t="str">
        <f>IF(AZ375="","",IF(OR(AZ375="READY",AZ375="TO_PROPOSED"),"",IF(AZ375="SKIP","Skipped by decision",TRIM(IF(B375="","missing import_action; ","")&amp;IF(A375="","missing migration_customer_key; ","")&amp;IF(AND(A375&lt;&gt;"",COUNTIF($A$6:$A$505,A375)&gt;1),"duplicate migration_customer_key; ","")&amp;IF(AND(NOT(OR(B375="to_candidate",AV375="proposed_name")),E375=""),"missing branch_id; ","")&amp;IF(AND(NOT(OR(B375="to_candidate",AV375="proposed_name")),G375=""),"missing first_name; ","")&amp;IF(AND(NOT(OR(B375="to_candidate",AV375="proposed_name")),I375=""),"missing last_name; ","")&amp;IF(AND(NOT(OR(B375="to_candidate",AV375="proposed_name")),U375=""),"missing final_geo_unit_id; ","")&amp;IF(AV375="","missing final_destination; ","")&amp;IF(AND(NOT(OR(B375="to_candidate",AV375="proposed_name")),(COUNTIFS('أرقام التواصل'!$A$6:$A$505,"client",'أرقام التواصل'!$B$6:$B$505,A375,'أرقام التواصل'!$I$6:$I$505,"TRUE")+COUNTIFS('أرقام التواصل'!$A$6:$A$505,"client",'أرقام التواصل'!$B$6:$B$505,A375,'أرقام التواصل'!$C$6:$C$505,1))=0),"missing primary contact in أرقام التواصل; ","")&amp;IF(OR(B375="to_candidate",AV375="proposed_name"),IF(AW375="","missing proposed_move_reason; ","")&amp;IF(AX375="","missing proposed_name_key; ",""),"")))))</f>
        <v/>
      </c>
    </row>
    <row r="376" spans="1:53">
      <c r="A376" s="11"/>
      <c r="B376" s="12"/>
      <c r="C376" s="13"/>
      <c r="D376" s="12"/>
      <c r="E376" s="12"/>
      <c r="F376" s="12"/>
      <c r="G376" s="12"/>
      <c r="H376" s="12"/>
      <c r="I376" s="12"/>
      <c r="J376" s="12"/>
      <c r="K376" s="12" t="str">
        <f t="shared" si="9"/>
        <v/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 t="str">
        <f t="shared" si="10"/>
        <v/>
      </c>
      <c r="V376" s="12"/>
      <c r="W376" s="14"/>
      <c r="X376" s="14"/>
      <c r="Y376" s="13"/>
      <c r="Z376" s="12"/>
      <c r="AA376" s="12"/>
      <c r="AB376" s="12"/>
      <c r="AC376" s="12"/>
      <c r="AD376" s="15"/>
      <c r="AE376" s="12"/>
      <c r="AF376" s="13"/>
      <c r="AG376" s="12"/>
      <c r="AH376" s="12"/>
      <c r="AI376" s="15"/>
      <c r="AJ376" s="12"/>
      <c r="AK376" s="12"/>
      <c r="AL376" s="12"/>
      <c r="AM376" s="12"/>
      <c r="AN376" s="12"/>
      <c r="AO376" s="12"/>
      <c r="AP376" s="12"/>
      <c r="AQ376" s="15"/>
      <c r="AR376" s="12"/>
      <c r="AS376" s="12"/>
      <c r="AT376" s="12"/>
      <c r="AU376" s="12"/>
      <c r="AV376" s="12"/>
      <c r="AW376" s="12"/>
      <c r="AX376" s="13"/>
      <c r="AY376" s="12"/>
      <c r="AZ376" s="12" t="str">
        <f>IF(AND(A376="",B376="",E376="",G376="",I376="",AV376="",AX376=""),"",IF(OR(B376="skip",AV376="skip"),"SKIP",IF(OR(B376="to_candidate",AV376="proposed_name"),IF(OR(A376="",AW376="",AX376="",COUNTIF($A$6:$A$505,A376)&gt;1),"REVIEW","TO_PROPOSED"),IF(OR(B376="",A376="",E376="",G376="",I376="",U376="",AV376="",COUNTIF($A$6:$A$505,A376)&gt;1,(COUNTIFS('أرقام التواصل'!$A$6:$A$505,"client",'أرقام التواصل'!$B$6:$B$505,A376,'أرقام التواصل'!$I$6:$I$505,"TRUE")+COUNTIFS('أرقام التواصل'!$A$6:$A$505,"client",'أرقام التواصل'!$B$6:$B$505,A376,'أرقام التواصل'!$C$6:$C$505,1))=0),"REVIEW","READY"))))</f>
        <v/>
      </c>
      <c r="BA376" s="16" t="str">
        <f>IF(AZ376="","",IF(OR(AZ376="READY",AZ376="TO_PROPOSED"),"",IF(AZ376="SKIP","Skipped by decision",TRIM(IF(B376="","missing import_action; ","")&amp;IF(A376="","missing migration_customer_key; ","")&amp;IF(AND(A376&lt;&gt;"",COUNTIF($A$6:$A$505,A376)&gt;1),"duplicate migration_customer_key; ","")&amp;IF(AND(NOT(OR(B376="to_candidate",AV376="proposed_name")),E376=""),"missing branch_id; ","")&amp;IF(AND(NOT(OR(B376="to_candidate",AV376="proposed_name")),G376=""),"missing first_name; ","")&amp;IF(AND(NOT(OR(B376="to_candidate",AV376="proposed_name")),I376=""),"missing last_name; ","")&amp;IF(AND(NOT(OR(B376="to_candidate",AV376="proposed_name")),U376=""),"missing final_geo_unit_id; ","")&amp;IF(AV376="","missing final_destination; ","")&amp;IF(AND(NOT(OR(B376="to_candidate",AV376="proposed_name")),(COUNTIFS('أرقام التواصل'!$A$6:$A$505,"client",'أرقام التواصل'!$B$6:$B$505,A376,'أرقام التواصل'!$I$6:$I$505,"TRUE")+COUNTIFS('أرقام التواصل'!$A$6:$A$505,"client",'أرقام التواصل'!$B$6:$B$505,A376,'أرقام التواصل'!$C$6:$C$505,1))=0),"missing primary contact in أرقام التواصل; ","")&amp;IF(OR(B376="to_candidate",AV376="proposed_name"),IF(AW376="","missing proposed_move_reason; ","")&amp;IF(AX376="","missing proposed_name_key; ",""),"")))))</f>
        <v/>
      </c>
    </row>
    <row r="377" spans="1:53">
      <c r="A377" s="11"/>
      <c r="B377" s="12"/>
      <c r="C377" s="13"/>
      <c r="D377" s="12"/>
      <c r="E377" s="12"/>
      <c r="F377" s="12"/>
      <c r="G377" s="12"/>
      <c r="H377" s="12"/>
      <c r="I377" s="12"/>
      <c r="J377" s="12"/>
      <c r="K377" s="12" t="str">
        <f t="shared" si="9"/>
        <v/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 t="str">
        <f t="shared" si="10"/>
        <v/>
      </c>
      <c r="V377" s="12"/>
      <c r="W377" s="14"/>
      <c r="X377" s="14"/>
      <c r="Y377" s="13"/>
      <c r="Z377" s="12"/>
      <c r="AA377" s="12"/>
      <c r="AB377" s="12"/>
      <c r="AC377" s="12"/>
      <c r="AD377" s="15"/>
      <c r="AE377" s="12"/>
      <c r="AF377" s="13"/>
      <c r="AG377" s="12"/>
      <c r="AH377" s="12"/>
      <c r="AI377" s="15"/>
      <c r="AJ377" s="12"/>
      <c r="AK377" s="12"/>
      <c r="AL377" s="12"/>
      <c r="AM377" s="12"/>
      <c r="AN377" s="12"/>
      <c r="AO377" s="12"/>
      <c r="AP377" s="12"/>
      <c r="AQ377" s="15"/>
      <c r="AR377" s="12"/>
      <c r="AS377" s="12"/>
      <c r="AT377" s="12"/>
      <c r="AU377" s="12"/>
      <c r="AV377" s="12"/>
      <c r="AW377" s="12"/>
      <c r="AX377" s="13"/>
      <c r="AY377" s="12"/>
      <c r="AZ377" s="12" t="str">
        <f>IF(AND(A377="",B377="",E377="",G377="",I377="",AV377="",AX377=""),"",IF(OR(B377="skip",AV377="skip"),"SKIP",IF(OR(B377="to_candidate",AV377="proposed_name"),IF(OR(A377="",AW377="",AX377="",COUNTIF($A$6:$A$505,A377)&gt;1),"REVIEW","TO_PROPOSED"),IF(OR(B377="",A377="",E377="",G377="",I377="",U377="",AV377="",COUNTIF($A$6:$A$505,A377)&gt;1,(COUNTIFS('أرقام التواصل'!$A$6:$A$505,"client",'أرقام التواصل'!$B$6:$B$505,A377,'أرقام التواصل'!$I$6:$I$505,"TRUE")+COUNTIFS('أرقام التواصل'!$A$6:$A$505,"client",'أرقام التواصل'!$B$6:$B$505,A377,'أرقام التواصل'!$C$6:$C$505,1))=0),"REVIEW","READY"))))</f>
        <v/>
      </c>
      <c r="BA377" s="16" t="str">
        <f>IF(AZ377="","",IF(OR(AZ377="READY",AZ377="TO_PROPOSED"),"",IF(AZ377="SKIP","Skipped by decision",TRIM(IF(B377="","missing import_action; ","")&amp;IF(A377="","missing migration_customer_key; ","")&amp;IF(AND(A377&lt;&gt;"",COUNTIF($A$6:$A$505,A377)&gt;1),"duplicate migration_customer_key; ","")&amp;IF(AND(NOT(OR(B377="to_candidate",AV377="proposed_name")),E377=""),"missing branch_id; ","")&amp;IF(AND(NOT(OR(B377="to_candidate",AV377="proposed_name")),G377=""),"missing first_name; ","")&amp;IF(AND(NOT(OR(B377="to_candidate",AV377="proposed_name")),I377=""),"missing last_name; ","")&amp;IF(AND(NOT(OR(B377="to_candidate",AV377="proposed_name")),U377=""),"missing final_geo_unit_id; ","")&amp;IF(AV377="","missing final_destination; ","")&amp;IF(AND(NOT(OR(B377="to_candidate",AV377="proposed_name")),(COUNTIFS('أرقام التواصل'!$A$6:$A$505,"client",'أرقام التواصل'!$B$6:$B$505,A377,'أرقام التواصل'!$I$6:$I$505,"TRUE")+COUNTIFS('أرقام التواصل'!$A$6:$A$505,"client",'أرقام التواصل'!$B$6:$B$505,A377,'أرقام التواصل'!$C$6:$C$505,1))=0),"missing primary contact in أرقام التواصل; ","")&amp;IF(OR(B377="to_candidate",AV377="proposed_name"),IF(AW377="","missing proposed_move_reason; ","")&amp;IF(AX377="","missing proposed_name_key; ",""),"")))))</f>
        <v/>
      </c>
    </row>
    <row r="378" spans="1:53">
      <c r="A378" s="11"/>
      <c r="B378" s="12"/>
      <c r="C378" s="13"/>
      <c r="D378" s="12"/>
      <c r="E378" s="12"/>
      <c r="F378" s="12"/>
      <c r="G378" s="12"/>
      <c r="H378" s="12"/>
      <c r="I378" s="12"/>
      <c r="J378" s="12"/>
      <c r="K378" s="12" t="str">
        <f t="shared" si="9"/>
        <v/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 t="str">
        <f t="shared" si="10"/>
        <v/>
      </c>
      <c r="V378" s="12"/>
      <c r="W378" s="14"/>
      <c r="X378" s="14"/>
      <c r="Y378" s="13"/>
      <c r="Z378" s="12"/>
      <c r="AA378" s="12"/>
      <c r="AB378" s="12"/>
      <c r="AC378" s="12"/>
      <c r="AD378" s="15"/>
      <c r="AE378" s="12"/>
      <c r="AF378" s="13"/>
      <c r="AG378" s="12"/>
      <c r="AH378" s="12"/>
      <c r="AI378" s="15"/>
      <c r="AJ378" s="12"/>
      <c r="AK378" s="12"/>
      <c r="AL378" s="12"/>
      <c r="AM378" s="12"/>
      <c r="AN378" s="12"/>
      <c r="AO378" s="12"/>
      <c r="AP378" s="12"/>
      <c r="AQ378" s="15"/>
      <c r="AR378" s="12"/>
      <c r="AS378" s="12"/>
      <c r="AT378" s="12"/>
      <c r="AU378" s="12"/>
      <c r="AV378" s="12"/>
      <c r="AW378" s="12"/>
      <c r="AX378" s="13"/>
      <c r="AY378" s="12"/>
      <c r="AZ378" s="12" t="str">
        <f>IF(AND(A378="",B378="",E378="",G378="",I378="",AV378="",AX378=""),"",IF(OR(B378="skip",AV378="skip"),"SKIP",IF(OR(B378="to_candidate",AV378="proposed_name"),IF(OR(A378="",AW378="",AX378="",COUNTIF($A$6:$A$505,A378)&gt;1),"REVIEW","TO_PROPOSED"),IF(OR(B378="",A378="",E378="",G378="",I378="",U378="",AV378="",COUNTIF($A$6:$A$505,A378)&gt;1,(COUNTIFS('أرقام التواصل'!$A$6:$A$505,"client",'أرقام التواصل'!$B$6:$B$505,A378,'أرقام التواصل'!$I$6:$I$505,"TRUE")+COUNTIFS('أرقام التواصل'!$A$6:$A$505,"client",'أرقام التواصل'!$B$6:$B$505,A378,'أرقام التواصل'!$C$6:$C$505,1))=0),"REVIEW","READY"))))</f>
        <v/>
      </c>
      <c r="BA378" s="16" t="str">
        <f>IF(AZ378="","",IF(OR(AZ378="READY",AZ378="TO_PROPOSED"),"",IF(AZ378="SKIP","Skipped by decision",TRIM(IF(B378="","missing import_action; ","")&amp;IF(A378="","missing migration_customer_key; ","")&amp;IF(AND(A378&lt;&gt;"",COUNTIF($A$6:$A$505,A378)&gt;1),"duplicate migration_customer_key; ","")&amp;IF(AND(NOT(OR(B378="to_candidate",AV378="proposed_name")),E378=""),"missing branch_id; ","")&amp;IF(AND(NOT(OR(B378="to_candidate",AV378="proposed_name")),G378=""),"missing first_name; ","")&amp;IF(AND(NOT(OR(B378="to_candidate",AV378="proposed_name")),I378=""),"missing last_name; ","")&amp;IF(AND(NOT(OR(B378="to_candidate",AV378="proposed_name")),U378=""),"missing final_geo_unit_id; ","")&amp;IF(AV378="","missing final_destination; ","")&amp;IF(AND(NOT(OR(B378="to_candidate",AV378="proposed_name")),(COUNTIFS('أرقام التواصل'!$A$6:$A$505,"client",'أرقام التواصل'!$B$6:$B$505,A378,'أرقام التواصل'!$I$6:$I$505,"TRUE")+COUNTIFS('أرقام التواصل'!$A$6:$A$505,"client",'أرقام التواصل'!$B$6:$B$505,A378,'أرقام التواصل'!$C$6:$C$505,1))=0),"missing primary contact in أرقام التواصل; ","")&amp;IF(OR(B378="to_candidate",AV378="proposed_name"),IF(AW378="","missing proposed_move_reason; ","")&amp;IF(AX378="","missing proposed_name_key; ",""),"")))))</f>
        <v/>
      </c>
    </row>
    <row r="379" spans="1:53">
      <c r="A379" s="11"/>
      <c r="B379" s="12"/>
      <c r="C379" s="13"/>
      <c r="D379" s="12"/>
      <c r="E379" s="12"/>
      <c r="F379" s="12"/>
      <c r="G379" s="12"/>
      <c r="H379" s="12"/>
      <c r="I379" s="12"/>
      <c r="J379" s="12"/>
      <c r="K379" s="12" t="str">
        <f t="shared" si="9"/>
        <v/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 t="str">
        <f t="shared" si="10"/>
        <v/>
      </c>
      <c r="V379" s="12"/>
      <c r="W379" s="14"/>
      <c r="X379" s="14"/>
      <c r="Y379" s="13"/>
      <c r="Z379" s="12"/>
      <c r="AA379" s="12"/>
      <c r="AB379" s="12"/>
      <c r="AC379" s="12"/>
      <c r="AD379" s="15"/>
      <c r="AE379" s="12"/>
      <c r="AF379" s="13"/>
      <c r="AG379" s="12"/>
      <c r="AH379" s="12"/>
      <c r="AI379" s="15"/>
      <c r="AJ379" s="12"/>
      <c r="AK379" s="12"/>
      <c r="AL379" s="12"/>
      <c r="AM379" s="12"/>
      <c r="AN379" s="12"/>
      <c r="AO379" s="12"/>
      <c r="AP379" s="12"/>
      <c r="AQ379" s="15"/>
      <c r="AR379" s="12"/>
      <c r="AS379" s="12"/>
      <c r="AT379" s="12"/>
      <c r="AU379" s="12"/>
      <c r="AV379" s="12"/>
      <c r="AW379" s="12"/>
      <c r="AX379" s="13"/>
      <c r="AY379" s="12"/>
      <c r="AZ379" s="12" t="str">
        <f>IF(AND(A379="",B379="",E379="",G379="",I379="",AV379="",AX379=""),"",IF(OR(B379="skip",AV379="skip"),"SKIP",IF(OR(B379="to_candidate",AV379="proposed_name"),IF(OR(A379="",AW379="",AX379="",COUNTIF($A$6:$A$505,A379)&gt;1),"REVIEW","TO_PROPOSED"),IF(OR(B379="",A379="",E379="",G379="",I379="",U379="",AV379="",COUNTIF($A$6:$A$505,A379)&gt;1,(COUNTIFS('أرقام التواصل'!$A$6:$A$505,"client",'أرقام التواصل'!$B$6:$B$505,A379,'أرقام التواصل'!$I$6:$I$505,"TRUE")+COUNTIFS('أرقام التواصل'!$A$6:$A$505,"client",'أرقام التواصل'!$B$6:$B$505,A379,'أرقام التواصل'!$C$6:$C$505,1))=0),"REVIEW","READY"))))</f>
        <v/>
      </c>
      <c r="BA379" s="16" t="str">
        <f>IF(AZ379="","",IF(OR(AZ379="READY",AZ379="TO_PROPOSED"),"",IF(AZ379="SKIP","Skipped by decision",TRIM(IF(B379="","missing import_action; ","")&amp;IF(A379="","missing migration_customer_key; ","")&amp;IF(AND(A379&lt;&gt;"",COUNTIF($A$6:$A$505,A379)&gt;1),"duplicate migration_customer_key; ","")&amp;IF(AND(NOT(OR(B379="to_candidate",AV379="proposed_name")),E379=""),"missing branch_id; ","")&amp;IF(AND(NOT(OR(B379="to_candidate",AV379="proposed_name")),G379=""),"missing first_name; ","")&amp;IF(AND(NOT(OR(B379="to_candidate",AV379="proposed_name")),I379=""),"missing last_name; ","")&amp;IF(AND(NOT(OR(B379="to_candidate",AV379="proposed_name")),U379=""),"missing final_geo_unit_id; ","")&amp;IF(AV379="","missing final_destination; ","")&amp;IF(AND(NOT(OR(B379="to_candidate",AV379="proposed_name")),(COUNTIFS('أرقام التواصل'!$A$6:$A$505,"client",'أرقام التواصل'!$B$6:$B$505,A379,'أرقام التواصل'!$I$6:$I$505,"TRUE")+COUNTIFS('أرقام التواصل'!$A$6:$A$505,"client",'أرقام التواصل'!$B$6:$B$505,A379,'أرقام التواصل'!$C$6:$C$505,1))=0),"missing primary contact in أرقام التواصل; ","")&amp;IF(OR(B379="to_candidate",AV379="proposed_name"),IF(AW379="","missing proposed_move_reason; ","")&amp;IF(AX379="","missing proposed_name_key; ",""),"")))))</f>
        <v/>
      </c>
    </row>
    <row r="380" spans="1:53">
      <c r="A380" s="11"/>
      <c r="B380" s="12"/>
      <c r="C380" s="13"/>
      <c r="D380" s="12"/>
      <c r="E380" s="12"/>
      <c r="F380" s="12"/>
      <c r="G380" s="12"/>
      <c r="H380" s="12"/>
      <c r="I380" s="12"/>
      <c r="J380" s="12"/>
      <c r="K380" s="12" t="str">
        <f t="shared" si="9"/>
        <v/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 t="str">
        <f t="shared" si="10"/>
        <v/>
      </c>
      <c r="V380" s="12"/>
      <c r="W380" s="14"/>
      <c r="X380" s="14"/>
      <c r="Y380" s="13"/>
      <c r="Z380" s="12"/>
      <c r="AA380" s="12"/>
      <c r="AB380" s="12"/>
      <c r="AC380" s="12"/>
      <c r="AD380" s="15"/>
      <c r="AE380" s="12"/>
      <c r="AF380" s="13"/>
      <c r="AG380" s="12"/>
      <c r="AH380" s="12"/>
      <c r="AI380" s="15"/>
      <c r="AJ380" s="12"/>
      <c r="AK380" s="12"/>
      <c r="AL380" s="12"/>
      <c r="AM380" s="12"/>
      <c r="AN380" s="12"/>
      <c r="AO380" s="12"/>
      <c r="AP380" s="12"/>
      <c r="AQ380" s="15"/>
      <c r="AR380" s="12"/>
      <c r="AS380" s="12"/>
      <c r="AT380" s="12"/>
      <c r="AU380" s="12"/>
      <c r="AV380" s="12"/>
      <c r="AW380" s="12"/>
      <c r="AX380" s="13"/>
      <c r="AY380" s="12"/>
      <c r="AZ380" s="12" t="str">
        <f>IF(AND(A380="",B380="",E380="",G380="",I380="",AV380="",AX380=""),"",IF(OR(B380="skip",AV380="skip"),"SKIP",IF(OR(B380="to_candidate",AV380="proposed_name"),IF(OR(A380="",AW380="",AX380="",COUNTIF($A$6:$A$505,A380)&gt;1),"REVIEW","TO_PROPOSED"),IF(OR(B380="",A380="",E380="",G380="",I380="",U380="",AV380="",COUNTIF($A$6:$A$505,A380)&gt;1,(COUNTIFS('أرقام التواصل'!$A$6:$A$505,"client",'أرقام التواصل'!$B$6:$B$505,A380,'أرقام التواصل'!$I$6:$I$505,"TRUE")+COUNTIFS('أرقام التواصل'!$A$6:$A$505,"client",'أرقام التواصل'!$B$6:$B$505,A380,'أرقام التواصل'!$C$6:$C$505,1))=0),"REVIEW","READY"))))</f>
        <v/>
      </c>
      <c r="BA380" s="16" t="str">
        <f>IF(AZ380="","",IF(OR(AZ380="READY",AZ380="TO_PROPOSED"),"",IF(AZ380="SKIP","Skipped by decision",TRIM(IF(B380="","missing import_action; ","")&amp;IF(A380="","missing migration_customer_key; ","")&amp;IF(AND(A380&lt;&gt;"",COUNTIF($A$6:$A$505,A380)&gt;1),"duplicate migration_customer_key; ","")&amp;IF(AND(NOT(OR(B380="to_candidate",AV380="proposed_name")),E380=""),"missing branch_id; ","")&amp;IF(AND(NOT(OR(B380="to_candidate",AV380="proposed_name")),G380=""),"missing first_name; ","")&amp;IF(AND(NOT(OR(B380="to_candidate",AV380="proposed_name")),I380=""),"missing last_name; ","")&amp;IF(AND(NOT(OR(B380="to_candidate",AV380="proposed_name")),U380=""),"missing final_geo_unit_id; ","")&amp;IF(AV380="","missing final_destination; ","")&amp;IF(AND(NOT(OR(B380="to_candidate",AV380="proposed_name")),(COUNTIFS('أرقام التواصل'!$A$6:$A$505,"client",'أرقام التواصل'!$B$6:$B$505,A380,'أرقام التواصل'!$I$6:$I$505,"TRUE")+COUNTIFS('أرقام التواصل'!$A$6:$A$505,"client",'أرقام التواصل'!$B$6:$B$505,A380,'أرقام التواصل'!$C$6:$C$505,1))=0),"missing primary contact in أرقام التواصل; ","")&amp;IF(OR(B380="to_candidate",AV380="proposed_name"),IF(AW380="","missing proposed_move_reason; ","")&amp;IF(AX380="","missing proposed_name_key; ",""),"")))))</f>
        <v/>
      </c>
    </row>
    <row r="381" spans="1:53">
      <c r="A381" s="11"/>
      <c r="B381" s="12"/>
      <c r="C381" s="13"/>
      <c r="D381" s="12"/>
      <c r="E381" s="12"/>
      <c r="F381" s="12"/>
      <c r="G381" s="12"/>
      <c r="H381" s="12"/>
      <c r="I381" s="12"/>
      <c r="J381" s="12"/>
      <c r="K381" s="12" t="str">
        <f t="shared" si="9"/>
        <v/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 t="str">
        <f t="shared" si="10"/>
        <v/>
      </c>
      <c r="V381" s="12"/>
      <c r="W381" s="14"/>
      <c r="X381" s="14"/>
      <c r="Y381" s="13"/>
      <c r="Z381" s="12"/>
      <c r="AA381" s="12"/>
      <c r="AB381" s="12"/>
      <c r="AC381" s="12"/>
      <c r="AD381" s="15"/>
      <c r="AE381" s="12"/>
      <c r="AF381" s="13"/>
      <c r="AG381" s="12"/>
      <c r="AH381" s="12"/>
      <c r="AI381" s="15"/>
      <c r="AJ381" s="12"/>
      <c r="AK381" s="12"/>
      <c r="AL381" s="12"/>
      <c r="AM381" s="12"/>
      <c r="AN381" s="12"/>
      <c r="AO381" s="12"/>
      <c r="AP381" s="12"/>
      <c r="AQ381" s="15"/>
      <c r="AR381" s="12"/>
      <c r="AS381" s="12"/>
      <c r="AT381" s="12"/>
      <c r="AU381" s="12"/>
      <c r="AV381" s="12"/>
      <c r="AW381" s="12"/>
      <c r="AX381" s="13"/>
      <c r="AY381" s="12"/>
      <c r="AZ381" s="12" t="str">
        <f>IF(AND(A381="",B381="",E381="",G381="",I381="",AV381="",AX381=""),"",IF(OR(B381="skip",AV381="skip"),"SKIP",IF(OR(B381="to_candidate",AV381="proposed_name"),IF(OR(A381="",AW381="",AX381="",COUNTIF($A$6:$A$505,A381)&gt;1),"REVIEW","TO_PROPOSED"),IF(OR(B381="",A381="",E381="",G381="",I381="",U381="",AV381="",COUNTIF($A$6:$A$505,A381)&gt;1,(COUNTIFS('أرقام التواصل'!$A$6:$A$505,"client",'أرقام التواصل'!$B$6:$B$505,A381,'أرقام التواصل'!$I$6:$I$505,"TRUE")+COUNTIFS('أرقام التواصل'!$A$6:$A$505,"client",'أرقام التواصل'!$B$6:$B$505,A381,'أرقام التواصل'!$C$6:$C$505,1))=0),"REVIEW","READY"))))</f>
        <v/>
      </c>
      <c r="BA381" s="16" t="str">
        <f>IF(AZ381="","",IF(OR(AZ381="READY",AZ381="TO_PROPOSED"),"",IF(AZ381="SKIP","Skipped by decision",TRIM(IF(B381="","missing import_action; ","")&amp;IF(A381="","missing migration_customer_key; ","")&amp;IF(AND(A381&lt;&gt;"",COUNTIF($A$6:$A$505,A381)&gt;1),"duplicate migration_customer_key; ","")&amp;IF(AND(NOT(OR(B381="to_candidate",AV381="proposed_name")),E381=""),"missing branch_id; ","")&amp;IF(AND(NOT(OR(B381="to_candidate",AV381="proposed_name")),G381=""),"missing first_name; ","")&amp;IF(AND(NOT(OR(B381="to_candidate",AV381="proposed_name")),I381=""),"missing last_name; ","")&amp;IF(AND(NOT(OR(B381="to_candidate",AV381="proposed_name")),U381=""),"missing final_geo_unit_id; ","")&amp;IF(AV381="","missing final_destination; ","")&amp;IF(AND(NOT(OR(B381="to_candidate",AV381="proposed_name")),(COUNTIFS('أرقام التواصل'!$A$6:$A$505,"client",'أرقام التواصل'!$B$6:$B$505,A381,'أرقام التواصل'!$I$6:$I$505,"TRUE")+COUNTIFS('أرقام التواصل'!$A$6:$A$505,"client",'أرقام التواصل'!$B$6:$B$505,A381,'أرقام التواصل'!$C$6:$C$505,1))=0),"missing primary contact in أرقام التواصل; ","")&amp;IF(OR(B381="to_candidate",AV381="proposed_name"),IF(AW381="","missing proposed_move_reason; ","")&amp;IF(AX381="","missing proposed_name_key; ",""),"")))))</f>
        <v/>
      </c>
    </row>
    <row r="382" spans="1:53">
      <c r="A382" s="11"/>
      <c r="B382" s="12"/>
      <c r="C382" s="13"/>
      <c r="D382" s="12"/>
      <c r="E382" s="12"/>
      <c r="F382" s="12"/>
      <c r="G382" s="12"/>
      <c r="H382" s="12"/>
      <c r="I382" s="12"/>
      <c r="J382" s="12"/>
      <c r="K382" s="12" t="str">
        <f t="shared" si="9"/>
        <v/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 t="str">
        <f t="shared" si="10"/>
        <v/>
      </c>
      <c r="V382" s="12"/>
      <c r="W382" s="14"/>
      <c r="X382" s="14"/>
      <c r="Y382" s="13"/>
      <c r="Z382" s="12"/>
      <c r="AA382" s="12"/>
      <c r="AB382" s="12"/>
      <c r="AC382" s="12"/>
      <c r="AD382" s="15"/>
      <c r="AE382" s="12"/>
      <c r="AF382" s="13"/>
      <c r="AG382" s="12"/>
      <c r="AH382" s="12"/>
      <c r="AI382" s="15"/>
      <c r="AJ382" s="12"/>
      <c r="AK382" s="12"/>
      <c r="AL382" s="12"/>
      <c r="AM382" s="12"/>
      <c r="AN382" s="12"/>
      <c r="AO382" s="12"/>
      <c r="AP382" s="12"/>
      <c r="AQ382" s="15"/>
      <c r="AR382" s="12"/>
      <c r="AS382" s="12"/>
      <c r="AT382" s="12"/>
      <c r="AU382" s="12"/>
      <c r="AV382" s="12"/>
      <c r="AW382" s="12"/>
      <c r="AX382" s="13"/>
      <c r="AY382" s="12"/>
      <c r="AZ382" s="12" t="str">
        <f>IF(AND(A382="",B382="",E382="",G382="",I382="",AV382="",AX382=""),"",IF(OR(B382="skip",AV382="skip"),"SKIP",IF(OR(B382="to_candidate",AV382="proposed_name"),IF(OR(A382="",AW382="",AX382="",COUNTIF($A$6:$A$505,A382)&gt;1),"REVIEW","TO_PROPOSED"),IF(OR(B382="",A382="",E382="",G382="",I382="",U382="",AV382="",COUNTIF($A$6:$A$505,A382)&gt;1,(COUNTIFS('أرقام التواصل'!$A$6:$A$505,"client",'أرقام التواصل'!$B$6:$B$505,A382,'أرقام التواصل'!$I$6:$I$505,"TRUE")+COUNTIFS('أرقام التواصل'!$A$6:$A$505,"client",'أرقام التواصل'!$B$6:$B$505,A382,'أرقام التواصل'!$C$6:$C$505,1))=0),"REVIEW","READY"))))</f>
        <v/>
      </c>
      <c r="BA382" s="16" t="str">
        <f>IF(AZ382="","",IF(OR(AZ382="READY",AZ382="TO_PROPOSED"),"",IF(AZ382="SKIP","Skipped by decision",TRIM(IF(B382="","missing import_action; ","")&amp;IF(A382="","missing migration_customer_key; ","")&amp;IF(AND(A382&lt;&gt;"",COUNTIF($A$6:$A$505,A382)&gt;1),"duplicate migration_customer_key; ","")&amp;IF(AND(NOT(OR(B382="to_candidate",AV382="proposed_name")),E382=""),"missing branch_id; ","")&amp;IF(AND(NOT(OR(B382="to_candidate",AV382="proposed_name")),G382=""),"missing first_name; ","")&amp;IF(AND(NOT(OR(B382="to_candidate",AV382="proposed_name")),I382=""),"missing last_name; ","")&amp;IF(AND(NOT(OR(B382="to_candidate",AV382="proposed_name")),U382=""),"missing final_geo_unit_id; ","")&amp;IF(AV382="","missing final_destination; ","")&amp;IF(AND(NOT(OR(B382="to_candidate",AV382="proposed_name")),(COUNTIFS('أرقام التواصل'!$A$6:$A$505,"client",'أرقام التواصل'!$B$6:$B$505,A382,'أرقام التواصل'!$I$6:$I$505,"TRUE")+COUNTIFS('أرقام التواصل'!$A$6:$A$505,"client",'أرقام التواصل'!$B$6:$B$505,A382,'أرقام التواصل'!$C$6:$C$505,1))=0),"missing primary contact in أرقام التواصل; ","")&amp;IF(OR(B382="to_candidate",AV382="proposed_name"),IF(AW382="","missing proposed_move_reason; ","")&amp;IF(AX382="","missing proposed_name_key; ",""),"")))))</f>
        <v/>
      </c>
    </row>
    <row r="383" spans="1:53">
      <c r="A383" s="11"/>
      <c r="B383" s="12"/>
      <c r="C383" s="13"/>
      <c r="D383" s="12"/>
      <c r="E383" s="12"/>
      <c r="F383" s="12"/>
      <c r="G383" s="12"/>
      <c r="H383" s="12"/>
      <c r="I383" s="12"/>
      <c r="J383" s="12"/>
      <c r="K383" s="12" t="str">
        <f t="shared" si="9"/>
        <v/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 t="str">
        <f t="shared" si="10"/>
        <v/>
      </c>
      <c r="V383" s="12"/>
      <c r="W383" s="14"/>
      <c r="X383" s="14"/>
      <c r="Y383" s="13"/>
      <c r="Z383" s="12"/>
      <c r="AA383" s="12"/>
      <c r="AB383" s="12"/>
      <c r="AC383" s="12"/>
      <c r="AD383" s="15"/>
      <c r="AE383" s="12"/>
      <c r="AF383" s="13"/>
      <c r="AG383" s="12"/>
      <c r="AH383" s="12"/>
      <c r="AI383" s="15"/>
      <c r="AJ383" s="12"/>
      <c r="AK383" s="12"/>
      <c r="AL383" s="12"/>
      <c r="AM383" s="12"/>
      <c r="AN383" s="12"/>
      <c r="AO383" s="12"/>
      <c r="AP383" s="12"/>
      <c r="AQ383" s="15"/>
      <c r="AR383" s="12"/>
      <c r="AS383" s="12"/>
      <c r="AT383" s="12"/>
      <c r="AU383" s="12"/>
      <c r="AV383" s="12"/>
      <c r="AW383" s="12"/>
      <c r="AX383" s="13"/>
      <c r="AY383" s="12"/>
      <c r="AZ383" s="12" t="str">
        <f>IF(AND(A383="",B383="",E383="",G383="",I383="",AV383="",AX383=""),"",IF(OR(B383="skip",AV383="skip"),"SKIP",IF(OR(B383="to_candidate",AV383="proposed_name"),IF(OR(A383="",AW383="",AX383="",COUNTIF($A$6:$A$505,A383)&gt;1),"REVIEW","TO_PROPOSED"),IF(OR(B383="",A383="",E383="",G383="",I383="",U383="",AV383="",COUNTIF($A$6:$A$505,A383)&gt;1,(COUNTIFS('أرقام التواصل'!$A$6:$A$505,"client",'أرقام التواصل'!$B$6:$B$505,A383,'أرقام التواصل'!$I$6:$I$505,"TRUE")+COUNTIFS('أرقام التواصل'!$A$6:$A$505,"client",'أرقام التواصل'!$B$6:$B$505,A383,'أرقام التواصل'!$C$6:$C$505,1))=0),"REVIEW","READY"))))</f>
        <v/>
      </c>
      <c r="BA383" s="16" t="str">
        <f>IF(AZ383="","",IF(OR(AZ383="READY",AZ383="TO_PROPOSED"),"",IF(AZ383="SKIP","Skipped by decision",TRIM(IF(B383="","missing import_action; ","")&amp;IF(A383="","missing migration_customer_key; ","")&amp;IF(AND(A383&lt;&gt;"",COUNTIF($A$6:$A$505,A383)&gt;1),"duplicate migration_customer_key; ","")&amp;IF(AND(NOT(OR(B383="to_candidate",AV383="proposed_name")),E383=""),"missing branch_id; ","")&amp;IF(AND(NOT(OR(B383="to_candidate",AV383="proposed_name")),G383=""),"missing first_name; ","")&amp;IF(AND(NOT(OR(B383="to_candidate",AV383="proposed_name")),I383=""),"missing last_name; ","")&amp;IF(AND(NOT(OR(B383="to_candidate",AV383="proposed_name")),U383=""),"missing final_geo_unit_id; ","")&amp;IF(AV383="","missing final_destination; ","")&amp;IF(AND(NOT(OR(B383="to_candidate",AV383="proposed_name")),(COUNTIFS('أرقام التواصل'!$A$6:$A$505,"client",'أرقام التواصل'!$B$6:$B$505,A383,'أرقام التواصل'!$I$6:$I$505,"TRUE")+COUNTIFS('أرقام التواصل'!$A$6:$A$505,"client",'أرقام التواصل'!$B$6:$B$505,A383,'أرقام التواصل'!$C$6:$C$505,1))=0),"missing primary contact in أرقام التواصل; ","")&amp;IF(OR(B383="to_candidate",AV383="proposed_name"),IF(AW383="","missing proposed_move_reason; ","")&amp;IF(AX383="","missing proposed_name_key; ",""),"")))))</f>
        <v/>
      </c>
    </row>
    <row r="384" spans="1:53">
      <c r="A384" s="11"/>
      <c r="B384" s="12"/>
      <c r="C384" s="13"/>
      <c r="D384" s="12"/>
      <c r="E384" s="12"/>
      <c r="F384" s="12"/>
      <c r="G384" s="12"/>
      <c r="H384" s="12"/>
      <c r="I384" s="12"/>
      <c r="J384" s="12"/>
      <c r="K384" s="12" t="str">
        <f t="shared" si="9"/>
        <v/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 t="str">
        <f t="shared" si="10"/>
        <v/>
      </c>
      <c r="V384" s="12"/>
      <c r="W384" s="14"/>
      <c r="X384" s="14"/>
      <c r="Y384" s="13"/>
      <c r="Z384" s="12"/>
      <c r="AA384" s="12"/>
      <c r="AB384" s="12"/>
      <c r="AC384" s="12"/>
      <c r="AD384" s="15"/>
      <c r="AE384" s="12"/>
      <c r="AF384" s="13"/>
      <c r="AG384" s="12"/>
      <c r="AH384" s="12"/>
      <c r="AI384" s="15"/>
      <c r="AJ384" s="12"/>
      <c r="AK384" s="12"/>
      <c r="AL384" s="12"/>
      <c r="AM384" s="12"/>
      <c r="AN384" s="12"/>
      <c r="AO384" s="12"/>
      <c r="AP384" s="12"/>
      <c r="AQ384" s="15"/>
      <c r="AR384" s="12"/>
      <c r="AS384" s="12"/>
      <c r="AT384" s="12"/>
      <c r="AU384" s="12"/>
      <c r="AV384" s="12"/>
      <c r="AW384" s="12"/>
      <c r="AX384" s="13"/>
      <c r="AY384" s="12"/>
      <c r="AZ384" s="12" t="str">
        <f>IF(AND(A384="",B384="",E384="",G384="",I384="",AV384="",AX384=""),"",IF(OR(B384="skip",AV384="skip"),"SKIP",IF(OR(B384="to_candidate",AV384="proposed_name"),IF(OR(A384="",AW384="",AX384="",COUNTIF($A$6:$A$505,A384)&gt;1),"REVIEW","TO_PROPOSED"),IF(OR(B384="",A384="",E384="",G384="",I384="",U384="",AV384="",COUNTIF($A$6:$A$505,A384)&gt;1,(COUNTIFS('أرقام التواصل'!$A$6:$A$505,"client",'أرقام التواصل'!$B$6:$B$505,A384,'أرقام التواصل'!$I$6:$I$505,"TRUE")+COUNTIFS('أرقام التواصل'!$A$6:$A$505,"client",'أرقام التواصل'!$B$6:$B$505,A384,'أرقام التواصل'!$C$6:$C$505,1))=0),"REVIEW","READY"))))</f>
        <v/>
      </c>
      <c r="BA384" s="16" t="str">
        <f>IF(AZ384="","",IF(OR(AZ384="READY",AZ384="TO_PROPOSED"),"",IF(AZ384="SKIP","Skipped by decision",TRIM(IF(B384="","missing import_action; ","")&amp;IF(A384="","missing migration_customer_key; ","")&amp;IF(AND(A384&lt;&gt;"",COUNTIF($A$6:$A$505,A384)&gt;1),"duplicate migration_customer_key; ","")&amp;IF(AND(NOT(OR(B384="to_candidate",AV384="proposed_name")),E384=""),"missing branch_id; ","")&amp;IF(AND(NOT(OR(B384="to_candidate",AV384="proposed_name")),G384=""),"missing first_name; ","")&amp;IF(AND(NOT(OR(B384="to_candidate",AV384="proposed_name")),I384=""),"missing last_name; ","")&amp;IF(AND(NOT(OR(B384="to_candidate",AV384="proposed_name")),U384=""),"missing final_geo_unit_id; ","")&amp;IF(AV384="","missing final_destination; ","")&amp;IF(AND(NOT(OR(B384="to_candidate",AV384="proposed_name")),(COUNTIFS('أرقام التواصل'!$A$6:$A$505,"client",'أرقام التواصل'!$B$6:$B$505,A384,'أرقام التواصل'!$I$6:$I$505,"TRUE")+COUNTIFS('أرقام التواصل'!$A$6:$A$505,"client",'أرقام التواصل'!$B$6:$B$505,A384,'أرقام التواصل'!$C$6:$C$505,1))=0),"missing primary contact in أرقام التواصل; ","")&amp;IF(OR(B384="to_candidate",AV384="proposed_name"),IF(AW384="","missing proposed_move_reason; ","")&amp;IF(AX384="","missing proposed_name_key; ",""),"")))))</f>
        <v/>
      </c>
    </row>
    <row r="385" spans="1:53">
      <c r="A385" s="11"/>
      <c r="B385" s="12"/>
      <c r="C385" s="13"/>
      <c r="D385" s="12"/>
      <c r="E385" s="12"/>
      <c r="F385" s="12"/>
      <c r="G385" s="12"/>
      <c r="H385" s="12"/>
      <c r="I385" s="12"/>
      <c r="J385" s="12"/>
      <c r="K385" s="12" t="str">
        <f t="shared" si="9"/>
        <v/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 t="str">
        <f t="shared" si="10"/>
        <v/>
      </c>
      <c r="V385" s="12"/>
      <c r="W385" s="14"/>
      <c r="X385" s="14"/>
      <c r="Y385" s="13"/>
      <c r="Z385" s="12"/>
      <c r="AA385" s="12"/>
      <c r="AB385" s="12"/>
      <c r="AC385" s="12"/>
      <c r="AD385" s="15"/>
      <c r="AE385" s="12"/>
      <c r="AF385" s="13"/>
      <c r="AG385" s="12"/>
      <c r="AH385" s="12"/>
      <c r="AI385" s="15"/>
      <c r="AJ385" s="12"/>
      <c r="AK385" s="12"/>
      <c r="AL385" s="12"/>
      <c r="AM385" s="12"/>
      <c r="AN385" s="12"/>
      <c r="AO385" s="12"/>
      <c r="AP385" s="12"/>
      <c r="AQ385" s="15"/>
      <c r="AR385" s="12"/>
      <c r="AS385" s="12"/>
      <c r="AT385" s="12"/>
      <c r="AU385" s="12"/>
      <c r="AV385" s="12"/>
      <c r="AW385" s="12"/>
      <c r="AX385" s="13"/>
      <c r="AY385" s="12"/>
      <c r="AZ385" s="12" t="str">
        <f>IF(AND(A385="",B385="",E385="",G385="",I385="",AV385="",AX385=""),"",IF(OR(B385="skip",AV385="skip"),"SKIP",IF(OR(B385="to_candidate",AV385="proposed_name"),IF(OR(A385="",AW385="",AX385="",COUNTIF($A$6:$A$505,A385)&gt;1),"REVIEW","TO_PROPOSED"),IF(OR(B385="",A385="",E385="",G385="",I385="",U385="",AV385="",COUNTIF($A$6:$A$505,A385)&gt;1,(COUNTIFS('أرقام التواصل'!$A$6:$A$505,"client",'أرقام التواصل'!$B$6:$B$505,A385,'أرقام التواصل'!$I$6:$I$505,"TRUE")+COUNTIFS('أرقام التواصل'!$A$6:$A$505,"client",'أرقام التواصل'!$B$6:$B$505,A385,'أرقام التواصل'!$C$6:$C$505,1))=0),"REVIEW","READY"))))</f>
        <v/>
      </c>
      <c r="BA385" s="16" t="str">
        <f>IF(AZ385="","",IF(OR(AZ385="READY",AZ385="TO_PROPOSED"),"",IF(AZ385="SKIP","Skipped by decision",TRIM(IF(B385="","missing import_action; ","")&amp;IF(A385="","missing migration_customer_key; ","")&amp;IF(AND(A385&lt;&gt;"",COUNTIF($A$6:$A$505,A385)&gt;1),"duplicate migration_customer_key; ","")&amp;IF(AND(NOT(OR(B385="to_candidate",AV385="proposed_name")),E385=""),"missing branch_id; ","")&amp;IF(AND(NOT(OR(B385="to_candidate",AV385="proposed_name")),G385=""),"missing first_name; ","")&amp;IF(AND(NOT(OR(B385="to_candidate",AV385="proposed_name")),I385=""),"missing last_name; ","")&amp;IF(AND(NOT(OR(B385="to_candidate",AV385="proposed_name")),U385=""),"missing final_geo_unit_id; ","")&amp;IF(AV385="","missing final_destination; ","")&amp;IF(AND(NOT(OR(B385="to_candidate",AV385="proposed_name")),(COUNTIFS('أرقام التواصل'!$A$6:$A$505,"client",'أرقام التواصل'!$B$6:$B$505,A385,'أرقام التواصل'!$I$6:$I$505,"TRUE")+COUNTIFS('أرقام التواصل'!$A$6:$A$505,"client",'أرقام التواصل'!$B$6:$B$505,A385,'أرقام التواصل'!$C$6:$C$505,1))=0),"missing primary contact in أرقام التواصل; ","")&amp;IF(OR(B385="to_candidate",AV385="proposed_name"),IF(AW385="","missing proposed_move_reason; ","")&amp;IF(AX385="","missing proposed_name_key; ",""),"")))))</f>
        <v/>
      </c>
    </row>
    <row r="386" spans="1:53">
      <c r="A386" s="11"/>
      <c r="B386" s="12"/>
      <c r="C386" s="13"/>
      <c r="D386" s="12"/>
      <c r="E386" s="12"/>
      <c r="F386" s="12"/>
      <c r="G386" s="12"/>
      <c r="H386" s="12"/>
      <c r="I386" s="12"/>
      <c r="J386" s="12"/>
      <c r="K386" s="12" t="str">
        <f t="shared" si="9"/>
        <v/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 t="str">
        <f t="shared" si="10"/>
        <v/>
      </c>
      <c r="V386" s="12"/>
      <c r="W386" s="14"/>
      <c r="X386" s="14"/>
      <c r="Y386" s="13"/>
      <c r="Z386" s="12"/>
      <c r="AA386" s="12"/>
      <c r="AB386" s="12"/>
      <c r="AC386" s="12"/>
      <c r="AD386" s="15"/>
      <c r="AE386" s="12"/>
      <c r="AF386" s="13"/>
      <c r="AG386" s="12"/>
      <c r="AH386" s="12"/>
      <c r="AI386" s="15"/>
      <c r="AJ386" s="12"/>
      <c r="AK386" s="12"/>
      <c r="AL386" s="12"/>
      <c r="AM386" s="12"/>
      <c r="AN386" s="12"/>
      <c r="AO386" s="12"/>
      <c r="AP386" s="12"/>
      <c r="AQ386" s="15"/>
      <c r="AR386" s="12"/>
      <c r="AS386" s="12"/>
      <c r="AT386" s="12"/>
      <c r="AU386" s="12"/>
      <c r="AV386" s="12"/>
      <c r="AW386" s="12"/>
      <c r="AX386" s="13"/>
      <c r="AY386" s="12"/>
      <c r="AZ386" s="12" t="str">
        <f>IF(AND(A386="",B386="",E386="",G386="",I386="",AV386="",AX386=""),"",IF(OR(B386="skip",AV386="skip"),"SKIP",IF(OR(B386="to_candidate",AV386="proposed_name"),IF(OR(A386="",AW386="",AX386="",COUNTIF($A$6:$A$505,A386)&gt;1),"REVIEW","TO_PROPOSED"),IF(OR(B386="",A386="",E386="",G386="",I386="",U386="",AV386="",COUNTIF($A$6:$A$505,A386)&gt;1,(COUNTIFS('أرقام التواصل'!$A$6:$A$505,"client",'أرقام التواصل'!$B$6:$B$505,A386,'أرقام التواصل'!$I$6:$I$505,"TRUE")+COUNTIFS('أرقام التواصل'!$A$6:$A$505,"client",'أرقام التواصل'!$B$6:$B$505,A386,'أرقام التواصل'!$C$6:$C$505,1))=0),"REVIEW","READY"))))</f>
        <v/>
      </c>
      <c r="BA386" s="16" t="str">
        <f>IF(AZ386="","",IF(OR(AZ386="READY",AZ386="TO_PROPOSED"),"",IF(AZ386="SKIP","Skipped by decision",TRIM(IF(B386="","missing import_action; ","")&amp;IF(A386="","missing migration_customer_key; ","")&amp;IF(AND(A386&lt;&gt;"",COUNTIF($A$6:$A$505,A386)&gt;1),"duplicate migration_customer_key; ","")&amp;IF(AND(NOT(OR(B386="to_candidate",AV386="proposed_name")),E386=""),"missing branch_id; ","")&amp;IF(AND(NOT(OR(B386="to_candidate",AV386="proposed_name")),G386=""),"missing first_name; ","")&amp;IF(AND(NOT(OR(B386="to_candidate",AV386="proposed_name")),I386=""),"missing last_name; ","")&amp;IF(AND(NOT(OR(B386="to_candidate",AV386="proposed_name")),U386=""),"missing final_geo_unit_id; ","")&amp;IF(AV386="","missing final_destination; ","")&amp;IF(AND(NOT(OR(B386="to_candidate",AV386="proposed_name")),(COUNTIFS('أرقام التواصل'!$A$6:$A$505,"client",'أرقام التواصل'!$B$6:$B$505,A386,'أرقام التواصل'!$I$6:$I$505,"TRUE")+COUNTIFS('أرقام التواصل'!$A$6:$A$505,"client",'أرقام التواصل'!$B$6:$B$505,A386,'أرقام التواصل'!$C$6:$C$505,1))=0),"missing primary contact in أرقام التواصل; ","")&amp;IF(OR(B386="to_candidate",AV386="proposed_name"),IF(AW386="","missing proposed_move_reason; ","")&amp;IF(AX386="","missing proposed_name_key; ",""),"")))))</f>
        <v/>
      </c>
    </row>
    <row r="387" spans="1:53">
      <c r="A387" s="11"/>
      <c r="B387" s="12"/>
      <c r="C387" s="13"/>
      <c r="D387" s="12"/>
      <c r="E387" s="12"/>
      <c r="F387" s="12"/>
      <c r="G387" s="12"/>
      <c r="H387" s="12"/>
      <c r="I387" s="12"/>
      <c r="J387" s="12"/>
      <c r="K387" s="12" t="str">
        <f t="shared" si="9"/>
        <v/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 t="str">
        <f t="shared" si="10"/>
        <v/>
      </c>
      <c r="V387" s="12"/>
      <c r="W387" s="14"/>
      <c r="X387" s="14"/>
      <c r="Y387" s="13"/>
      <c r="Z387" s="12"/>
      <c r="AA387" s="12"/>
      <c r="AB387" s="12"/>
      <c r="AC387" s="12"/>
      <c r="AD387" s="15"/>
      <c r="AE387" s="12"/>
      <c r="AF387" s="13"/>
      <c r="AG387" s="12"/>
      <c r="AH387" s="12"/>
      <c r="AI387" s="15"/>
      <c r="AJ387" s="12"/>
      <c r="AK387" s="12"/>
      <c r="AL387" s="12"/>
      <c r="AM387" s="12"/>
      <c r="AN387" s="12"/>
      <c r="AO387" s="12"/>
      <c r="AP387" s="12"/>
      <c r="AQ387" s="15"/>
      <c r="AR387" s="12"/>
      <c r="AS387" s="12"/>
      <c r="AT387" s="12"/>
      <c r="AU387" s="12"/>
      <c r="AV387" s="12"/>
      <c r="AW387" s="12"/>
      <c r="AX387" s="13"/>
      <c r="AY387" s="12"/>
      <c r="AZ387" s="12" t="str">
        <f>IF(AND(A387="",B387="",E387="",G387="",I387="",AV387="",AX387=""),"",IF(OR(B387="skip",AV387="skip"),"SKIP",IF(OR(B387="to_candidate",AV387="proposed_name"),IF(OR(A387="",AW387="",AX387="",COUNTIF($A$6:$A$505,A387)&gt;1),"REVIEW","TO_PROPOSED"),IF(OR(B387="",A387="",E387="",G387="",I387="",U387="",AV387="",COUNTIF($A$6:$A$505,A387)&gt;1,(COUNTIFS('أرقام التواصل'!$A$6:$A$505,"client",'أرقام التواصل'!$B$6:$B$505,A387,'أرقام التواصل'!$I$6:$I$505,"TRUE")+COUNTIFS('أرقام التواصل'!$A$6:$A$505,"client",'أرقام التواصل'!$B$6:$B$505,A387,'أرقام التواصل'!$C$6:$C$505,1))=0),"REVIEW","READY"))))</f>
        <v/>
      </c>
      <c r="BA387" s="16" t="str">
        <f>IF(AZ387="","",IF(OR(AZ387="READY",AZ387="TO_PROPOSED"),"",IF(AZ387="SKIP","Skipped by decision",TRIM(IF(B387="","missing import_action; ","")&amp;IF(A387="","missing migration_customer_key; ","")&amp;IF(AND(A387&lt;&gt;"",COUNTIF($A$6:$A$505,A387)&gt;1),"duplicate migration_customer_key; ","")&amp;IF(AND(NOT(OR(B387="to_candidate",AV387="proposed_name")),E387=""),"missing branch_id; ","")&amp;IF(AND(NOT(OR(B387="to_candidate",AV387="proposed_name")),G387=""),"missing first_name; ","")&amp;IF(AND(NOT(OR(B387="to_candidate",AV387="proposed_name")),I387=""),"missing last_name; ","")&amp;IF(AND(NOT(OR(B387="to_candidate",AV387="proposed_name")),U387=""),"missing final_geo_unit_id; ","")&amp;IF(AV387="","missing final_destination; ","")&amp;IF(AND(NOT(OR(B387="to_candidate",AV387="proposed_name")),(COUNTIFS('أرقام التواصل'!$A$6:$A$505,"client",'أرقام التواصل'!$B$6:$B$505,A387,'أرقام التواصل'!$I$6:$I$505,"TRUE")+COUNTIFS('أرقام التواصل'!$A$6:$A$505,"client",'أرقام التواصل'!$B$6:$B$505,A387,'أرقام التواصل'!$C$6:$C$505,1))=0),"missing primary contact in أرقام التواصل; ","")&amp;IF(OR(B387="to_candidate",AV387="proposed_name"),IF(AW387="","missing proposed_move_reason; ","")&amp;IF(AX387="","missing proposed_name_key; ",""),"")))))</f>
        <v/>
      </c>
    </row>
    <row r="388" spans="1:53">
      <c r="A388" s="11"/>
      <c r="B388" s="12"/>
      <c r="C388" s="13"/>
      <c r="D388" s="12"/>
      <c r="E388" s="12"/>
      <c r="F388" s="12"/>
      <c r="G388" s="12"/>
      <c r="H388" s="12"/>
      <c r="I388" s="12"/>
      <c r="J388" s="12"/>
      <c r="K388" s="12" t="str">
        <f t="shared" si="9"/>
        <v/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 t="str">
        <f t="shared" si="10"/>
        <v/>
      </c>
      <c r="V388" s="12"/>
      <c r="W388" s="14"/>
      <c r="X388" s="14"/>
      <c r="Y388" s="13"/>
      <c r="Z388" s="12"/>
      <c r="AA388" s="12"/>
      <c r="AB388" s="12"/>
      <c r="AC388" s="12"/>
      <c r="AD388" s="15"/>
      <c r="AE388" s="12"/>
      <c r="AF388" s="13"/>
      <c r="AG388" s="12"/>
      <c r="AH388" s="12"/>
      <c r="AI388" s="15"/>
      <c r="AJ388" s="12"/>
      <c r="AK388" s="12"/>
      <c r="AL388" s="12"/>
      <c r="AM388" s="12"/>
      <c r="AN388" s="12"/>
      <c r="AO388" s="12"/>
      <c r="AP388" s="12"/>
      <c r="AQ388" s="15"/>
      <c r="AR388" s="12"/>
      <c r="AS388" s="12"/>
      <c r="AT388" s="12"/>
      <c r="AU388" s="12"/>
      <c r="AV388" s="12"/>
      <c r="AW388" s="12"/>
      <c r="AX388" s="13"/>
      <c r="AY388" s="12"/>
      <c r="AZ388" s="12" t="str">
        <f>IF(AND(A388="",B388="",E388="",G388="",I388="",AV388="",AX388=""),"",IF(OR(B388="skip",AV388="skip"),"SKIP",IF(OR(B388="to_candidate",AV388="proposed_name"),IF(OR(A388="",AW388="",AX388="",COUNTIF($A$6:$A$505,A388)&gt;1),"REVIEW","TO_PROPOSED"),IF(OR(B388="",A388="",E388="",G388="",I388="",U388="",AV388="",COUNTIF($A$6:$A$505,A388)&gt;1,(COUNTIFS('أرقام التواصل'!$A$6:$A$505,"client",'أرقام التواصل'!$B$6:$B$505,A388,'أرقام التواصل'!$I$6:$I$505,"TRUE")+COUNTIFS('أرقام التواصل'!$A$6:$A$505,"client",'أرقام التواصل'!$B$6:$B$505,A388,'أرقام التواصل'!$C$6:$C$505,1))=0),"REVIEW","READY"))))</f>
        <v/>
      </c>
      <c r="BA388" s="16" t="str">
        <f>IF(AZ388="","",IF(OR(AZ388="READY",AZ388="TO_PROPOSED"),"",IF(AZ388="SKIP","Skipped by decision",TRIM(IF(B388="","missing import_action; ","")&amp;IF(A388="","missing migration_customer_key; ","")&amp;IF(AND(A388&lt;&gt;"",COUNTIF($A$6:$A$505,A388)&gt;1),"duplicate migration_customer_key; ","")&amp;IF(AND(NOT(OR(B388="to_candidate",AV388="proposed_name")),E388=""),"missing branch_id; ","")&amp;IF(AND(NOT(OR(B388="to_candidate",AV388="proposed_name")),G388=""),"missing first_name; ","")&amp;IF(AND(NOT(OR(B388="to_candidate",AV388="proposed_name")),I388=""),"missing last_name; ","")&amp;IF(AND(NOT(OR(B388="to_candidate",AV388="proposed_name")),U388=""),"missing final_geo_unit_id; ","")&amp;IF(AV388="","missing final_destination; ","")&amp;IF(AND(NOT(OR(B388="to_candidate",AV388="proposed_name")),(COUNTIFS('أرقام التواصل'!$A$6:$A$505,"client",'أرقام التواصل'!$B$6:$B$505,A388,'أرقام التواصل'!$I$6:$I$505,"TRUE")+COUNTIFS('أرقام التواصل'!$A$6:$A$505,"client",'أرقام التواصل'!$B$6:$B$505,A388,'أرقام التواصل'!$C$6:$C$505,1))=0),"missing primary contact in أرقام التواصل; ","")&amp;IF(OR(B388="to_candidate",AV388="proposed_name"),IF(AW388="","missing proposed_move_reason; ","")&amp;IF(AX388="","missing proposed_name_key; ",""),"")))))</f>
        <v/>
      </c>
    </row>
    <row r="389" spans="1:53">
      <c r="A389" s="11"/>
      <c r="B389" s="12"/>
      <c r="C389" s="13"/>
      <c r="D389" s="12"/>
      <c r="E389" s="12"/>
      <c r="F389" s="12"/>
      <c r="G389" s="12"/>
      <c r="H389" s="12"/>
      <c r="I389" s="12"/>
      <c r="J389" s="12"/>
      <c r="K389" s="12" t="str">
        <f t="shared" si="9"/>
        <v/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 t="str">
        <f t="shared" si="10"/>
        <v/>
      </c>
      <c r="V389" s="12"/>
      <c r="W389" s="14"/>
      <c r="X389" s="14"/>
      <c r="Y389" s="13"/>
      <c r="Z389" s="12"/>
      <c r="AA389" s="12"/>
      <c r="AB389" s="12"/>
      <c r="AC389" s="12"/>
      <c r="AD389" s="15"/>
      <c r="AE389" s="12"/>
      <c r="AF389" s="13"/>
      <c r="AG389" s="12"/>
      <c r="AH389" s="12"/>
      <c r="AI389" s="15"/>
      <c r="AJ389" s="12"/>
      <c r="AK389" s="12"/>
      <c r="AL389" s="12"/>
      <c r="AM389" s="12"/>
      <c r="AN389" s="12"/>
      <c r="AO389" s="12"/>
      <c r="AP389" s="12"/>
      <c r="AQ389" s="15"/>
      <c r="AR389" s="12"/>
      <c r="AS389" s="12"/>
      <c r="AT389" s="12"/>
      <c r="AU389" s="12"/>
      <c r="AV389" s="12"/>
      <c r="AW389" s="12"/>
      <c r="AX389" s="13"/>
      <c r="AY389" s="12"/>
      <c r="AZ389" s="12" t="str">
        <f>IF(AND(A389="",B389="",E389="",G389="",I389="",AV389="",AX389=""),"",IF(OR(B389="skip",AV389="skip"),"SKIP",IF(OR(B389="to_candidate",AV389="proposed_name"),IF(OR(A389="",AW389="",AX389="",COUNTIF($A$6:$A$505,A389)&gt;1),"REVIEW","TO_PROPOSED"),IF(OR(B389="",A389="",E389="",G389="",I389="",U389="",AV389="",COUNTIF($A$6:$A$505,A389)&gt;1,(COUNTIFS('أرقام التواصل'!$A$6:$A$505,"client",'أرقام التواصل'!$B$6:$B$505,A389,'أرقام التواصل'!$I$6:$I$505,"TRUE")+COUNTIFS('أرقام التواصل'!$A$6:$A$505,"client",'أرقام التواصل'!$B$6:$B$505,A389,'أرقام التواصل'!$C$6:$C$505,1))=0),"REVIEW","READY"))))</f>
        <v/>
      </c>
      <c r="BA389" s="16" t="str">
        <f>IF(AZ389="","",IF(OR(AZ389="READY",AZ389="TO_PROPOSED"),"",IF(AZ389="SKIP","Skipped by decision",TRIM(IF(B389="","missing import_action; ","")&amp;IF(A389="","missing migration_customer_key; ","")&amp;IF(AND(A389&lt;&gt;"",COUNTIF($A$6:$A$505,A389)&gt;1),"duplicate migration_customer_key; ","")&amp;IF(AND(NOT(OR(B389="to_candidate",AV389="proposed_name")),E389=""),"missing branch_id; ","")&amp;IF(AND(NOT(OR(B389="to_candidate",AV389="proposed_name")),G389=""),"missing first_name; ","")&amp;IF(AND(NOT(OR(B389="to_candidate",AV389="proposed_name")),I389=""),"missing last_name; ","")&amp;IF(AND(NOT(OR(B389="to_candidate",AV389="proposed_name")),U389=""),"missing final_geo_unit_id; ","")&amp;IF(AV389="","missing final_destination; ","")&amp;IF(AND(NOT(OR(B389="to_candidate",AV389="proposed_name")),(COUNTIFS('أرقام التواصل'!$A$6:$A$505,"client",'أرقام التواصل'!$B$6:$B$505,A389,'أرقام التواصل'!$I$6:$I$505,"TRUE")+COUNTIFS('أرقام التواصل'!$A$6:$A$505,"client",'أرقام التواصل'!$B$6:$B$505,A389,'أرقام التواصل'!$C$6:$C$505,1))=0),"missing primary contact in أرقام التواصل; ","")&amp;IF(OR(B389="to_candidate",AV389="proposed_name"),IF(AW389="","missing proposed_move_reason; ","")&amp;IF(AX389="","missing proposed_name_key; ",""),"")))))</f>
        <v/>
      </c>
    </row>
    <row r="390" spans="1:53">
      <c r="A390" s="11"/>
      <c r="B390" s="12"/>
      <c r="C390" s="13"/>
      <c r="D390" s="12"/>
      <c r="E390" s="12"/>
      <c r="F390" s="12"/>
      <c r="G390" s="12"/>
      <c r="H390" s="12"/>
      <c r="I390" s="12"/>
      <c r="J390" s="12"/>
      <c r="K390" s="12" t="str">
        <f t="shared" ref="K390:K453" si="11">IF(TRIM(G390&amp;" "&amp;H390&amp;" "&amp;I390&amp;IF(J390&lt;&gt;""," ("&amp;J390&amp;")",""))="","",TRIM(G390&amp;" "&amp;H390&amp;" "&amp;I390&amp;IF(J390&lt;&gt;""," ("&amp;J390&amp;")","")))</f>
        <v/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 t="str">
        <f t="shared" ref="U390:U453" si="12">IF(AND(L390="",N390="",P390="",R390=""),"",IF(R390&lt;&gt;"",R390,IF(P390&lt;&gt;"",P390,IF(N390&lt;&gt;"",N390,L390))))</f>
        <v/>
      </c>
      <c r="V390" s="12"/>
      <c r="W390" s="14"/>
      <c r="X390" s="14"/>
      <c r="Y390" s="13"/>
      <c r="Z390" s="12"/>
      <c r="AA390" s="12"/>
      <c r="AB390" s="12"/>
      <c r="AC390" s="12"/>
      <c r="AD390" s="15"/>
      <c r="AE390" s="12"/>
      <c r="AF390" s="13"/>
      <c r="AG390" s="12"/>
      <c r="AH390" s="12"/>
      <c r="AI390" s="15"/>
      <c r="AJ390" s="12"/>
      <c r="AK390" s="12"/>
      <c r="AL390" s="12"/>
      <c r="AM390" s="12"/>
      <c r="AN390" s="12"/>
      <c r="AO390" s="12"/>
      <c r="AP390" s="12"/>
      <c r="AQ390" s="15"/>
      <c r="AR390" s="12"/>
      <c r="AS390" s="12"/>
      <c r="AT390" s="12"/>
      <c r="AU390" s="12"/>
      <c r="AV390" s="12"/>
      <c r="AW390" s="12"/>
      <c r="AX390" s="13"/>
      <c r="AY390" s="12"/>
      <c r="AZ390" s="12" t="str">
        <f>IF(AND(A390="",B390="",E390="",G390="",I390="",AV390="",AX390=""),"",IF(OR(B390="skip",AV390="skip"),"SKIP",IF(OR(B390="to_candidate",AV390="proposed_name"),IF(OR(A390="",AW390="",AX390="",COUNTIF($A$6:$A$505,A390)&gt;1),"REVIEW","TO_PROPOSED"),IF(OR(B390="",A390="",E390="",G390="",I390="",U390="",AV390="",COUNTIF($A$6:$A$505,A390)&gt;1,(COUNTIFS('أرقام التواصل'!$A$6:$A$505,"client",'أرقام التواصل'!$B$6:$B$505,A390,'أرقام التواصل'!$I$6:$I$505,"TRUE")+COUNTIFS('أرقام التواصل'!$A$6:$A$505,"client",'أرقام التواصل'!$B$6:$B$505,A390,'أرقام التواصل'!$C$6:$C$505,1))=0),"REVIEW","READY"))))</f>
        <v/>
      </c>
      <c r="BA390" s="16" t="str">
        <f>IF(AZ390="","",IF(OR(AZ390="READY",AZ390="TO_PROPOSED"),"",IF(AZ390="SKIP","Skipped by decision",TRIM(IF(B390="","missing import_action; ","")&amp;IF(A390="","missing migration_customer_key; ","")&amp;IF(AND(A390&lt;&gt;"",COUNTIF($A$6:$A$505,A390)&gt;1),"duplicate migration_customer_key; ","")&amp;IF(AND(NOT(OR(B390="to_candidate",AV390="proposed_name")),E390=""),"missing branch_id; ","")&amp;IF(AND(NOT(OR(B390="to_candidate",AV390="proposed_name")),G390=""),"missing first_name; ","")&amp;IF(AND(NOT(OR(B390="to_candidate",AV390="proposed_name")),I390=""),"missing last_name; ","")&amp;IF(AND(NOT(OR(B390="to_candidate",AV390="proposed_name")),U390=""),"missing final_geo_unit_id; ","")&amp;IF(AV390="","missing final_destination; ","")&amp;IF(AND(NOT(OR(B390="to_candidate",AV390="proposed_name")),(COUNTIFS('أرقام التواصل'!$A$6:$A$505,"client",'أرقام التواصل'!$B$6:$B$505,A390,'أرقام التواصل'!$I$6:$I$505,"TRUE")+COUNTIFS('أرقام التواصل'!$A$6:$A$505,"client",'أرقام التواصل'!$B$6:$B$505,A390,'أرقام التواصل'!$C$6:$C$505,1))=0),"missing primary contact in أرقام التواصل; ","")&amp;IF(OR(B390="to_candidate",AV390="proposed_name"),IF(AW390="","missing proposed_move_reason; ","")&amp;IF(AX390="","missing proposed_name_key; ",""),"")))))</f>
        <v/>
      </c>
    </row>
    <row r="391" spans="1:53">
      <c r="A391" s="11"/>
      <c r="B391" s="12"/>
      <c r="C391" s="13"/>
      <c r="D391" s="12"/>
      <c r="E391" s="12"/>
      <c r="F391" s="12"/>
      <c r="G391" s="12"/>
      <c r="H391" s="12"/>
      <c r="I391" s="12"/>
      <c r="J391" s="12"/>
      <c r="K391" s="12" t="str">
        <f t="shared" si="11"/>
        <v/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 t="str">
        <f t="shared" si="12"/>
        <v/>
      </c>
      <c r="V391" s="12"/>
      <c r="W391" s="14"/>
      <c r="X391" s="14"/>
      <c r="Y391" s="13"/>
      <c r="Z391" s="12"/>
      <c r="AA391" s="12"/>
      <c r="AB391" s="12"/>
      <c r="AC391" s="12"/>
      <c r="AD391" s="15"/>
      <c r="AE391" s="12"/>
      <c r="AF391" s="13"/>
      <c r="AG391" s="12"/>
      <c r="AH391" s="12"/>
      <c r="AI391" s="15"/>
      <c r="AJ391" s="12"/>
      <c r="AK391" s="12"/>
      <c r="AL391" s="12"/>
      <c r="AM391" s="12"/>
      <c r="AN391" s="12"/>
      <c r="AO391" s="12"/>
      <c r="AP391" s="12"/>
      <c r="AQ391" s="15"/>
      <c r="AR391" s="12"/>
      <c r="AS391" s="12"/>
      <c r="AT391" s="12"/>
      <c r="AU391" s="12"/>
      <c r="AV391" s="12"/>
      <c r="AW391" s="12"/>
      <c r="AX391" s="13"/>
      <c r="AY391" s="12"/>
      <c r="AZ391" s="12" t="str">
        <f>IF(AND(A391="",B391="",E391="",G391="",I391="",AV391="",AX391=""),"",IF(OR(B391="skip",AV391="skip"),"SKIP",IF(OR(B391="to_candidate",AV391="proposed_name"),IF(OR(A391="",AW391="",AX391="",COUNTIF($A$6:$A$505,A391)&gt;1),"REVIEW","TO_PROPOSED"),IF(OR(B391="",A391="",E391="",G391="",I391="",U391="",AV391="",COUNTIF($A$6:$A$505,A391)&gt;1,(COUNTIFS('أرقام التواصل'!$A$6:$A$505,"client",'أرقام التواصل'!$B$6:$B$505,A391,'أرقام التواصل'!$I$6:$I$505,"TRUE")+COUNTIFS('أرقام التواصل'!$A$6:$A$505,"client",'أرقام التواصل'!$B$6:$B$505,A391,'أرقام التواصل'!$C$6:$C$505,1))=0),"REVIEW","READY"))))</f>
        <v/>
      </c>
      <c r="BA391" s="16" t="str">
        <f>IF(AZ391="","",IF(OR(AZ391="READY",AZ391="TO_PROPOSED"),"",IF(AZ391="SKIP","Skipped by decision",TRIM(IF(B391="","missing import_action; ","")&amp;IF(A391="","missing migration_customer_key; ","")&amp;IF(AND(A391&lt;&gt;"",COUNTIF($A$6:$A$505,A391)&gt;1),"duplicate migration_customer_key; ","")&amp;IF(AND(NOT(OR(B391="to_candidate",AV391="proposed_name")),E391=""),"missing branch_id; ","")&amp;IF(AND(NOT(OR(B391="to_candidate",AV391="proposed_name")),G391=""),"missing first_name; ","")&amp;IF(AND(NOT(OR(B391="to_candidate",AV391="proposed_name")),I391=""),"missing last_name; ","")&amp;IF(AND(NOT(OR(B391="to_candidate",AV391="proposed_name")),U391=""),"missing final_geo_unit_id; ","")&amp;IF(AV391="","missing final_destination; ","")&amp;IF(AND(NOT(OR(B391="to_candidate",AV391="proposed_name")),(COUNTIFS('أرقام التواصل'!$A$6:$A$505,"client",'أرقام التواصل'!$B$6:$B$505,A391,'أرقام التواصل'!$I$6:$I$505,"TRUE")+COUNTIFS('أرقام التواصل'!$A$6:$A$505,"client",'أرقام التواصل'!$B$6:$B$505,A391,'أرقام التواصل'!$C$6:$C$505,1))=0),"missing primary contact in أرقام التواصل; ","")&amp;IF(OR(B391="to_candidate",AV391="proposed_name"),IF(AW391="","missing proposed_move_reason; ","")&amp;IF(AX391="","missing proposed_name_key; ",""),"")))))</f>
        <v/>
      </c>
    </row>
    <row r="392" spans="1:53">
      <c r="A392" s="11"/>
      <c r="B392" s="12"/>
      <c r="C392" s="13"/>
      <c r="D392" s="12"/>
      <c r="E392" s="12"/>
      <c r="F392" s="12"/>
      <c r="G392" s="12"/>
      <c r="H392" s="12"/>
      <c r="I392" s="12"/>
      <c r="J392" s="12"/>
      <c r="K392" s="12" t="str">
        <f t="shared" si="11"/>
        <v/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 t="str">
        <f t="shared" si="12"/>
        <v/>
      </c>
      <c r="V392" s="12"/>
      <c r="W392" s="14"/>
      <c r="X392" s="14"/>
      <c r="Y392" s="13"/>
      <c r="Z392" s="12"/>
      <c r="AA392" s="12"/>
      <c r="AB392" s="12"/>
      <c r="AC392" s="12"/>
      <c r="AD392" s="15"/>
      <c r="AE392" s="12"/>
      <c r="AF392" s="13"/>
      <c r="AG392" s="12"/>
      <c r="AH392" s="12"/>
      <c r="AI392" s="15"/>
      <c r="AJ392" s="12"/>
      <c r="AK392" s="12"/>
      <c r="AL392" s="12"/>
      <c r="AM392" s="12"/>
      <c r="AN392" s="12"/>
      <c r="AO392" s="12"/>
      <c r="AP392" s="12"/>
      <c r="AQ392" s="15"/>
      <c r="AR392" s="12"/>
      <c r="AS392" s="12"/>
      <c r="AT392" s="12"/>
      <c r="AU392" s="12"/>
      <c r="AV392" s="12"/>
      <c r="AW392" s="12"/>
      <c r="AX392" s="13"/>
      <c r="AY392" s="12"/>
      <c r="AZ392" s="12" t="str">
        <f>IF(AND(A392="",B392="",E392="",G392="",I392="",AV392="",AX392=""),"",IF(OR(B392="skip",AV392="skip"),"SKIP",IF(OR(B392="to_candidate",AV392="proposed_name"),IF(OR(A392="",AW392="",AX392="",COUNTIF($A$6:$A$505,A392)&gt;1),"REVIEW","TO_PROPOSED"),IF(OR(B392="",A392="",E392="",G392="",I392="",U392="",AV392="",COUNTIF($A$6:$A$505,A392)&gt;1,(COUNTIFS('أرقام التواصل'!$A$6:$A$505,"client",'أرقام التواصل'!$B$6:$B$505,A392,'أرقام التواصل'!$I$6:$I$505,"TRUE")+COUNTIFS('أرقام التواصل'!$A$6:$A$505,"client",'أرقام التواصل'!$B$6:$B$505,A392,'أرقام التواصل'!$C$6:$C$505,1))=0),"REVIEW","READY"))))</f>
        <v/>
      </c>
      <c r="BA392" s="16" t="str">
        <f>IF(AZ392="","",IF(OR(AZ392="READY",AZ392="TO_PROPOSED"),"",IF(AZ392="SKIP","Skipped by decision",TRIM(IF(B392="","missing import_action; ","")&amp;IF(A392="","missing migration_customer_key; ","")&amp;IF(AND(A392&lt;&gt;"",COUNTIF($A$6:$A$505,A392)&gt;1),"duplicate migration_customer_key; ","")&amp;IF(AND(NOT(OR(B392="to_candidate",AV392="proposed_name")),E392=""),"missing branch_id; ","")&amp;IF(AND(NOT(OR(B392="to_candidate",AV392="proposed_name")),G392=""),"missing first_name; ","")&amp;IF(AND(NOT(OR(B392="to_candidate",AV392="proposed_name")),I392=""),"missing last_name; ","")&amp;IF(AND(NOT(OR(B392="to_candidate",AV392="proposed_name")),U392=""),"missing final_geo_unit_id; ","")&amp;IF(AV392="","missing final_destination; ","")&amp;IF(AND(NOT(OR(B392="to_candidate",AV392="proposed_name")),(COUNTIFS('أرقام التواصل'!$A$6:$A$505,"client",'أرقام التواصل'!$B$6:$B$505,A392,'أرقام التواصل'!$I$6:$I$505,"TRUE")+COUNTIFS('أرقام التواصل'!$A$6:$A$505,"client",'أرقام التواصل'!$B$6:$B$505,A392,'أرقام التواصل'!$C$6:$C$505,1))=0),"missing primary contact in أرقام التواصل; ","")&amp;IF(OR(B392="to_candidate",AV392="proposed_name"),IF(AW392="","missing proposed_move_reason; ","")&amp;IF(AX392="","missing proposed_name_key; ",""),"")))))</f>
        <v/>
      </c>
    </row>
    <row r="393" spans="1:53">
      <c r="A393" s="11"/>
      <c r="B393" s="12"/>
      <c r="C393" s="13"/>
      <c r="D393" s="12"/>
      <c r="E393" s="12"/>
      <c r="F393" s="12"/>
      <c r="G393" s="12"/>
      <c r="H393" s="12"/>
      <c r="I393" s="12"/>
      <c r="J393" s="12"/>
      <c r="K393" s="12" t="str">
        <f t="shared" si="11"/>
        <v/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 t="str">
        <f t="shared" si="12"/>
        <v/>
      </c>
      <c r="V393" s="12"/>
      <c r="W393" s="14"/>
      <c r="X393" s="14"/>
      <c r="Y393" s="13"/>
      <c r="Z393" s="12"/>
      <c r="AA393" s="12"/>
      <c r="AB393" s="12"/>
      <c r="AC393" s="12"/>
      <c r="AD393" s="15"/>
      <c r="AE393" s="12"/>
      <c r="AF393" s="13"/>
      <c r="AG393" s="12"/>
      <c r="AH393" s="12"/>
      <c r="AI393" s="15"/>
      <c r="AJ393" s="12"/>
      <c r="AK393" s="12"/>
      <c r="AL393" s="12"/>
      <c r="AM393" s="12"/>
      <c r="AN393" s="12"/>
      <c r="AO393" s="12"/>
      <c r="AP393" s="12"/>
      <c r="AQ393" s="15"/>
      <c r="AR393" s="12"/>
      <c r="AS393" s="12"/>
      <c r="AT393" s="12"/>
      <c r="AU393" s="12"/>
      <c r="AV393" s="12"/>
      <c r="AW393" s="12"/>
      <c r="AX393" s="13"/>
      <c r="AY393" s="12"/>
      <c r="AZ393" s="12" t="str">
        <f>IF(AND(A393="",B393="",E393="",G393="",I393="",AV393="",AX393=""),"",IF(OR(B393="skip",AV393="skip"),"SKIP",IF(OR(B393="to_candidate",AV393="proposed_name"),IF(OR(A393="",AW393="",AX393="",COUNTIF($A$6:$A$505,A393)&gt;1),"REVIEW","TO_PROPOSED"),IF(OR(B393="",A393="",E393="",G393="",I393="",U393="",AV393="",COUNTIF($A$6:$A$505,A393)&gt;1,(COUNTIFS('أرقام التواصل'!$A$6:$A$505,"client",'أرقام التواصل'!$B$6:$B$505,A393,'أرقام التواصل'!$I$6:$I$505,"TRUE")+COUNTIFS('أرقام التواصل'!$A$6:$A$505,"client",'أرقام التواصل'!$B$6:$B$505,A393,'أرقام التواصل'!$C$6:$C$505,1))=0),"REVIEW","READY"))))</f>
        <v/>
      </c>
      <c r="BA393" s="16" t="str">
        <f>IF(AZ393="","",IF(OR(AZ393="READY",AZ393="TO_PROPOSED"),"",IF(AZ393="SKIP","Skipped by decision",TRIM(IF(B393="","missing import_action; ","")&amp;IF(A393="","missing migration_customer_key; ","")&amp;IF(AND(A393&lt;&gt;"",COUNTIF($A$6:$A$505,A393)&gt;1),"duplicate migration_customer_key; ","")&amp;IF(AND(NOT(OR(B393="to_candidate",AV393="proposed_name")),E393=""),"missing branch_id; ","")&amp;IF(AND(NOT(OR(B393="to_candidate",AV393="proposed_name")),G393=""),"missing first_name; ","")&amp;IF(AND(NOT(OR(B393="to_candidate",AV393="proposed_name")),I393=""),"missing last_name; ","")&amp;IF(AND(NOT(OR(B393="to_candidate",AV393="proposed_name")),U393=""),"missing final_geo_unit_id; ","")&amp;IF(AV393="","missing final_destination; ","")&amp;IF(AND(NOT(OR(B393="to_candidate",AV393="proposed_name")),(COUNTIFS('أرقام التواصل'!$A$6:$A$505,"client",'أرقام التواصل'!$B$6:$B$505,A393,'أرقام التواصل'!$I$6:$I$505,"TRUE")+COUNTIFS('أرقام التواصل'!$A$6:$A$505,"client",'أرقام التواصل'!$B$6:$B$505,A393,'أرقام التواصل'!$C$6:$C$505,1))=0),"missing primary contact in أرقام التواصل; ","")&amp;IF(OR(B393="to_candidate",AV393="proposed_name"),IF(AW393="","missing proposed_move_reason; ","")&amp;IF(AX393="","missing proposed_name_key; ",""),"")))))</f>
        <v/>
      </c>
    </row>
    <row r="394" spans="1:53">
      <c r="A394" s="11"/>
      <c r="B394" s="12"/>
      <c r="C394" s="13"/>
      <c r="D394" s="12"/>
      <c r="E394" s="12"/>
      <c r="F394" s="12"/>
      <c r="G394" s="12"/>
      <c r="H394" s="12"/>
      <c r="I394" s="12"/>
      <c r="J394" s="12"/>
      <c r="K394" s="12" t="str">
        <f t="shared" si="11"/>
        <v/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 t="str">
        <f t="shared" si="12"/>
        <v/>
      </c>
      <c r="V394" s="12"/>
      <c r="W394" s="14"/>
      <c r="X394" s="14"/>
      <c r="Y394" s="13"/>
      <c r="Z394" s="12"/>
      <c r="AA394" s="12"/>
      <c r="AB394" s="12"/>
      <c r="AC394" s="12"/>
      <c r="AD394" s="15"/>
      <c r="AE394" s="12"/>
      <c r="AF394" s="13"/>
      <c r="AG394" s="12"/>
      <c r="AH394" s="12"/>
      <c r="AI394" s="15"/>
      <c r="AJ394" s="12"/>
      <c r="AK394" s="12"/>
      <c r="AL394" s="12"/>
      <c r="AM394" s="12"/>
      <c r="AN394" s="12"/>
      <c r="AO394" s="12"/>
      <c r="AP394" s="12"/>
      <c r="AQ394" s="15"/>
      <c r="AR394" s="12"/>
      <c r="AS394" s="12"/>
      <c r="AT394" s="12"/>
      <c r="AU394" s="12"/>
      <c r="AV394" s="12"/>
      <c r="AW394" s="12"/>
      <c r="AX394" s="13"/>
      <c r="AY394" s="12"/>
      <c r="AZ394" s="12" t="str">
        <f>IF(AND(A394="",B394="",E394="",G394="",I394="",AV394="",AX394=""),"",IF(OR(B394="skip",AV394="skip"),"SKIP",IF(OR(B394="to_candidate",AV394="proposed_name"),IF(OR(A394="",AW394="",AX394="",COUNTIF($A$6:$A$505,A394)&gt;1),"REVIEW","TO_PROPOSED"),IF(OR(B394="",A394="",E394="",G394="",I394="",U394="",AV394="",COUNTIF($A$6:$A$505,A394)&gt;1,(COUNTIFS('أرقام التواصل'!$A$6:$A$505,"client",'أرقام التواصل'!$B$6:$B$505,A394,'أرقام التواصل'!$I$6:$I$505,"TRUE")+COUNTIFS('أرقام التواصل'!$A$6:$A$505,"client",'أرقام التواصل'!$B$6:$B$505,A394,'أرقام التواصل'!$C$6:$C$505,1))=0),"REVIEW","READY"))))</f>
        <v/>
      </c>
      <c r="BA394" s="16" t="str">
        <f>IF(AZ394="","",IF(OR(AZ394="READY",AZ394="TO_PROPOSED"),"",IF(AZ394="SKIP","Skipped by decision",TRIM(IF(B394="","missing import_action; ","")&amp;IF(A394="","missing migration_customer_key; ","")&amp;IF(AND(A394&lt;&gt;"",COUNTIF($A$6:$A$505,A394)&gt;1),"duplicate migration_customer_key; ","")&amp;IF(AND(NOT(OR(B394="to_candidate",AV394="proposed_name")),E394=""),"missing branch_id; ","")&amp;IF(AND(NOT(OR(B394="to_candidate",AV394="proposed_name")),G394=""),"missing first_name; ","")&amp;IF(AND(NOT(OR(B394="to_candidate",AV394="proposed_name")),I394=""),"missing last_name; ","")&amp;IF(AND(NOT(OR(B394="to_candidate",AV394="proposed_name")),U394=""),"missing final_geo_unit_id; ","")&amp;IF(AV394="","missing final_destination; ","")&amp;IF(AND(NOT(OR(B394="to_candidate",AV394="proposed_name")),(COUNTIFS('أرقام التواصل'!$A$6:$A$505,"client",'أرقام التواصل'!$B$6:$B$505,A394,'أرقام التواصل'!$I$6:$I$505,"TRUE")+COUNTIFS('أرقام التواصل'!$A$6:$A$505,"client",'أرقام التواصل'!$B$6:$B$505,A394,'أرقام التواصل'!$C$6:$C$505,1))=0),"missing primary contact in أرقام التواصل; ","")&amp;IF(OR(B394="to_candidate",AV394="proposed_name"),IF(AW394="","missing proposed_move_reason; ","")&amp;IF(AX394="","missing proposed_name_key; ",""),"")))))</f>
        <v/>
      </c>
    </row>
    <row r="395" spans="1:53">
      <c r="A395" s="11"/>
      <c r="B395" s="12"/>
      <c r="C395" s="13"/>
      <c r="D395" s="12"/>
      <c r="E395" s="12"/>
      <c r="F395" s="12"/>
      <c r="G395" s="12"/>
      <c r="H395" s="12"/>
      <c r="I395" s="12"/>
      <c r="J395" s="12"/>
      <c r="K395" s="12" t="str">
        <f t="shared" si="11"/>
        <v/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 t="str">
        <f t="shared" si="12"/>
        <v/>
      </c>
      <c r="V395" s="12"/>
      <c r="W395" s="14"/>
      <c r="X395" s="14"/>
      <c r="Y395" s="13"/>
      <c r="Z395" s="12"/>
      <c r="AA395" s="12"/>
      <c r="AB395" s="12"/>
      <c r="AC395" s="12"/>
      <c r="AD395" s="15"/>
      <c r="AE395" s="12"/>
      <c r="AF395" s="13"/>
      <c r="AG395" s="12"/>
      <c r="AH395" s="12"/>
      <c r="AI395" s="15"/>
      <c r="AJ395" s="12"/>
      <c r="AK395" s="12"/>
      <c r="AL395" s="12"/>
      <c r="AM395" s="12"/>
      <c r="AN395" s="12"/>
      <c r="AO395" s="12"/>
      <c r="AP395" s="12"/>
      <c r="AQ395" s="15"/>
      <c r="AR395" s="12"/>
      <c r="AS395" s="12"/>
      <c r="AT395" s="12"/>
      <c r="AU395" s="12"/>
      <c r="AV395" s="12"/>
      <c r="AW395" s="12"/>
      <c r="AX395" s="13"/>
      <c r="AY395" s="12"/>
      <c r="AZ395" s="12" t="str">
        <f>IF(AND(A395="",B395="",E395="",G395="",I395="",AV395="",AX395=""),"",IF(OR(B395="skip",AV395="skip"),"SKIP",IF(OR(B395="to_candidate",AV395="proposed_name"),IF(OR(A395="",AW395="",AX395="",COUNTIF($A$6:$A$505,A395)&gt;1),"REVIEW","TO_PROPOSED"),IF(OR(B395="",A395="",E395="",G395="",I395="",U395="",AV395="",COUNTIF($A$6:$A$505,A395)&gt;1,(COUNTIFS('أرقام التواصل'!$A$6:$A$505,"client",'أرقام التواصل'!$B$6:$B$505,A395,'أرقام التواصل'!$I$6:$I$505,"TRUE")+COUNTIFS('أرقام التواصل'!$A$6:$A$505,"client",'أرقام التواصل'!$B$6:$B$505,A395,'أرقام التواصل'!$C$6:$C$505,1))=0),"REVIEW","READY"))))</f>
        <v/>
      </c>
      <c r="BA395" s="16" t="str">
        <f>IF(AZ395="","",IF(OR(AZ395="READY",AZ395="TO_PROPOSED"),"",IF(AZ395="SKIP","Skipped by decision",TRIM(IF(B395="","missing import_action; ","")&amp;IF(A395="","missing migration_customer_key; ","")&amp;IF(AND(A395&lt;&gt;"",COUNTIF($A$6:$A$505,A395)&gt;1),"duplicate migration_customer_key; ","")&amp;IF(AND(NOT(OR(B395="to_candidate",AV395="proposed_name")),E395=""),"missing branch_id; ","")&amp;IF(AND(NOT(OR(B395="to_candidate",AV395="proposed_name")),G395=""),"missing first_name; ","")&amp;IF(AND(NOT(OR(B395="to_candidate",AV395="proposed_name")),I395=""),"missing last_name; ","")&amp;IF(AND(NOT(OR(B395="to_candidate",AV395="proposed_name")),U395=""),"missing final_geo_unit_id; ","")&amp;IF(AV395="","missing final_destination; ","")&amp;IF(AND(NOT(OR(B395="to_candidate",AV395="proposed_name")),(COUNTIFS('أرقام التواصل'!$A$6:$A$505,"client",'أرقام التواصل'!$B$6:$B$505,A395,'أرقام التواصل'!$I$6:$I$505,"TRUE")+COUNTIFS('أرقام التواصل'!$A$6:$A$505,"client",'أرقام التواصل'!$B$6:$B$505,A395,'أرقام التواصل'!$C$6:$C$505,1))=0),"missing primary contact in أرقام التواصل; ","")&amp;IF(OR(B395="to_candidate",AV395="proposed_name"),IF(AW395="","missing proposed_move_reason; ","")&amp;IF(AX395="","missing proposed_name_key; ",""),"")))))</f>
        <v/>
      </c>
    </row>
    <row r="396" spans="1:53">
      <c r="A396" s="11"/>
      <c r="B396" s="12"/>
      <c r="C396" s="13"/>
      <c r="D396" s="12"/>
      <c r="E396" s="12"/>
      <c r="F396" s="12"/>
      <c r="G396" s="12"/>
      <c r="H396" s="12"/>
      <c r="I396" s="12"/>
      <c r="J396" s="12"/>
      <c r="K396" s="12" t="str">
        <f t="shared" si="11"/>
        <v/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 t="str">
        <f t="shared" si="12"/>
        <v/>
      </c>
      <c r="V396" s="12"/>
      <c r="W396" s="14"/>
      <c r="X396" s="14"/>
      <c r="Y396" s="13"/>
      <c r="Z396" s="12"/>
      <c r="AA396" s="12"/>
      <c r="AB396" s="12"/>
      <c r="AC396" s="12"/>
      <c r="AD396" s="15"/>
      <c r="AE396" s="12"/>
      <c r="AF396" s="13"/>
      <c r="AG396" s="12"/>
      <c r="AH396" s="12"/>
      <c r="AI396" s="15"/>
      <c r="AJ396" s="12"/>
      <c r="AK396" s="12"/>
      <c r="AL396" s="12"/>
      <c r="AM396" s="12"/>
      <c r="AN396" s="12"/>
      <c r="AO396" s="12"/>
      <c r="AP396" s="12"/>
      <c r="AQ396" s="15"/>
      <c r="AR396" s="12"/>
      <c r="AS396" s="12"/>
      <c r="AT396" s="12"/>
      <c r="AU396" s="12"/>
      <c r="AV396" s="12"/>
      <c r="AW396" s="12"/>
      <c r="AX396" s="13"/>
      <c r="AY396" s="12"/>
      <c r="AZ396" s="12" t="str">
        <f>IF(AND(A396="",B396="",E396="",G396="",I396="",AV396="",AX396=""),"",IF(OR(B396="skip",AV396="skip"),"SKIP",IF(OR(B396="to_candidate",AV396="proposed_name"),IF(OR(A396="",AW396="",AX396="",COUNTIF($A$6:$A$505,A396)&gt;1),"REVIEW","TO_PROPOSED"),IF(OR(B396="",A396="",E396="",G396="",I396="",U396="",AV396="",COUNTIF($A$6:$A$505,A396)&gt;1,(COUNTIFS('أرقام التواصل'!$A$6:$A$505,"client",'أرقام التواصل'!$B$6:$B$505,A396,'أرقام التواصل'!$I$6:$I$505,"TRUE")+COUNTIFS('أرقام التواصل'!$A$6:$A$505,"client",'أرقام التواصل'!$B$6:$B$505,A396,'أرقام التواصل'!$C$6:$C$505,1))=0),"REVIEW","READY"))))</f>
        <v/>
      </c>
      <c r="BA396" s="16" t="str">
        <f>IF(AZ396="","",IF(OR(AZ396="READY",AZ396="TO_PROPOSED"),"",IF(AZ396="SKIP","Skipped by decision",TRIM(IF(B396="","missing import_action; ","")&amp;IF(A396="","missing migration_customer_key; ","")&amp;IF(AND(A396&lt;&gt;"",COUNTIF($A$6:$A$505,A396)&gt;1),"duplicate migration_customer_key; ","")&amp;IF(AND(NOT(OR(B396="to_candidate",AV396="proposed_name")),E396=""),"missing branch_id; ","")&amp;IF(AND(NOT(OR(B396="to_candidate",AV396="proposed_name")),G396=""),"missing first_name; ","")&amp;IF(AND(NOT(OR(B396="to_candidate",AV396="proposed_name")),I396=""),"missing last_name; ","")&amp;IF(AND(NOT(OR(B396="to_candidate",AV396="proposed_name")),U396=""),"missing final_geo_unit_id; ","")&amp;IF(AV396="","missing final_destination; ","")&amp;IF(AND(NOT(OR(B396="to_candidate",AV396="proposed_name")),(COUNTIFS('أرقام التواصل'!$A$6:$A$505,"client",'أرقام التواصل'!$B$6:$B$505,A396,'أرقام التواصل'!$I$6:$I$505,"TRUE")+COUNTIFS('أرقام التواصل'!$A$6:$A$505,"client",'أرقام التواصل'!$B$6:$B$505,A396,'أرقام التواصل'!$C$6:$C$505,1))=0),"missing primary contact in أرقام التواصل; ","")&amp;IF(OR(B396="to_candidate",AV396="proposed_name"),IF(AW396="","missing proposed_move_reason; ","")&amp;IF(AX396="","missing proposed_name_key; ",""),"")))))</f>
        <v/>
      </c>
    </row>
    <row r="397" spans="1:53">
      <c r="A397" s="11"/>
      <c r="B397" s="12"/>
      <c r="C397" s="13"/>
      <c r="D397" s="12"/>
      <c r="E397" s="12"/>
      <c r="F397" s="12"/>
      <c r="G397" s="12"/>
      <c r="H397" s="12"/>
      <c r="I397" s="12"/>
      <c r="J397" s="12"/>
      <c r="K397" s="12" t="str">
        <f t="shared" si="11"/>
        <v/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 t="str">
        <f t="shared" si="12"/>
        <v/>
      </c>
      <c r="V397" s="12"/>
      <c r="W397" s="14"/>
      <c r="X397" s="14"/>
      <c r="Y397" s="13"/>
      <c r="Z397" s="12"/>
      <c r="AA397" s="12"/>
      <c r="AB397" s="12"/>
      <c r="AC397" s="12"/>
      <c r="AD397" s="15"/>
      <c r="AE397" s="12"/>
      <c r="AF397" s="13"/>
      <c r="AG397" s="12"/>
      <c r="AH397" s="12"/>
      <c r="AI397" s="15"/>
      <c r="AJ397" s="12"/>
      <c r="AK397" s="12"/>
      <c r="AL397" s="12"/>
      <c r="AM397" s="12"/>
      <c r="AN397" s="12"/>
      <c r="AO397" s="12"/>
      <c r="AP397" s="12"/>
      <c r="AQ397" s="15"/>
      <c r="AR397" s="12"/>
      <c r="AS397" s="12"/>
      <c r="AT397" s="12"/>
      <c r="AU397" s="12"/>
      <c r="AV397" s="12"/>
      <c r="AW397" s="12"/>
      <c r="AX397" s="13"/>
      <c r="AY397" s="12"/>
      <c r="AZ397" s="12" t="str">
        <f>IF(AND(A397="",B397="",E397="",G397="",I397="",AV397="",AX397=""),"",IF(OR(B397="skip",AV397="skip"),"SKIP",IF(OR(B397="to_candidate",AV397="proposed_name"),IF(OR(A397="",AW397="",AX397="",COUNTIF($A$6:$A$505,A397)&gt;1),"REVIEW","TO_PROPOSED"),IF(OR(B397="",A397="",E397="",G397="",I397="",U397="",AV397="",COUNTIF($A$6:$A$505,A397)&gt;1,(COUNTIFS('أرقام التواصل'!$A$6:$A$505,"client",'أرقام التواصل'!$B$6:$B$505,A397,'أرقام التواصل'!$I$6:$I$505,"TRUE")+COUNTIFS('أرقام التواصل'!$A$6:$A$505,"client",'أرقام التواصل'!$B$6:$B$505,A397,'أرقام التواصل'!$C$6:$C$505,1))=0),"REVIEW","READY"))))</f>
        <v/>
      </c>
      <c r="BA397" s="16" t="str">
        <f>IF(AZ397="","",IF(OR(AZ397="READY",AZ397="TO_PROPOSED"),"",IF(AZ397="SKIP","Skipped by decision",TRIM(IF(B397="","missing import_action; ","")&amp;IF(A397="","missing migration_customer_key; ","")&amp;IF(AND(A397&lt;&gt;"",COUNTIF($A$6:$A$505,A397)&gt;1),"duplicate migration_customer_key; ","")&amp;IF(AND(NOT(OR(B397="to_candidate",AV397="proposed_name")),E397=""),"missing branch_id; ","")&amp;IF(AND(NOT(OR(B397="to_candidate",AV397="proposed_name")),G397=""),"missing first_name; ","")&amp;IF(AND(NOT(OR(B397="to_candidate",AV397="proposed_name")),I397=""),"missing last_name; ","")&amp;IF(AND(NOT(OR(B397="to_candidate",AV397="proposed_name")),U397=""),"missing final_geo_unit_id; ","")&amp;IF(AV397="","missing final_destination; ","")&amp;IF(AND(NOT(OR(B397="to_candidate",AV397="proposed_name")),(COUNTIFS('أرقام التواصل'!$A$6:$A$505,"client",'أرقام التواصل'!$B$6:$B$505,A397,'أرقام التواصل'!$I$6:$I$505,"TRUE")+COUNTIFS('أرقام التواصل'!$A$6:$A$505,"client",'أرقام التواصل'!$B$6:$B$505,A397,'أرقام التواصل'!$C$6:$C$505,1))=0),"missing primary contact in أرقام التواصل; ","")&amp;IF(OR(B397="to_candidate",AV397="proposed_name"),IF(AW397="","missing proposed_move_reason; ","")&amp;IF(AX397="","missing proposed_name_key; ",""),"")))))</f>
        <v/>
      </c>
    </row>
    <row r="398" spans="1:53">
      <c r="A398" s="11"/>
      <c r="B398" s="12"/>
      <c r="C398" s="13"/>
      <c r="D398" s="12"/>
      <c r="E398" s="12"/>
      <c r="F398" s="12"/>
      <c r="G398" s="12"/>
      <c r="H398" s="12"/>
      <c r="I398" s="12"/>
      <c r="J398" s="12"/>
      <c r="K398" s="12" t="str">
        <f t="shared" si="11"/>
        <v/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 t="str">
        <f t="shared" si="12"/>
        <v/>
      </c>
      <c r="V398" s="12"/>
      <c r="W398" s="14"/>
      <c r="X398" s="14"/>
      <c r="Y398" s="13"/>
      <c r="Z398" s="12"/>
      <c r="AA398" s="12"/>
      <c r="AB398" s="12"/>
      <c r="AC398" s="12"/>
      <c r="AD398" s="15"/>
      <c r="AE398" s="12"/>
      <c r="AF398" s="13"/>
      <c r="AG398" s="12"/>
      <c r="AH398" s="12"/>
      <c r="AI398" s="15"/>
      <c r="AJ398" s="12"/>
      <c r="AK398" s="12"/>
      <c r="AL398" s="12"/>
      <c r="AM398" s="12"/>
      <c r="AN398" s="12"/>
      <c r="AO398" s="12"/>
      <c r="AP398" s="12"/>
      <c r="AQ398" s="15"/>
      <c r="AR398" s="12"/>
      <c r="AS398" s="12"/>
      <c r="AT398" s="12"/>
      <c r="AU398" s="12"/>
      <c r="AV398" s="12"/>
      <c r="AW398" s="12"/>
      <c r="AX398" s="13"/>
      <c r="AY398" s="12"/>
      <c r="AZ398" s="12" t="str">
        <f>IF(AND(A398="",B398="",E398="",G398="",I398="",AV398="",AX398=""),"",IF(OR(B398="skip",AV398="skip"),"SKIP",IF(OR(B398="to_candidate",AV398="proposed_name"),IF(OR(A398="",AW398="",AX398="",COUNTIF($A$6:$A$505,A398)&gt;1),"REVIEW","TO_PROPOSED"),IF(OR(B398="",A398="",E398="",G398="",I398="",U398="",AV398="",COUNTIF($A$6:$A$505,A398)&gt;1,(COUNTIFS('أرقام التواصل'!$A$6:$A$505,"client",'أرقام التواصل'!$B$6:$B$505,A398,'أرقام التواصل'!$I$6:$I$505,"TRUE")+COUNTIFS('أرقام التواصل'!$A$6:$A$505,"client",'أرقام التواصل'!$B$6:$B$505,A398,'أرقام التواصل'!$C$6:$C$505,1))=0),"REVIEW","READY"))))</f>
        <v/>
      </c>
      <c r="BA398" s="16" t="str">
        <f>IF(AZ398="","",IF(OR(AZ398="READY",AZ398="TO_PROPOSED"),"",IF(AZ398="SKIP","Skipped by decision",TRIM(IF(B398="","missing import_action; ","")&amp;IF(A398="","missing migration_customer_key; ","")&amp;IF(AND(A398&lt;&gt;"",COUNTIF($A$6:$A$505,A398)&gt;1),"duplicate migration_customer_key; ","")&amp;IF(AND(NOT(OR(B398="to_candidate",AV398="proposed_name")),E398=""),"missing branch_id; ","")&amp;IF(AND(NOT(OR(B398="to_candidate",AV398="proposed_name")),G398=""),"missing first_name; ","")&amp;IF(AND(NOT(OR(B398="to_candidate",AV398="proposed_name")),I398=""),"missing last_name; ","")&amp;IF(AND(NOT(OR(B398="to_candidate",AV398="proposed_name")),U398=""),"missing final_geo_unit_id; ","")&amp;IF(AV398="","missing final_destination; ","")&amp;IF(AND(NOT(OR(B398="to_candidate",AV398="proposed_name")),(COUNTIFS('أرقام التواصل'!$A$6:$A$505,"client",'أرقام التواصل'!$B$6:$B$505,A398,'أرقام التواصل'!$I$6:$I$505,"TRUE")+COUNTIFS('أرقام التواصل'!$A$6:$A$505,"client",'أرقام التواصل'!$B$6:$B$505,A398,'أرقام التواصل'!$C$6:$C$505,1))=0),"missing primary contact in أرقام التواصل; ","")&amp;IF(OR(B398="to_candidate",AV398="proposed_name"),IF(AW398="","missing proposed_move_reason; ","")&amp;IF(AX398="","missing proposed_name_key; ",""),"")))))</f>
        <v/>
      </c>
    </row>
    <row r="399" spans="1:53">
      <c r="A399" s="11"/>
      <c r="B399" s="12"/>
      <c r="C399" s="13"/>
      <c r="D399" s="12"/>
      <c r="E399" s="12"/>
      <c r="F399" s="12"/>
      <c r="G399" s="12"/>
      <c r="H399" s="12"/>
      <c r="I399" s="12"/>
      <c r="J399" s="12"/>
      <c r="K399" s="12" t="str">
        <f t="shared" si="11"/>
        <v/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 t="str">
        <f t="shared" si="12"/>
        <v/>
      </c>
      <c r="V399" s="12"/>
      <c r="W399" s="14"/>
      <c r="X399" s="14"/>
      <c r="Y399" s="13"/>
      <c r="Z399" s="12"/>
      <c r="AA399" s="12"/>
      <c r="AB399" s="12"/>
      <c r="AC399" s="12"/>
      <c r="AD399" s="15"/>
      <c r="AE399" s="12"/>
      <c r="AF399" s="13"/>
      <c r="AG399" s="12"/>
      <c r="AH399" s="12"/>
      <c r="AI399" s="15"/>
      <c r="AJ399" s="12"/>
      <c r="AK399" s="12"/>
      <c r="AL399" s="12"/>
      <c r="AM399" s="12"/>
      <c r="AN399" s="12"/>
      <c r="AO399" s="12"/>
      <c r="AP399" s="12"/>
      <c r="AQ399" s="15"/>
      <c r="AR399" s="12"/>
      <c r="AS399" s="12"/>
      <c r="AT399" s="12"/>
      <c r="AU399" s="12"/>
      <c r="AV399" s="12"/>
      <c r="AW399" s="12"/>
      <c r="AX399" s="13"/>
      <c r="AY399" s="12"/>
      <c r="AZ399" s="12" t="str">
        <f>IF(AND(A399="",B399="",E399="",G399="",I399="",AV399="",AX399=""),"",IF(OR(B399="skip",AV399="skip"),"SKIP",IF(OR(B399="to_candidate",AV399="proposed_name"),IF(OR(A399="",AW399="",AX399="",COUNTIF($A$6:$A$505,A399)&gt;1),"REVIEW","TO_PROPOSED"),IF(OR(B399="",A399="",E399="",G399="",I399="",U399="",AV399="",COUNTIF($A$6:$A$505,A399)&gt;1,(COUNTIFS('أرقام التواصل'!$A$6:$A$505,"client",'أرقام التواصل'!$B$6:$B$505,A399,'أرقام التواصل'!$I$6:$I$505,"TRUE")+COUNTIFS('أرقام التواصل'!$A$6:$A$505,"client",'أرقام التواصل'!$B$6:$B$505,A399,'أرقام التواصل'!$C$6:$C$505,1))=0),"REVIEW","READY"))))</f>
        <v/>
      </c>
      <c r="BA399" s="16" t="str">
        <f>IF(AZ399="","",IF(OR(AZ399="READY",AZ399="TO_PROPOSED"),"",IF(AZ399="SKIP","Skipped by decision",TRIM(IF(B399="","missing import_action; ","")&amp;IF(A399="","missing migration_customer_key; ","")&amp;IF(AND(A399&lt;&gt;"",COUNTIF($A$6:$A$505,A399)&gt;1),"duplicate migration_customer_key; ","")&amp;IF(AND(NOT(OR(B399="to_candidate",AV399="proposed_name")),E399=""),"missing branch_id; ","")&amp;IF(AND(NOT(OR(B399="to_candidate",AV399="proposed_name")),G399=""),"missing first_name; ","")&amp;IF(AND(NOT(OR(B399="to_candidate",AV399="proposed_name")),I399=""),"missing last_name; ","")&amp;IF(AND(NOT(OR(B399="to_candidate",AV399="proposed_name")),U399=""),"missing final_geo_unit_id; ","")&amp;IF(AV399="","missing final_destination; ","")&amp;IF(AND(NOT(OR(B399="to_candidate",AV399="proposed_name")),(COUNTIFS('أرقام التواصل'!$A$6:$A$505,"client",'أرقام التواصل'!$B$6:$B$505,A399,'أرقام التواصل'!$I$6:$I$505,"TRUE")+COUNTIFS('أرقام التواصل'!$A$6:$A$505,"client",'أرقام التواصل'!$B$6:$B$505,A399,'أرقام التواصل'!$C$6:$C$505,1))=0),"missing primary contact in أرقام التواصل; ","")&amp;IF(OR(B399="to_candidate",AV399="proposed_name"),IF(AW399="","missing proposed_move_reason; ","")&amp;IF(AX399="","missing proposed_name_key; ",""),"")))))</f>
        <v/>
      </c>
    </row>
    <row r="400" spans="1:53">
      <c r="A400" s="11"/>
      <c r="B400" s="12"/>
      <c r="C400" s="13"/>
      <c r="D400" s="12"/>
      <c r="E400" s="12"/>
      <c r="F400" s="12"/>
      <c r="G400" s="12"/>
      <c r="H400" s="12"/>
      <c r="I400" s="12"/>
      <c r="J400" s="12"/>
      <c r="K400" s="12" t="str">
        <f t="shared" si="11"/>
        <v/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 t="str">
        <f t="shared" si="12"/>
        <v/>
      </c>
      <c r="V400" s="12"/>
      <c r="W400" s="14"/>
      <c r="X400" s="14"/>
      <c r="Y400" s="13"/>
      <c r="Z400" s="12"/>
      <c r="AA400" s="12"/>
      <c r="AB400" s="12"/>
      <c r="AC400" s="12"/>
      <c r="AD400" s="15"/>
      <c r="AE400" s="12"/>
      <c r="AF400" s="13"/>
      <c r="AG400" s="12"/>
      <c r="AH400" s="12"/>
      <c r="AI400" s="15"/>
      <c r="AJ400" s="12"/>
      <c r="AK400" s="12"/>
      <c r="AL400" s="12"/>
      <c r="AM400" s="12"/>
      <c r="AN400" s="12"/>
      <c r="AO400" s="12"/>
      <c r="AP400" s="12"/>
      <c r="AQ400" s="15"/>
      <c r="AR400" s="12"/>
      <c r="AS400" s="12"/>
      <c r="AT400" s="12"/>
      <c r="AU400" s="12"/>
      <c r="AV400" s="12"/>
      <c r="AW400" s="12"/>
      <c r="AX400" s="13"/>
      <c r="AY400" s="12"/>
      <c r="AZ400" s="12" t="str">
        <f>IF(AND(A400="",B400="",E400="",G400="",I400="",AV400="",AX400=""),"",IF(OR(B400="skip",AV400="skip"),"SKIP",IF(OR(B400="to_candidate",AV400="proposed_name"),IF(OR(A400="",AW400="",AX400="",COUNTIF($A$6:$A$505,A400)&gt;1),"REVIEW","TO_PROPOSED"),IF(OR(B400="",A400="",E400="",G400="",I400="",U400="",AV400="",COUNTIF($A$6:$A$505,A400)&gt;1,(COUNTIFS('أرقام التواصل'!$A$6:$A$505,"client",'أرقام التواصل'!$B$6:$B$505,A400,'أرقام التواصل'!$I$6:$I$505,"TRUE")+COUNTIFS('أرقام التواصل'!$A$6:$A$505,"client",'أرقام التواصل'!$B$6:$B$505,A400,'أرقام التواصل'!$C$6:$C$505,1))=0),"REVIEW","READY"))))</f>
        <v/>
      </c>
      <c r="BA400" s="16" t="str">
        <f>IF(AZ400="","",IF(OR(AZ400="READY",AZ400="TO_PROPOSED"),"",IF(AZ400="SKIP","Skipped by decision",TRIM(IF(B400="","missing import_action; ","")&amp;IF(A400="","missing migration_customer_key; ","")&amp;IF(AND(A400&lt;&gt;"",COUNTIF($A$6:$A$505,A400)&gt;1),"duplicate migration_customer_key; ","")&amp;IF(AND(NOT(OR(B400="to_candidate",AV400="proposed_name")),E400=""),"missing branch_id; ","")&amp;IF(AND(NOT(OR(B400="to_candidate",AV400="proposed_name")),G400=""),"missing first_name; ","")&amp;IF(AND(NOT(OR(B400="to_candidate",AV400="proposed_name")),I400=""),"missing last_name; ","")&amp;IF(AND(NOT(OR(B400="to_candidate",AV400="proposed_name")),U400=""),"missing final_geo_unit_id; ","")&amp;IF(AV400="","missing final_destination; ","")&amp;IF(AND(NOT(OR(B400="to_candidate",AV400="proposed_name")),(COUNTIFS('أرقام التواصل'!$A$6:$A$505,"client",'أرقام التواصل'!$B$6:$B$505,A400,'أرقام التواصل'!$I$6:$I$505,"TRUE")+COUNTIFS('أرقام التواصل'!$A$6:$A$505,"client",'أرقام التواصل'!$B$6:$B$505,A400,'أرقام التواصل'!$C$6:$C$505,1))=0),"missing primary contact in أرقام التواصل; ","")&amp;IF(OR(B400="to_candidate",AV400="proposed_name"),IF(AW400="","missing proposed_move_reason; ","")&amp;IF(AX400="","missing proposed_name_key; ",""),"")))))</f>
        <v/>
      </c>
    </row>
    <row r="401" spans="1:53">
      <c r="A401" s="11"/>
      <c r="B401" s="12"/>
      <c r="C401" s="13"/>
      <c r="D401" s="12"/>
      <c r="E401" s="12"/>
      <c r="F401" s="12"/>
      <c r="G401" s="12"/>
      <c r="H401" s="12"/>
      <c r="I401" s="12"/>
      <c r="J401" s="12"/>
      <c r="K401" s="12" t="str">
        <f t="shared" si="11"/>
        <v/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 t="str">
        <f t="shared" si="12"/>
        <v/>
      </c>
      <c r="V401" s="12"/>
      <c r="W401" s="14"/>
      <c r="X401" s="14"/>
      <c r="Y401" s="13"/>
      <c r="Z401" s="12"/>
      <c r="AA401" s="12"/>
      <c r="AB401" s="12"/>
      <c r="AC401" s="12"/>
      <c r="AD401" s="15"/>
      <c r="AE401" s="12"/>
      <c r="AF401" s="13"/>
      <c r="AG401" s="12"/>
      <c r="AH401" s="12"/>
      <c r="AI401" s="15"/>
      <c r="AJ401" s="12"/>
      <c r="AK401" s="12"/>
      <c r="AL401" s="12"/>
      <c r="AM401" s="12"/>
      <c r="AN401" s="12"/>
      <c r="AO401" s="12"/>
      <c r="AP401" s="12"/>
      <c r="AQ401" s="15"/>
      <c r="AR401" s="12"/>
      <c r="AS401" s="12"/>
      <c r="AT401" s="12"/>
      <c r="AU401" s="12"/>
      <c r="AV401" s="12"/>
      <c r="AW401" s="12"/>
      <c r="AX401" s="13"/>
      <c r="AY401" s="12"/>
      <c r="AZ401" s="12" t="str">
        <f>IF(AND(A401="",B401="",E401="",G401="",I401="",AV401="",AX401=""),"",IF(OR(B401="skip",AV401="skip"),"SKIP",IF(OR(B401="to_candidate",AV401="proposed_name"),IF(OR(A401="",AW401="",AX401="",COUNTIF($A$6:$A$505,A401)&gt;1),"REVIEW","TO_PROPOSED"),IF(OR(B401="",A401="",E401="",G401="",I401="",U401="",AV401="",COUNTIF($A$6:$A$505,A401)&gt;1,(COUNTIFS('أرقام التواصل'!$A$6:$A$505,"client",'أرقام التواصل'!$B$6:$B$505,A401,'أرقام التواصل'!$I$6:$I$505,"TRUE")+COUNTIFS('أرقام التواصل'!$A$6:$A$505,"client",'أرقام التواصل'!$B$6:$B$505,A401,'أرقام التواصل'!$C$6:$C$505,1))=0),"REVIEW","READY"))))</f>
        <v/>
      </c>
      <c r="BA401" s="16" t="str">
        <f>IF(AZ401="","",IF(OR(AZ401="READY",AZ401="TO_PROPOSED"),"",IF(AZ401="SKIP","Skipped by decision",TRIM(IF(B401="","missing import_action; ","")&amp;IF(A401="","missing migration_customer_key; ","")&amp;IF(AND(A401&lt;&gt;"",COUNTIF($A$6:$A$505,A401)&gt;1),"duplicate migration_customer_key; ","")&amp;IF(AND(NOT(OR(B401="to_candidate",AV401="proposed_name")),E401=""),"missing branch_id; ","")&amp;IF(AND(NOT(OR(B401="to_candidate",AV401="proposed_name")),G401=""),"missing first_name; ","")&amp;IF(AND(NOT(OR(B401="to_candidate",AV401="proposed_name")),I401=""),"missing last_name; ","")&amp;IF(AND(NOT(OR(B401="to_candidate",AV401="proposed_name")),U401=""),"missing final_geo_unit_id; ","")&amp;IF(AV401="","missing final_destination; ","")&amp;IF(AND(NOT(OR(B401="to_candidate",AV401="proposed_name")),(COUNTIFS('أرقام التواصل'!$A$6:$A$505,"client",'أرقام التواصل'!$B$6:$B$505,A401,'أرقام التواصل'!$I$6:$I$505,"TRUE")+COUNTIFS('أرقام التواصل'!$A$6:$A$505,"client",'أرقام التواصل'!$B$6:$B$505,A401,'أرقام التواصل'!$C$6:$C$505,1))=0),"missing primary contact in أرقام التواصل; ","")&amp;IF(OR(B401="to_candidate",AV401="proposed_name"),IF(AW401="","missing proposed_move_reason; ","")&amp;IF(AX401="","missing proposed_name_key; ",""),"")))))</f>
        <v/>
      </c>
    </row>
    <row r="402" spans="1:53">
      <c r="A402" s="11"/>
      <c r="B402" s="12"/>
      <c r="C402" s="13"/>
      <c r="D402" s="12"/>
      <c r="E402" s="12"/>
      <c r="F402" s="12"/>
      <c r="G402" s="12"/>
      <c r="H402" s="12"/>
      <c r="I402" s="12"/>
      <c r="J402" s="12"/>
      <c r="K402" s="12" t="str">
        <f t="shared" si="11"/>
        <v/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 t="str">
        <f t="shared" si="12"/>
        <v/>
      </c>
      <c r="V402" s="12"/>
      <c r="W402" s="14"/>
      <c r="X402" s="14"/>
      <c r="Y402" s="13"/>
      <c r="Z402" s="12"/>
      <c r="AA402" s="12"/>
      <c r="AB402" s="12"/>
      <c r="AC402" s="12"/>
      <c r="AD402" s="15"/>
      <c r="AE402" s="12"/>
      <c r="AF402" s="13"/>
      <c r="AG402" s="12"/>
      <c r="AH402" s="12"/>
      <c r="AI402" s="15"/>
      <c r="AJ402" s="12"/>
      <c r="AK402" s="12"/>
      <c r="AL402" s="12"/>
      <c r="AM402" s="12"/>
      <c r="AN402" s="12"/>
      <c r="AO402" s="12"/>
      <c r="AP402" s="12"/>
      <c r="AQ402" s="15"/>
      <c r="AR402" s="12"/>
      <c r="AS402" s="12"/>
      <c r="AT402" s="12"/>
      <c r="AU402" s="12"/>
      <c r="AV402" s="12"/>
      <c r="AW402" s="12"/>
      <c r="AX402" s="13"/>
      <c r="AY402" s="12"/>
      <c r="AZ402" s="12" t="str">
        <f>IF(AND(A402="",B402="",E402="",G402="",I402="",AV402="",AX402=""),"",IF(OR(B402="skip",AV402="skip"),"SKIP",IF(OR(B402="to_candidate",AV402="proposed_name"),IF(OR(A402="",AW402="",AX402="",COUNTIF($A$6:$A$505,A402)&gt;1),"REVIEW","TO_PROPOSED"),IF(OR(B402="",A402="",E402="",G402="",I402="",U402="",AV402="",COUNTIF($A$6:$A$505,A402)&gt;1,(COUNTIFS('أرقام التواصل'!$A$6:$A$505,"client",'أرقام التواصل'!$B$6:$B$505,A402,'أرقام التواصل'!$I$6:$I$505,"TRUE")+COUNTIFS('أرقام التواصل'!$A$6:$A$505,"client",'أرقام التواصل'!$B$6:$B$505,A402,'أرقام التواصل'!$C$6:$C$505,1))=0),"REVIEW","READY"))))</f>
        <v/>
      </c>
      <c r="BA402" s="16" t="str">
        <f>IF(AZ402="","",IF(OR(AZ402="READY",AZ402="TO_PROPOSED"),"",IF(AZ402="SKIP","Skipped by decision",TRIM(IF(B402="","missing import_action; ","")&amp;IF(A402="","missing migration_customer_key; ","")&amp;IF(AND(A402&lt;&gt;"",COUNTIF($A$6:$A$505,A402)&gt;1),"duplicate migration_customer_key; ","")&amp;IF(AND(NOT(OR(B402="to_candidate",AV402="proposed_name")),E402=""),"missing branch_id; ","")&amp;IF(AND(NOT(OR(B402="to_candidate",AV402="proposed_name")),G402=""),"missing first_name; ","")&amp;IF(AND(NOT(OR(B402="to_candidate",AV402="proposed_name")),I402=""),"missing last_name; ","")&amp;IF(AND(NOT(OR(B402="to_candidate",AV402="proposed_name")),U402=""),"missing final_geo_unit_id; ","")&amp;IF(AV402="","missing final_destination; ","")&amp;IF(AND(NOT(OR(B402="to_candidate",AV402="proposed_name")),(COUNTIFS('أرقام التواصل'!$A$6:$A$505,"client",'أرقام التواصل'!$B$6:$B$505,A402,'أرقام التواصل'!$I$6:$I$505,"TRUE")+COUNTIFS('أرقام التواصل'!$A$6:$A$505,"client",'أرقام التواصل'!$B$6:$B$505,A402,'أرقام التواصل'!$C$6:$C$505,1))=0),"missing primary contact in أرقام التواصل; ","")&amp;IF(OR(B402="to_candidate",AV402="proposed_name"),IF(AW402="","missing proposed_move_reason; ","")&amp;IF(AX402="","missing proposed_name_key; ",""),"")))))</f>
        <v/>
      </c>
    </row>
    <row r="403" spans="1:53">
      <c r="A403" s="11"/>
      <c r="B403" s="12"/>
      <c r="C403" s="13"/>
      <c r="D403" s="12"/>
      <c r="E403" s="12"/>
      <c r="F403" s="12"/>
      <c r="G403" s="12"/>
      <c r="H403" s="12"/>
      <c r="I403" s="12"/>
      <c r="J403" s="12"/>
      <c r="K403" s="12" t="str">
        <f t="shared" si="11"/>
        <v/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 t="str">
        <f t="shared" si="12"/>
        <v/>
      </c>
      <c r="V403" s="12"/>
      <c r="W403" s="14"/>
      <c r="X403" s="14"/>
      <c r="Y403" s="13"/>
      <c r="Z403" s="12"/>
      <c r="AA403" s="12"/>
      <c r="AB403" s="12"/>
      <c r="AC403" s="12"/>
      <c r="AD403" s="15"/>
      <c r="AE403" s="12"/>
      <c r="AF403" s="13"/>
      <c r="AG403" s="12"/>
      <c r="AH403" s="12"/>
      <c r="AI403" s="15"/>
      <c r="AJ403" s="12"/>
      <c r="AK403" s="12"/>
      <c r="AL403" s="12"/>
      <c r="AM403" s="12"/>
      <c r="AN403" s="12"/>
      <c r="AO403" s="12"/>
      <c r="AP403" s="12"/>
      <c r="AQ403" s="15"/>
      <c r="AR403" s="12"/>
      <c r="AS403" s="12"/>
      <c r="AT403" s="12"/>
      <c r="AU403" s="12"/>
      <c r="AV403" s="12"/>
      <c r="AW403" s="12"/>
      <c r="AX403" s="13"/>
      <c r="AY403" s="12"/>
      <c r="AZ403" s="12" t="str">
        <f>IF(AND(A403="",B403="",E403="",G403="",I403="",AV403="",AX403=""),"",IF(OR(B403="skip",AV403="skip"),"SKIP",IF(OR(B403="to_candidate",AV403="proposed_name"),IF(OR(A403="",AW403="",AX403="",COUNTIF($A$6:$A$505,A403)&gt;1),"REVIEW","TO_PROPOSED"),IF(OR(B403="",A403="",E403="",G403="",I403="",U403="",AV403="",COUNTIF($A$6:$A$505,A403)&gt;1,(COUNTIFS('أرقام التواصل'!$A$6:$A$505,"client",'أرقام التواصل'!$B$6:$B$505,A403,'أرقام التواصل'!$I$6:$I$505,"TRUE")+COUNTIFS('أرقام التواصل'!$A$6:$A$505,"client",'أرقام التواصل'!$B$6:$B$505,A403,'أرقام التواصل'!$C$6:$C$505,1))=0),"REVIEW","READY"))))</f>
        <v/>
      </c>
      <c r="BA403" s="16" t="str">
        <f>IF(AZ403="","",IF(OR(AZ403="READY",AZ403="TO_PROPOSED"),"",IF(AZ403="SKIP","Skipped by decision",TRIM(IF(B403="","missing import_action; ","")&amp;IF(A403="","missing migration_customer_key; ","")&amp;IF(AND(A403&lt;&gt;"",COUNTIF($A$6:$A$505,A403)&gt;1),"duplicate migration_customer_key; ","")&amp;IF(AND(NOT(OR(B403="to_candidate",AV403="proposed_name")),E403=""),"missing branch_id; ","")&amp;IF(AND(NOT(OR(B403="to_candidate",AV403="proposed_name")),G403=""),"missing first_name; ","")&amp;IF(AND(NOT(OR(B403="to_candidate",AV403="proposed_name")),I403=""),"missing last_name; ","")&amp;IF(AND(NOT(OR(B403="to_candidate",AV403="proposed_name")),U403=""),"missing final_geo_unit_id; ","")&amp;IF(AV403="","missing final_destination; ","")&amp;IF(AND(NOT(OR(B403="to_candidate",AV403="proposed_name")),(COUNTIFS('أرقام التواصل'!$A$6:$A$505,"client",'أرقام التواصل'!$B$6:$B$505,A403,'أرقام التواصل'!$I$6:$I$505,"TRUE")+COUNTIFS('أرقام التواصل'!$A$6:$A$505,"client",'أرقام التواصل'!$B$6:$B$505,A403,'أرقام التواصل'!$C$6:$C$505,1))=0),"missing primary contact in أرقام التواصل; ","")&amp;IF(OR(B403="to_candidate",AV403="proposed_name"),IF(AW403="","missing proposed_move_reason; ","")&amp;IF(AX403="","missing proposed_name_key; ",""),"")))))</f>
        <v/>
      </c>
    </row>
    <row r="404" spans="1:53">
      <c r="A404" s="11"/>
      <c r="B404" s="12"/>
      <c r="C404" s="13"/>
      <c r="D404" s="12"/>
      <c r="E404" s="12"/>
      <c r="F404" s="12"/>
      <c r="G404" s="12"/>
      <c r="H404" s="12"/>
      <c r="I404" s="12"/>
      <c r="J404" s="12"/>
      <c r="K404" s="12" t="str">
        <f t="shared" si="11"/>
        <v/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 t="str">
        <f t="shared" si="12"/>
        <v/>
      </c>
      <c r="V404" s="12"/>
      <c r="W404" s="14"/>
      <c r="X404" s="14"/>
      <c r="Y404" s="13"/>
      <c r="Z404" s="12"/>
      <c r="AA404" s="12"/>
      <c r="AB404" s="12"/>
      <c r="AC404" s="12"/>
      <c r="AD404" s="15"/>
      <c r="AE404" s="12"/>
      <c r="AF404" s="13"/>
      <c r="AG404" s="12"/>
      <c r="AH404" s="12"/>
      <c r="AI404" s="15"/>
      <c r="AJ404" s="12"/>
      <c r="AK404" s="12"/>
      <c r="AL404" s="12"/>
      <c r="AM404" s="12"/>
      <c r="AN404" s="12"/>
      <c r="AO404" s="12"/>
      <c r="AP404" s="12"/>
      <c r="AQ404" s="15"/>
      <c r="AR404" s="12"/>
      <c r="AS404" s="12"/>
      <c r="AT404" s="12"/>
      <c r="AU404" s="12"/>
      <c r="AV404" s="12"/>
      <c r="AW404" s="12"/>
      <c r="AX404" s="13"/>
      <c r="AY404" s="12"/>
      <c r="AZ404" s="12" t="str">
        <f>IF(AND(A404="",B404="",E404="",G404="",I404="",AV404="",AX404=""),"",IF(OR(B404="skip",AV404="skip"),"SKIP",IF(OR(B404="to_candidate",AV404="proposed_name"),IF(OR(A404="",AW404="",AX404="",COUNTIF($A$6:$A$505,A404)&gt;1),"REVIEW","TO_PROPOSED"),IF(OR(B404="",A404="",E404="",G404="",I404="",U404="",AV404="",COUNTIF($A$6:$A$505,A404)&gt;1,(COUNTIFS('أرقام التواصل'!$A$6:$A$505,"client",'أرقام التواصل'!$B$6:$B$505,A404,'أرقام التواصل'!$I$6:$I$505,"TRUE")+COUNTIFS('أرقام التواصل'!$A$6:$A$505,"client",'أرقام التواصل'!$B$6:$B$505,A404,'أرقام التواصل'!$C$6:$C$505,1))=0),"REVIEW","READY"))))</f>
        <v/>
      </c>
      <c r="BA404" s="16" t="str">
        <f>IF(AZ404="","",IF(OR(AZ404="READY",AZ404="TO_PROPOSED"),"",IF(AZ404="SKIP","Skipped by decision",TRIM(IF(B404="","missing import_action; ","")&amp;IF(A404="","missing migration_customer_key; ","")&amp;IF(AND(A404&lt;&gt;"",COUNTIF($A$6:$A$505,A404)&gt;1),"duplicate migration_customer_key; ","")&amp;IF(AND(NOT(OR(B404="to_candidate",AV404="proposed_name")),E404=""),"missing branch_id; ","")&amp;IF(AND(NOT(OR(B404="to_candidate",AV404="proposed_name")),G404=""),"missing first_name; ","")&amp;IF(AND(NOT(OR(B404="to_candidate",AV404="proposed_name")),I404=""),"missing last_name; ","")&amp;IF(AND(NOT(OR(B404="to_candidate",AV404="proposed_name")),U404=""),"missing final_geo_unit_id; ","")&amp;IF(AV404="","missing final_destination; ","")&amp;IF(AND(NOT(OR(B404="to_candidate",AV404="proposed_name")),(COUNTIFS('أرقام التواصل'!$A$6:$A$505,"client",'أرقام التواصل'!$B$6:$B$505,A404,'أرقام التواصل'!$I$6:$I$505,"TRUE")+COUNTIFS('أرقام التواصل'!$A$6:$A$505,"client",'أرقام التواصل'!$B$6:$B$505,A404,'أرقام التواصل'!$C$6:$C$505,1))=0),"missing primary contact in أرقام التواصل; ","")&amp;IF(OR(B404="to_candidate",AV404="proposed_name"),IF(AW404="","missing proposed_move_reason; ","")&amp;IF(AX404="","missing proposed_name_key; ",""),"")))))</f>
        <v/>
      </c>
    </row>
    <row r="405" spans="1:53">
      <c r="A405" s="11"/>
      <c r="B405" s="12"/>
      <c r="C405" s="13"/>
      <c r="D405" s="12"/>
      <c r="E405" s="12"/>
      <c r="F405" s="12"/>
      <c r="G405" s="12"/>
      <c r="H405" s="12"/>
      <c r="I405" s="12"/>
      <c r="J405" s="12"/>
      <c r="K405" s="12" t="str">
        <f t="shared" si="11"/>
        <v/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 t="str">
        <f t="shared" si="12"/>
        <v/>
      </c>
      <c r="V405" s="12"/>
      <c r="W405" s="14"/>
      <c r="X405" s="14"/>
      <c r="Y405" s="13"/>
      <c r="Z405" s="12"/>
      <c r="AA405" s="12"/>
      <c r="AB405" s="12"/>
      <c r="AC405" s="12"/>
      <c r="AD405" s="15"/>
      <c r="AE405" s="12"/>
      <c r="AF405" s="13"/>
      <c r="AG405" s="12"/>
      <c r="AH405" s="12"/>
      <c r="AI405" s="15"/>
      <c r="AJ405" s="12"/>
      <c r="AK405" s="12"/>
      <c r="AL405" s="12"/>
      <c r="AM405" s="12"/>
      <c r="AN405" s="12"/>
      <c r="AO405" s="12"/>
      <c r="AP405" s="12"/>
      <c r="AQ405" s="15"/>
      <c r="AR405" s="12"/>
      <c r="AS405" s="12"/>
      <c r="AT405" s="12"/>
      <c r="AU405" s="12"/>
      <c r="AV405" s="12"/>
      <c r="AW405" s="12"/>
      <c r="AX405" s="13"/>
      <c r="AY405" s="12"/>
      <c r="AZ405" s="12" t="str">
        <f>IF(AND(A405="",B405="",E405="",G405="",I405="",AV405="",AX405=""),"",IF(OR(B405="skip",AV405="skip"),"SKIP",IF(OR(B405="to_candidate",AV405="proposed_name"),IF(OR(A405="",AW405="",AX405="",COUNTIF($A$6:$A$505,A405)&gt;1),"REVIEW","TO_PROPOSED"),IF(OR(B405="",A405="",E405="",G405="",I405="",U405="",AV405="",COUNTIF($A$6:$A$505,A405)&gt;1,(COUNTIFS('أرقام التواصل'!$A$6:$A$505,"client",'أرقام التواصل'!$B$6:$B$505,A405,'أرقام التواصل'!$I$6:$I$505,"TRUE")+COUNTIFS('أرقام التواصل'!$A$6:$A$505,"client",'أرقام التواصل'!$B$6:$B$505,A405,'أرقام التواصل'!$C$6:$C$505,1))=0),"REVIEW","READY"))))</f>
        <v/>
      </c>
      <c r="BA405" s="16" t="str">
        <f>IF(AZ405="","",IF(OR(AZ405="READY",AZ405="TO_PROPOSED"),"",IF(AZ405="SKIP","Skipped by decision",TRIM(IF(B405="","missing import_action; ","")&amp;IF(A405="","missing migration_customer_key; ","")&amp;IF(AND(A405&lt;&gt;"",COUNTIF($A$6:$A$505,A405)&gt;1),"duplicate migration_customer_key; ","")&amp;IF(AND(NOT(OR(B405="to_candidate",AV405="proposed_name")),E405=""),"missing branch_id; ","")&amp;IF(AND(NOT(OR(B405="to_candidate",AV405="proposed_name")),G405=""),"missing first_name; ","")&amp;IF(AND(NOT(OR(B405="to_candidate",AV405="proposed_name")),I405=""),"missing last_name; ","")&amp;IF(AND(NOT(OR(B405="to_candidate",AV405="proposed_name")),U405=""),"missing final_geo_unit_id; ","")&amp;IF(AV405="","missing final_destination; ","")&amp;IF(AND(NOT(OR(B405="to_candidate",AV405="proposed_name")),(COUNTIFS('أرقام التواصل'!$A$6:$A$505,"client",'أرقام التواصل'!$B$6:$B$505,A405,'أرقام التواصل'!$I$6:$I$505,"TRUE")+COUNTIFS('أرقام التواصل'!$A$6:$A$505,"client",'أرقام التواصل'!$B$6:$B$505,A405,'أرقام التواصل'!$C$6:$C$505,1))=0),"missing primary contact in أرقام التواصل; ","")&amp;IF(OR(B405="to_candidate",AV405="proposed_name"),IF(AW405="","missing proposed_move_reason; ","")&amp;IF(AX405="","missing proposed_name_key; ",""),"")))))</f>
        <v/>
      </c>
    </row>
    <row r="406" spans="1:53">
      <c r="A406" s="11"/>
      <c r="B406" s="12"/>
      <c r="C406" s="13"/>
      <c r="D406" s="12"/>
      <c r="E406" s="12"/>
      <c r="F406" s="12"/>
      <c r="G406" s="12"/>
      <c r="H406" s="12"/>
      <c r="I406" s="12"/>
      <c r="J406" s="12"/>
      <c r="K406" s="12" t="str">
        <f t="shared" si="11"/>
        <v/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 t="str">
        <f t="shared" si="12"/>
        <v/>
      </c>
      <c r="V406" s="12"/>
      <c r="W406" s="14"/>
      <c r="X406" s="14"/>
      <c r="Y406" s="13"/>
      <c r="Z406" s="12"/>
      <c r="AA406" s="12"/>
      <c r="AB406" s="12"/>
      <c r="AC406" s="12"/>
      <c r="AD406" s="15"/>
      <c r="AE406" s="12"/>
      <c r="AF406" s="13"/>
      <c r="AG406" s="12"/>
      <c r="AH406" s="12"/>
      <c r="AI406" s="15"/>
      <c r="AJ406" s="12"/>
      <c r="AK406" s="12"/>
      <c r="AL406" s="12"/>
      <c r="AM406" s="12"/>
      <c r="AN406" s="12"/>
      <c r="AO406" s="12"/>
      <c r="AP406" s="12"/>
      <c r="AQ406" s="15"/>
      <c r="AR406" s="12"/>
      <c r="AS406" s="12"/>
      <c r="AT406" s="12"/>
      <c r="AU406" s="12"/>
      <c r="AV406" s="12"/>
      <c r="AW406" s="12"/>
      <c r="AX406" s="13"/>
      <c r="AY406" s="12"/>
      <c r="AZ406" s="12" t="str">
        <f>IF(AND(A406="",B406="",E406="",G406="",I406="",AV406="",AX406=""),"",IF(OR(B406="skip",AV406="skip"),"SKIP",IF(OR(B406="to_candidate",AV406="proposed_name"),IF(OR(A406="",AW406="",AX406="",COUNTIF($A$6:$A$505,A406)&gt;1),"REVIEW","TO_PROPOSED"),IF(OR(B406="",A406="",E406="",G406="",I406="",U406="",AV406="",COUNTIF($A$6:$A$505,A406)&gt;1,(COUNTIFS('أرقام التواصل'!$A$6:$A$505,"client",'أرقام التواصل'!$B$6:$B$505,A406,'أرقام التواصل'!$I$6:$I$505,"TRUE")+COUNTIFS('أرقام التواصل'!$A$6:$A$505,"client",'أرقام التواصل'!$B$6:$B$505,A406,'أرقام التواصل'!$C$6:$C$505,1))=0),"REVIEW","READY"))))</f>
        <v/>
      </c>
      <c r="BA406" s="16" t="str">
        <f>IF(AZ406="","",IF(OR(AZ406="READY",AZ406="TO_PROPOSED"),"",IF(AZ406="SKIP","Skipped by decision",TRIM(IF(B406="","missing import_action; ","")&amp;IF(A406="","missing migration_customer_key; ","")&amp;IF(AND(A406&lt;&gt;"",COUNTIF($A$6:$A$505,A406)&gt;1),"duplicate migration_customer_key; ","")&amp;IF(AND(NOT(OR(B406="to_candidate",AV406="proposed_name")),E406=""),"missing branch_id; ","")&amp;IF(AND(NOT(OR(B406="to_candidate",AV406="proposed_name")),G406=""),"missing first_name; ","")&amp;IF(AND(NOT(OR(B406="to_candidate",AV406="proposed_name")),I406=""),"missing last_name; ","")&amp;IF(AND(NOT(OR(B406="to_candidate",AV406="proposed_name")),U406=""),"missing final_geo_unit_id; ","")&amp;IF(AV406="","missing final_destination; ","")&amp;IF(AND(NOT(OR(B406="to_candidate",AV406="proposed_name")),(COUNTIFS('أرقام التواصل'!$A$6:$A$505,"client",'أرقام التواصل'!$B$6:$B$505,A406,'أرقام التواصل'!$I$6:$I$505,"TRUE")+COUNTIFS('أرقام التواصل'!$A$6:$A$505,"client",'أرقام التواصل'!$B$6:$B$505,A406,'أرقام التواصل'!$C$6:$C$505,1))=0),"missing primary contact in أرقام التواصل; ","")&amp;IF(OR(B406="to_candidate",AV406="proposed_name"),IF(AW406="","missing proposed_move_reason; ","")&amp;IF(AX406="","missing proposed_name_key; ",""),"")))))</f>
        <v/>
      </c>
    </row>
    <row r="407" spans="1:53">
      <c r="A407" s="11"/>
      <c r="B407" s="12"/>
      <c r="C407" s="13"/>
      <c r="D407" s="12"/>
      <c r="E407" s="12"/>
      <c r="F407" s="12"/>
      <c r="G407" s="12"/>
      <c r="H407" s="12"/>
      <c r="I407" s="12"/>
      <c r="J407" s="12"/>
      <c r="K407" s="12" t="str">
        <f t="shared" si="11"/>
        <v/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 t="str">
        <f t="shared" si="12"/>
        <v/>
      </c>
      <c r="V407" s="12"/>
      <c r="W407" s="14"/>
      <c r="X407" s="14"/>
      <c r="Y407" s="13"/>
      <c r="Z407" s="12"/>
      <c r="AA407" s="12"/>
      <c r="AB407" s="12"/>
      <c r="AC407" s="12"/>
      <c r="AD407" s="15"/>
      <c r="AE407" s="12"/>
      <c r="AF407" s="13"/>
      <c r="AG407" s="12"/>
      <c r="AH407" s="12"/>
      <c r="AI407" s="15"/>
      <c r="AJ407" s="12"/>
      <c r="AK407" s="12"/>
      <c r="AL407" s="12"/>
      <c r="AM407" s="12"/>
      <c r="AN407" s="12"/>
      <c r="AO407" s="12"/>
      <c r="AP407" s="12"/>
      <c r="AQ407" s="15"/>
      <c r="AR407" s="12"/>
      <c r="AS407" s="12"/>
      <c r="AT407" s="12"/>
      <c r="AU407" s="12"/>
      <c r="AV407" s="12"/>
      <c r="AW407" s="12"/>
      <c r="AX407" s="13"/>
      <c r="AY407" s="12"/>
      <c r="AZ407" s="12" t="str">
        <f>IF(AND(A407="",B407="",E407="",G407="",I407="",AV407="",AX407=""),"",IF(OR(B407="skip",AV407="skip"),"SKIP",IF(OR(B407="to_candidate",AV407="proposed_name"),IF(OR(A407="",AW407="",AX407="",COUNTIF($A$6:$A$505,A407)&gt;1),"REVIEW","TO_PROPOSED"),IF(OR(B407="",A407="",E407="",G407="",I407="",U407="",AV407="",COUNTIF($A$6:$A$505,A407)&gt;1,(COUNTIFS('أرقام التواصل'!$A$6:$A$505,"client",'أرقام التواصل'!$B$6:$B$505,A407,'أرقام التواصل'!$I$6:$I$505,"TRUE")+COUNTIFS('أرقام التواصل'!$A$6:$A$505,"client",'أرقام التواصل'!$B$6:$B$505,A407,'أرقام التواصل'!$C$6:$C$505,1))=0),"REVIEW","READY"))))</f>
        <v/>
      </c>
      <c r="BA407" s="16" t="str">
        <f>IF(AZ407="","",IF(OR(AZ407="READY",AZ407="TO_PROPOSED"),"",IF(AZ407="SKIP","Skipped by decision",TRIM(IF(B407="","missing import_action; ","")&amp;IF(A407="","missing migration_customer_key; ","")&amp;IF(AND(A407&lt;&gt;"",COUNTIF($A$6:$A$505,A407)&gt;1),"duplicate migration_customer_key; ","")&amp;IF(AND(NOT(OR(B407="to_candidate",AV407="proposed_name")),E407=""),"missing branch_id; ","")&amp;IF(AND(NOT(OR(B407="to_candidate",AV407="proposed_name")),G407=""),"missing first_name; ","")&amp;IF(AND(NOT(OR(B407="to_candidate",AV407="proposed_name")),I407=""),"missing last_name; ","")&amp;IF(AND(NOT(OR(B407="to_candidate",AV407="proposed_name")),U407=""),"missing final_geo_unit_id; ","")&amp;IF(AV407="","missing final_destination; ","")&amp;IF(AND(NOT(OR(B407="to_candidate",AV407="proposed_name")),(COUNTIFS('أرقام التواصل'!$A$6:$A$505,"client",'أرقام التواصل'!$B$6:$B$505,A407,'أرقام التواصل'!$I$6:$I$505,"TRUE")+COUNTIFS('أرقام التواصل'!$A$6:$A$505,"client",'أرقام التواصل'!$B$6:$B$505,A407,'أرقام التواصل'!$C$6:$C$505,1))=0),"missing primary contact in أرقام التواصل; ","")&amp;IF(OR(B407="to_candidate",AV407="proposed_name"),IF(AW407="","missing proposed_move_reason; ","")&amp;IF(AX407="","missing proposed_name_key; ",""),"")))))</f>
        <v/>
      </c>
    </row>
    <row r="408" spans="1:53">
      <c r="A408" s="11"/>
      <c r="B408" s="12"/>
      <c r="C408" s="13"/>
      <c r="D408" s="12"/>
      <c r="E408" s="12"/>
      <c r="F408" s="12"/>
      <c r="G408" s="12"/>
      <c r="H408" s="12"/>
      <c r="I408" s="12"/>
      <c r="J408" s="12"/>
      <c r="K408" s="12" t="str">
        <f t="shared" si="11"/>
        <v/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 t="str">
        <f t="shared" si="12"/>
        <v/>
      </c>
      <c r="V408" s="12"/>
      <c r="W408" s="14"/>
      <c r="X408" s="14"/>
      <c r="Y408" s="13"/>
      <c r="Z408" s="12"/>
      <c r="AA408" s="12"/>
      <c r="AB408" s="12"/>
      <c r="AC408" s="12"/>
      <c r="AD408" s="15"/>
      <c r="AE408" s="12"/>
      <c r="AF408" s="13"/>
      <c r="AG408" s="12"/>
      <c r="AH408" s="12"/>
      <c r="AI408" s="15"/>
      <c r="AJ408" s="12"/>
      <c r="AK408" s="12"/>
      <c r="AL408" s="12"/>
      <c r="AM408" s="12"/>
      <c r="AN408" s="12"/>
      <c r="AO408" s="12"/>
      <c r="AP408" s="12"/>
      <c r="AQ408" s="15"/>
      <c r="AR408" s="12"/>
      <c r="AS408" s="12"/>
      <c r="AT408" s="12"/>
      <c r="AU408" s="12"/>
      <c r="AV408" s="12"/>
      <c r="AW408" s="12"/>
      <c r="AX408" s="13"/>
      <c r="AY408" s="12"/>
      <c r="AZ408" s="12" t="str">
        <f>IF(AND(A408="",B408="",E408="",G408="",I408="",AV408="",AX408=""),"",IF(OR(B408="skip",AV408="skip"),"SKIP",IF(OR(B408="to_candidate",AV408="proposed_name"),IF(OR(A408="",AW408="",AX408="",COUNTIF($A$6:$A$505,A408)&gt;1),"REVIEW","TO_PROPOSED"),IF(OR(B408="",A408="",E408="",G408="",I408="",U408="",AV408="",COUNTIF($A$6:$A$505,A408)&gt;1,(COUNTIFS('أرقام التواصل'!$A$6:$A$505,"client",'أرقام التواصل'!$B$6:$B$505,A408,'أرقام التواصل'!$I$6:$I$505,"TRUE")+COUNTIFS('أرقام التواصل'!$A$6:$A$505,"client",'أرقام التواصل'!$B$6:$B$505,A408,'أرقام التواصل'!$C$6:$C$505,1))=0),"REVIEW","READY"))))</f>
        <v/>
      </c>
      <c r="BA408" s="16" t="str">
        <f>IF(AZ408="","",IF(OR(AZ408="READY",AZ408="TO_PROPOSED"),"",IF(AZ408="SKIP","Skipped by decision",TRIM(IF(B408="","missing import_action; ","")&amp;IF(A408="","missing migration_customer_key; ","")&amp;IF(AND(A408&lt;&gt;"",COUNTIF($A$6:$A$505,A408)&gt;1),"duplicate migration_customer_key; ","")&amp;IF(AND(NOT(OR(B408="to_candidate",AV408="proposed_name")),E408=""),"missing branch_id; ","")&amp;IF(AND(NOT(OR(B408="to_candidate",AV408="proposed_name")),G408=""),"missing first_name; ","")&amp;IF(AND(NOT(OR(B408="to_candidate",AV408="proposed_name")),I408=""),"missing last_name; ","")&amp;IF(AND(NOT(OR(B408="to_candidate",AV408="proposed_name")),U408=""),"missing final_geo_unit_id; ","")&amp;IF(AV408="","missing final_destination; ","")&amp;IF(AND(NOT(OR(B408="to_candidate",AV408="proposed_name")),(COUNTIFS('أرقام التواصل'!$A$6:$A$505,"client",'أرقام التواصل'!$B$6:$B$505,A408,'أرقام التواصل'!$I$6:$I$505,"TRUE")+COUNTIFS('أرقام التواصل'!$A$6:$A$505,"client",'أرقام التواصل'!$B$6:$B$505,A408,'أرقام التواصل'!$C$6:$C$505,1))=0),"missing primary contact in أرقام التواصل; ","")&amp;IF(OR(B408="to_candidate",AV408="proposed_name"),IF(AW408="","missing proposed_move_reason; ","")&amp;IF(AX408="","missing proposed_name_key; ",""),"")))))</f>
        <v/>
      </c>
    </row>
    <row r="409" spans="1:53">
      <c r="A409" s="11"/>
      <c r="B409" s="12"/>
      <c r="C409" s="13"/>
      <c r="D409" s="12"/>
      <c r="E409" s="12"/>
      <c r="F409" s="12"/>
      <c r="G409" s="12"/>
      <c r="H409" s="12"/>
      <c r="I409" s="12"/>
      <c r="J409" s="12"/>
      <c r="K409" s="12" t="str">
        <f t="shared" si="11"/>
        <v/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 t="str">
        <f t="shared" si="12"/>
        <v/>
      </c>
      <c r="V409" s="12"/>
      <c r="W409" s="14"/>
      <c r="X409" s="14"/>
      <c r="Y409" s="13"/>
      <c r="Z409" s="12"/>
      <c r="AA409" s="12"/>
      <c r="AB409" s="12"/>
      <c r="AC409" s="12"/>
      <c r="AD409" s="15"/>
      <c r="AE409" s="12"/>
      <c r="AF409" s="13"/>
      <c r="AG409" s="12"/>
      <c r="AH409" s="12"/>
      <c r="AI409" s="15"/>
      <c r="AJ409" s="12"/>
      <c r="AK409" s="12"/>
      <c r="AL409" s="12"/>
      <c r="AM409" s="12"/>
      <c r="AN409" s="12"/>
      <c r="AO409" s="12"/>
      <c r="AP409" s="12"/>
      <c r="AQ409" s="15"/>
      <c r="AR409" s="12"/>
      <c r="AS409" s="12"/>
      <c r="AT409" s="12"/>
      <c r="AU409" s="12"/>
      <c r="AV409" s="12"/>
      <c r="AW409" s="12"/>
      <c r="AX409" s="13"/>
      <c r="AY409" s="12"/>
      <c r="AZ409" s="12" t="str">
        <f>IF(AND(A409="",B409="",E409="",G409="",I409="",AV409="",AX409=""),"",IF(OR(B409="skip",AV409="skip"),"SKIP",IF(OR(B409="to_candidate",AV409="proposed_name"),IF(OR(A409="",AW409="",AX409="",COUNTIF($A$6:$A$505,A409)&gt;1),"REVIEW","TO_PROPOSED"),IF(OR(B409="",A409="",E409="",G409="",I409="",U409="",AV409="",COUNTIF($A$6:$A$505,A409)&gt;1,(COUNTIFS('أرقام التواصل'!$A$6:$A$505,"client",'أرقام التواصل'!$B$6:$B$505,A409,'أرقام التواصل'!$I$6:$I$505,"TRUE")+COUNTIFS('أرقام التواصل'!$A$6:$A$505,"client",'أرقام التواصل'!$B$6:$B$505,A409,'أرقام التواصل'!$C$6:$C$505,1))=0),"REVIEW","READY"))))</f>
        <v/>
      </c>
      <c r="BA409" s="16" t="str">
        <f>IF(AZ409="","",IF(OR(AZ409="READY",AZ409="TO_PROPOSED"),"",IF(AZ409="SKIP","Skipped by decision",TRIM(IF(B409="","missing import_action; ","")&amp;IF(A409="","missing migration_customer_key; ","")&amp;IF(AND(A409&lt;&gt;"",COUNTIF($A$6:$A$505,A409)&gt;1),"duplicate migration_customer_key; ","")&amp;IF(AND(NOT(OR(B409="to_candidate",AV409="proposed_name")),E409=""),"missing branch_id; ","")&amp;IF(AND(NOT(OR(B409="to_candidate",AV409="proposed_name")),G409=""),"missing first_name; ","")&amp;IF(AND(NOT(OR(B409="to_candidate",AV409="proposed_name")),I409=""),"missing last_name; ","")&amp;IF(AND(NOT(OR(B409="to_candidate",AV409="proposed_name")),U409=""),"missing final_geo_unit_id; ","")&amp;IF(AV409="","missing final_destination; ","")&amp;IF(AND(NOT(OR(B409="to_candidate",AV409="proposed_name")),(COUNTIFS('أرقام التواصل'!$A$6:$A$505,"client",'أرقام التواصل'!$B$6:$B$505,A409,'أرقام التواصل'!$I$6:$I$505,"TRUE")+COUNTIFS('أرقام التواصل'!$A$6:$A$505,"client",'أرقام التواصل'!$B$6:$B$505,A409,'أرقام التواصل'!$C$6:$C$505,1))=0),"missing primary contact in أرقام التواصل; ","")&amp;IF(OR(B409="to_candidate",AV409="proposed_name"),IF(AW409="","missing proposed_move_reason; ","")&amp;IF(AX409="","missing proposed_name_key; ",""),"")))))</f>
        <v/>
      </c>
    </row>
    <row r="410" spans="1:53">
      <c r="A410" s="11"/>
      <c r="B410" s="12"/>
      <c r="C410" s="13"/>
      <c r="D410" s="12"/>
      <c r="E410" s="12"/>
      <c r="F410" s="12"/>
      <c r="G410" s="12"/>
      <c r="H410" s="12"/>
      <c r="I410" s="12"/>
      <c r="J410" s="12"/>
      <c r="K410" s="12" t="str">
        <f t="shared" si="11"/>
        <v/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 t="str">
        <f t="shared" si="12"/>
        <v/>
      </c>
      <c r="V410" s="12"/>
      <c r="W410" s="14"/>
      <c r="X410" s="14"/>
      <c r="Y410" s="13"/>
      <c r="Z410" s="12"/>
      <c r="AA410" s="12"/>
      <c r="AB410" s="12"/>
      <c r="AC410" s="12"/>
      <c r="AD410" s="15"/>
      <c r="AE410" s="12"/>
      <c r="AF410" s="13"/>
      <c r="AG410" s="12"/>
      <c r="AH410" s="12"/>
      <c r="AI410" s="15"/>
      <c r="AJ410" s="12"/>
      <c r="AK410" s="12"/>
      <c r="AL410" s="12"/>
      <c r="AM410" s="12"/>
      <c r="AN410" s="12"/>
      <c r="AO410" s="12"/>
      <c r="AP410" s="12"/>
      <c r="AQ410" s="15"/>
      <c r="AR410" s="12"/>
      <c r="AS410" s="12"/>
      <c r="AT410" s="12"/>
      <c r="AU410" s="12"/>
      <c r="AV410" s="12"/>
      <c r="AW410" s="12"/>
      <c r="AX410" s="13"/>
      <c r="AY410" s="12"/>
      <c r="AZ410" s="12" t="str">
        <f>IF(AND(A410="",B410="",E410="",G410="",I410="",AV410="",AX410=""),"",IF(OR(B410="skip",AV410="skip"),"SKIP",IF(OR(B410="to_candidate",AV410="proposed_name"),IF(OR(A410="",AW410="",AX410="",COUNTIF($A$6:$A$505,A410)&gt;1),"REVIEW","TO_PROPOSED"),IF(OR(B410="",A410="",E410="",G410="",I410="",U410="",AV410="",COUNTIF($A$6:$A$505,A410)&gt;1,(COUNTIFS('أرقام التواصل'!$A$6:$A$505,"client",'أرقام التواصل'!$B$6:$B$505,A410,'أرقام التواصل'!$I$6:$I$505,"TRUE")+COUNTIFS('أرقام التواصل'!$A$6:$A$505,"client",'أرقام التواصل'!$B$6:$B$505,A410,'أرقام التواصل'!$C$6:$C$505,1))=0),"REVIEW","READY"))))</f>
        <v/>
      </c>
      <c r="BA410" s="16" t="str">
        <f>IF(AZ410="","",IF(OR(AZ410="READY",AZ410="TO_PROPOSED"),"",IF(AZ410="SKIP","Skipped by decision",TRIM(IF(B410="","missing import_action; ","")&amp;IF(A410="","missing migration_customer_key; ","")&amp;IF(AND(A410&lt;&gt;"",COUNTIF($A$6:$A$505,A410)&gt;1),"duplicate migration_customer_key; ","")&amp;IF(AND(NOT(OR(B410="to_candidate",AV410="proposed_name")),E410=""),"missing branch_id; ","")&amp;IF(AND(NOT(OR(B410="to_candidate",AV410="proposed_name")),G410=""),"missing first_name; ","")&amp;IF(AND(NOT(OR(B410="to_candidate",AV410="proposed_name")),I410=""),"missing last_name; ","")&amp;IF(AND(NOT(OR(B410="to_candidate",AV410="proposed_name")),U410=""),"missing final_geo_unit_id; ","")&amp;IF(AV410="","missing final_destination; ","")&amp;IF(AND(NOT(OR(B410="to_candidate",AV410="proposed_name")),(COUNTIFS('أرقام التواصل'!$A$6:$A$505,"client",'أرقام التواصل'!$B$6:$B$505,A410,'أرقام التواصل'!$I$6:$I$505,"TRUE")+COUNTIFS('أرقام التواصل'!$A$6:$A$505,"client",'أرقام التواصل'!$B$6:$B$505,A410,'أرقام التواصل'!$C$6:$C$505,1))=0),"missing primary contact in أرقام التواصل; ","")&amp;IF(OR(B410="to_candidate",AV410="proposed_name"),IF(AW410="","missing proposed_move_reason; ","")&amp;IF(AX410="","missing proposed_name_key; ",""),"")))))</f>
        <v/>
      </c>
    </row>
    <row r="411" spans="1:53">
      <c r="A411" s="11"/>
      <c r="B411" s="12"/>
      <c r="C411" s="13"/>
      <c r="D411" s="12"/>
      <c r="E411" s="12"/>
      <c r="F411" s="12"/>
      <c r="G411" s="12"/>
      <c r="H411" s="12"/>
      <c r="I411" s="12"/>
      <c r="J411" s="12"/>
      <c r="K411" s="12" t="str">
        <f t="shared" si="11"/>
        <v/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 t="str">
        <f t="shared" si="12"/>
        <v/>
      </c>
      <c r="V411" s="12"/>
      <c r="W411" s="14"/>
      <c r="X411" s="14"/>
      <c r="Y411" s="13"/>
      <c r="Z411" s="12"/>
      <c r="AA411" s="12"/>
      <c r="AB411" s="12"/>
      <c r="AC411" s="12"/>
      <c r="AD411" s="15"/>
      <c r="AE411" s="12"/>
      <c r="AF411" s="13"/>
      <c r="AG411" s="12"/>
      <c r="AH411" s="12"/>
      <c r="AI411" s="15"/>
      <c r="AJ411" s="12"/>
      <c r="AK411" s="12"/>
      <c r="AL411" s="12"/>
      <c r="AM411" s="12"/>
      <c r="AN411" s="12"/>
      <c r="AO411" s="12"/>
      <c r="AP411" s="12"/>
      <c r="AQ411" s="15"/>
      <c r="AR411" s="12"/>
      <c r="AS411" s="12"/>
      <c r="AT411" s="12"/>
      <c r="AU411" s="12"/>
      <c r="AV411" s="12"/>
      <c r="AW411" s="12"/>
      <c r="AX411" s="13"/>
      <c r="AY411" s="12"/>
      <c r="AZ411" s="12" t="str">
        <f>IF(AND(A411="",B411="",E411="",G411="",I411="",AV411="",AX411=""),"",IF(OR(B411="skip",AV411="skip"),"SKIP",IF(OR(B411="to_candidate",AV411="proposed_name"),IF(OR(A411="",AW411="",AX411="",COUNTIF($A$6:$A$505,A411)&gt;1),"REVIEW","TO_PROPOSED"),IF(OR(B411="",A411="",E411="",G411="",I411="",U411="",AV411="",COUNTIF($A$6:$A$505,A411)&gt;1,(COUNTIFS('أرقام التواصل'!$A$6:$A$505,"client",'أرقام التواصل'!$B$6:$B$505,A411,'أرقام التواصل'!$I$6:$I$505,"TRUE")+COUNTIFS('أرقام التواصل'!$A$6:$A$505,"client",'أرقام التواصل'!$B$6:$B$505,A411,'أرقام التواصل'!$C$6:$C$505,1))=0),"REVIEW","READY"))))</f>
        <v/>
      </c>
      <c r="BA411" s="16" t="str">
        <f>IF(AZ411="","",IF(OR(AZ411="READY",AZ411="TO_PROPOSED"),"",IF(AZ411="SKIP","Skipped by decision",TRIM(IF(B411="","missing import_action; ","")&amp;IF(A411="","missing migration_customer_key; ","")&amp;IF(AND(A411&lt;&gt;"",COUNTIF($A$6:$A$505,A411)&gt;1),"duplicate migration_customer_key; ","")&amp;IF(AND(NOT(OR(B411="to_candidate",AV411="proposed_name")),E411=""),"missing branch_id; ","")&amp;IF(AND(NOT(OR(B411="to_candidate",AV411="proposed_name")),G411=""),"missing first_name; ","")&amp;IF(AND(NOT(OR(B411="to_candidate",AV411="proposed_name")),I411=""),"missing last_name; ","")&amp;IF(AND(NOT(OR(B411="to_candidate",AV411="proposed_name")),U411=""),"missing final_geo_unit_id; ","")&amp;IF(AV411="","missing final_destination; ","")&amp;IF(AND(NOT(OR(B411="to_candidate",AV411="proposed_name")),(COUNTIFS('أرقام التواصل'!$A$6:$A$505,"client",'أرقام التواصل'!$B$6:$B$505,A411,'أرقام التواصل'!$I$6:$I$505,"TRUE")+COUNTIFS('أرقام التواصل'!$A$6:$A$505,"client",'أرقام التواصل'!$B$6:$B$505,A411,'أرقام التواصل'!$C$6:$C$505,1))=0),"missing primary contact in أرقام التواصل; ","")&amp;IF(OR(B411="to_candidate",AV411="proposed_name"),IF(AW411="","missing proposed_move_reason; ","")&amp;IF(AX411="","missing proposed_name_key; ",""),"")))))</f>
        <v/>
      </c>
    </row>
    <row r="412" spans="1:53">
      <c r="A412" s="11"/>
      <c r="B412" s="12"/>
      <c r="C412" s="13"/>
      <c r="D412" s="12"/>
      <c r="E412" s="12"/>
      <c r="F412" s="12"/>
      <c r="G412" s="12"/>
      <c r="H412" s="12"/>
      <c r="I412" s="12"/>
      <c r="J412" s="12"/>
      <c r="K412" s="12" t="str">
        <f t="shared" si="11"/>
        <v/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 t="str">
        <f t="shared" si="12"/>
        <v/>
      </c>
      <c r="V412" s="12"/>
      <c r="W412" s="14"/>
      <c r="X412" s="14"/>
      <c r="Y412" s="13"/>
      <c r="Z412" s="12"/>
      <c r="AA412" s="12"/>
      <c r="AB412" s="12"/>
      <c r="AC412" s="12"/>
      <c r="AD412" s="15"/>
      <c r="AE412" s="12"/>
      <c r="AF412" s="13"/>
      <c r="AG412" s="12"/>
      <c r="AH412" s="12"/>
      <c r="AI412" s="15"/>
      <c r="AJ412" s="12"/>
      <c r="AK412" s="12"/>
      <c r="AL412" s="12"/>
      <c r="AM412" s="12"/>
      <c r="AN412" s="12"/>
      <c r="AO412" s="12"/>
      <c r="AP412" s="12"/>
      <c r="AQ412" s="15"/>
      <c r="AR412" s="12"/>
      <c r="AS412" s="12"/>
      <c r="AT412" s="12"/>
      <c r="AU412" s="12"/>
      <c r="AV412" s="12"/>
      <c r="AW412" s="12"/>
      <c r="AX412" s="13"/>
      <c r="AY412" s="12"/>
      <c r="AZ412" s="12" t="str">
        <f>IF(AND(A412="",B412="",E412="",G412="",I412="",AV412="",AX412=""),"",IF(OR(B412="skip",AV412="skip"),"SKIP",IF(OR(B412="to_candidate",AV412="proposed_name"),IF(OR(A412="",AW412="",AX412="",COUNTIF($A$6:$A$505,A412)&gt;1),"REVIEW","TO_PROPOSED"),IF(OR(B412="",A412="",E412="",G412="",I412="",U412="",AV412="",COUNTIF($A$6:$A$505,A412)&gt;1,(COUNTIFS('أرقام التواصل'!$A$6:$A$505,"client",'أرقام التواصل'!$B$6:$B$505,A412,'أرقام التواصل'!$I$6:$I$505,"TRUE")+COUNTIFS('أرقام التواصل'!$A$6:$A$505,"client",'أرقام التواصل'!$B$6:$B$505,A412,'أرقام التواصل'!$C$6:$C$505,1))=0),"REVIEW","READY"))))</f>
        <v/>
      </c>
      <c r="BA412" s="16" t="str">
        <f>IF(AZ412="","",IF(OR(AZ412="READY",AZ412="TO_PROPOSED"),"",IF(AZ412="SKIP","Skipped by decision",TRIM(IF(B412="","missing import_action; ","")&amp;IF(A412="","missing migration_customer_key; ","")&amp;IF(AND(A412&lt;&gt;"",COUNTIF($A$6:$A$505,A412)&gt;1),"duplicate migration_customer_key; ","")&amp;IF(AND(NOT(OR(B412="to_candidate",AV412="proposed_name")),E412=""),"missing branch_id; ","")&amp;IF(AND(NOT(OR(B412="to_candidate",AV412="proposed_name")),G412=""),"missing first_name; ","")&amp;IF(AND(NOT(OR(B412="to_candidate",AV412="proposed_name")),I412=""),"missing last_name; ","")&amp;IF(AND(NOT(OR(B412="to_candidate",AV412="proposed_name")),U412=""),"missing final_geo_unit_id; ","")&amp;IF(AV412="","missing final_destination; ","")&amp;IF(AND(NOT(OR(B412="to_candidate",AV412="proposed_name")),(COUNTIFS('أرقام التواصل'!$A$6:$A$505,"client",'أرقام التواصل'!$B$6:$B$505,A412,'أرقام التواصل'!$I$6:$I$505,"TRUE")+COUNTIFS('أرقام التواصل'!$A$6:$A$505,"client",'أرقام التواصل'!$B$6:$B$505,A412,'أرقام التواصل'!$C$6:$C$505,1))=0),"missing primary contact in أرقام التواصل; ","")&amp;IF(OR(B412="to_candidate",AV412="proposed_name"),IF(AW412="","missing proposed_move_reason; ","")&amp;IF(AX412="","missing proposed_name_key; ",""),"")))))</f>
        <v/>
      </c>
    </row>
    <row r="413" spans="1:53">
      <c r="A413" s="11"/>
      <c r="B413" s="12"/>
      <c r="C413" s="13"/>
      <c r="D413" s="12"/>
      <c r="E413" s="12"/>
      <c r="F413" s="12"/>
      <c r="G413" s="12"/>
      <c r="H413" s="12"/>
      <c r="I413" s="12"/>
      <c r="J413" s="12"/>
      <c r="K413" s="12" t="str">
        <f t="shared" si="11"/>
        <v/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 t="str">
        <f t="shared" si="12"/>
        <v/>
      </c>
      <c r="V413" s="12"/>
      <c r="W413" s="14"/>
      <c r="X413" s="14"/>
      <c r="Y413" s="13"/>
      <c r="Z413" s="12"/>
      <c r="AA413" s="12"/>
      <c r="AB413" s="12"/>
      <c r="AC413" s="12"/>
      <c r="AD413" s="15"/>
      <c r="AE413" s="12"/>
      <c r="AF413" s="13"/>
      <c r="AG413" s="12"/>
      <c r="AH413" s="12"/>
      <c r="AI413" s="15"/>
      <c r="AJ413" s="12"/>
      <c r="AK413" s="12"/>
      <c r="AL413" s="12"/>
      <c r="AM413" s="12"/>
      <c r="AN413" s="12"/>
      <c r="AO413" s="12"/>
      <c r="AP413" s="12"/>
      <c r="AQ413" s="15"/>
      <c r="AR413" s="12"/>
      <c r="AS413" s="12"/>
      <c r="AT413" s="12"/>
      <c r="AU413" s="12"/>
      <c r="AV413" s="12"/>
      <c r="AW413" s="12"/>
      <c r="AX413" s="13"/>
      <c r="AY413" s="12"/>
      <c r="AZ413" s="12" t="str">
        <f>IF(AND(A413="",B413="",E413="",G413="",I413="",AV413="",AX413=""),"",IF(OR(B413="skip",AV413="skip"),"SKIP",IF(OR(B413="to_candidate",AV413="proposed_name"),IF(OR(A413="",AW413="",AX413="",COUNTIF($A$6:$A$505,A413)&gt;1),"REVIEW","TO_PROPOSED"),IF(OR(B413="",A413="",E413="",G413="",I413="",U413="",AV413="",COUNTIF($A$6:$A$505,A413)&gt;1,(COUNTIFS('أرقام التواصل'!$A$6:$A$505,"client",'أرقام التواصل'!$B$6:$B$505,A413,'أرقام التواصل'!$I$6:$I$505,"TRUE")+COUNTIFS('أرقام التواصل'!$A$6:$A$505,"client",'أرقام التواصل'!$B$6:$B$505,A413,'أرقام التواصل'!$C$6:$C$505,1))=0),"REVIEW","READY"))))</f>
        <v/>
      </c>
      <c r="BA413" s="16" t="str">
        <f>IF(AZ413="","",IF(OR(AZ413="READY",AZ413="TO_PROPOSED"),"",IF(AZ413="SKIP","Skipped by decision",TRIM(IF(B413="","missing import_action; ","")&amp;IF(A413="","missing migration_customer_key; ","")&amp;IF(AND(A413&lt;&gt;"",COUNTIF($A$6:$A$505,A413)&gt;1),"duplicate migration_customer_key; ","")&amp;IF(AND(NOT(OR(B413="to_candidate",AV413="proposed_name")),E413=""),"missing branch_id; ","")&amp;IF(AND(NOT(OR(B413="to_candidate",AV413="proposed_name")),G413=""),"missing first_name; ","")&amp;IF(AND(NOT(OR(B413="to_candidate",AV413="proposed_name")),I413=""),"missing last_name; ","")&amp;IF(AND(NOT(OR(B413="to_candidate",AV413="proposed_name")),U413=""),"missing final_geo_unit_id; ","")&amp;IF(AV413="","missing final_destination; ","")&amp;IF(AND(NOT(OR(B413="to_candidate",AV413="proposed_name")),(COUNTIFS('أرقام التواصل'!$A$6:$A$505,"client",'أرقام التواصل'!$B$6:$B$505,A413,'أرقام التواصل'!$I$6:$I$505,"TRUE")+COUNTIFS('أرقام التواصل'!$A$6:$A$505,"client",'أرقام التواصل'!$B$6:$B$505,A413,'أرقام التواصل'!$C$6:$C$505,1))=0),"missing primary contact in أرقام التواصل; ","")&amp;IF(OR(B413="to_candidate",AV413="proposed_name"),IF(AW413="","missing proposed_move_reason; ","")&amp;IF(AX413="","missing proposed_name_key; ",""),"")))))</f>
        <v/>
      </c>
    </row>
    <row r="414" spans="1:53">
      <c r="A414" s="11"/>
      <c r="B414" s="12"/>
      <c r="C414" s="13"/>
      <c r="D414" s="12"/>
      <c r="E414" s="12"/>
      <c r="F414" s="12"/>
      <c r="G414" s="12"/>
      <c r="H414" s="12"/>
      <c r="I414" s="12"/>
      <c r="J414" s="12"/>
      <c r="K414" s="12" t="str">
        <f t="shared" si="11"/>
        <v/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 t="str">
        <f t="shared" si="12"/>
        <v/>
      </c>
      <c r="V414" s="12"/>
      <c r="W414" s="14"/>
      <c r="X414" s="14"/>
      <c r="Y414" s="13"/>
      <c r="Z414" s="12"/>
      <c r="AA414" s="12"/>
      <c r="AB414" s="12"/>
      <c r="AC414" s="12"/>
      <c r="AD414" s="15"/>
      <c r="AE414" s="12"/>
      <c r="AF414" s="13"/>
      <c r="AG414" s="12"/>
      <c r="AH414" s="12"/>
      <c r="AI414" s="15"/>
      <c r="AJ414" s="12"/>
      <c r="AK414" s="12"/>
      <c r="AL414" s="12"/>
      <c r="AM414" s="12"/>
      <c r="AN414" s="12"/>
      <c r="AO414" s="12"/>
      <c r="AP414" s="12"/>
      <c r="AQ414" s="15"/>
      <c r="AR414" s="12"/>
      <c r="AS414" s="12"/>
      <c r="AT414" s="12"/>
      <c r="AU414" s="12"/>
      <c r="AV414" s="12"/>
      <c r="AW414" s="12"/>
      <c r="AX414" s="13"/>
      <c r="AY414" s="12"/>
      <c r="AZ414" s="12" t="str">
        <f>IF(AND(A414="",B414="",E414="",G414="",I414="",AV414="",AX414=""),"",IF(OR(B414="skip",AV414="skip"),"SKIP",IF(OR(B414="to_candidate",AV414="proposed_name"),IF(OR(A414="",AW414="",AX414="",COUNTIF($A$6:$A$505,A414)&gt;1),"REVIEW","TO_PROPOSED"),IF(OR(B414="",A414="",E414="",G414="",I414="",U414="",AV414="",COUNTIF($A$6:$A$505,A414)&gt;1,(COUNTIFS('أرقام التواصل'!$A$6:$A$505,"client",'أرقام التواصل'!$B$6:$B$505,A414,'أرقام التواصل'!$I$6:$I$505,"TRUE")+COUNTIFS('أرقام التواصل'!$A$6:$A$505,"client",'أرقام التواصل'!$B$6:$B$505,A414,'أرقام التواصل'!$C$6:$C$505,1))=0),"REVIEW","READY"))))</f>
        <v/>
      </c>
      <c r="BA414" s="16" t="str">
        <f>IF(AZ414="","",IF(OR(AZ414="READY",AZ414="TO_PROPOSED"),"",IF(AZ414="SKIP","Skipped by decision",TRIM(IF(B414="","missing import_action; ","")&amp;IF(A414="","missing migration_customer_key; ","")&amp;IF(AND(A414&lt;&gt;"",COUNTIF($A$6:$A$505,A414)&gt;1),"duplicate migration_customer_key; ","")&amp;IF(AND(NOT(OR(B414="to_candidate",AV414="proposed_name")),E414=""),"missing branch_id; ","")&amp;IF(AND(NOT(OR(B414="to_candidate",AV414="proposed_name")),G414=""),"missing first_name; ","")&amp;IF(AND(NOT(OR(B414="to_candidate",AV414="proposed_name")),I414=""),"missing last_name; ","")&amp;IF(AND(NOT(OR(B414="to_candidate",AV414="proposed_name")),U414=""),"missing final_geo_unit_id; ","")&amp;IF(AV414="","missing final_destination; ","")&amp;IF(AND(NOT(OR(B414="to_candidate",AV414="proposed_name")),(COUNTIFS('أرقام التواصل'!$A$6:$A$505,"client",'أرقام التواصل'!$B$6:$B$505,A414,'أرقام التواصل'!$I$6:$I$505,"TRUE")+COUNTIFS('أرقام التواصل'!$A$6:$A$505,"client",'أرقام التواصل'!$B$6:$B$505,A414,'أرقام التواصل'!$C$6:$C$505,1))=0),"missing primary contact in أرقام التواصل; ","")&amp;IF(OR(B414="to_candidate",AV414="proposed_name"),IF(AW414="","missing proposed_move_reason; ","")&amp;IF(AX414="","missing proposed_name_key; ",""),"")))))</f>
        <v/>
      </c>
    </row>
    <row r="415" spans="1:53">
      <c r="A415" s="11"/>
      <c r="B415" s="12"/>
      <c r="C415" s="13"/>
      <c r="D415" s="12"/>
      <c r="E415" s="12"/>
      <c r="F415" s="12"/>
      <c r="G415" s="12"/>
      <c r="H415" s="12"/>
      <c r="I415" s="12"/>
      <c r="J415" s="12"/>
      <c r="K415" s="12" t="str">
        <f t="shared" si="11"/>
        <v/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 t="str">
        <f t="shared" si="12"/>
        <v/>
      </c>
      <c r="V415" s="12"/>
      <c r="W415" s="14"/>
      <c r="X415" s="14"/>
      <c r="Y415" s="13"/>
      <c r="Z415" s="12"/>
      <c r="AA415" s="12"/>
      <c r="AB415" s="12"/>
      <c r="AC415" s="12"/>
      <c r="AD415" s="15"/>
      <c r="AE415" s="12"/>
      <c r="AF415" s="13"/>
      <c r="AG415" s="12"/>
      <c r="AH415" s="12"/>
      <c r="AI415" s="15"/>
      <c r="AJ415" s="12"/>
      <c r="AK415" s="12"/>
      <c r="AL415" s="12"/>
      <c r="AM415" s="12"/>
      <c r="AN415" s="12"/>
      <c r="AO415" s="12"/>
      <c r="AP415" s="12"/>
      <c r="AQ415" s="15"/>
      <c r="AR415" s="12"/>
      <c r="AS415" s="12"/>
      <c r="AT415" s="12"/>
      <c r="AU415" s="12"/>
      <c r="AV415" s="12"/>
      <c r="AW415" s="12"/>
      <c r="AX415" s="13"/>
      <c r="AY415" s="12"/>
      <c r="AZ415" s="12" t="str">
        <f>IF(AND(A415="",B415="",E415="",G415="",I415="",AV415="",AX415=""),"",IF(OR(B415="skip",AV415="skip"),"SKIP",IF(OR(B415="to_candidate",AV415="proposed_name"),IF(OR(A415="",AW415="",AX415="",COUNTIF($A$6:$A$505,A415)&gt;1),"REVIEW","TO_PROPOSED"),IF(OR(B415="",A415="",E415="",G415="",I415="",U415="",AV415="",COUNTIF($A$6:$A$505,A415)&gt;1,(COUNTIFS('أرقام التواصل'!$A$6:$A$505,"client",'أرقام التواصل'!$B$6:$B$505,A415,'أرقام التواصل'!$I$6:$I$505,"TRUE")+COUNTIFS('أرقام التواصل'!$A$6:$A$505,"client",'أرقام التواصل'!$B$6:$B$505,A415,'أرقام التواصل'!$C$6:$C$505,1))=0),"REVIEW","READY"))))</f>
        <v/>
      </c>
      <c r="BA415" s="16" t="str">
        <f>IF(AZ415="","",IF(OR(AZ415="READY",AZ415="TO_PROPOSED"),"",IF(AZ415="SKIP","Skipped by decision",TRIM(IF(B415="","missing import_action; ","")&amp;IF(A415="","missing migration_customer_key; ","")&amp;IF(AND(A415&lt;&gt;"",COUNTIF($A$6:$A$505,A415)&gt;1),"duplicate migration_customer_key; ","")&amp;IF(AND(NOT(OR(B415="to_candidate",AV415="proposed_name")),E415=""),"missing branch_id; ","")&amp;IF(AND(NOT(OR(B415="to_candidate",AV415="proposed_name")),G415=""),"missing first_name; ","")&amp;IF(AND(NOT(OR(B415="to_candidate",AV415="proposed_name")),I415=""),"missing last_name; ","")&amp;IF(AND(NOT(OR(B415="to_candidate",AV415="proposed_name")),U415=""),"missing final_geo_unit_id; ","")&amp;IF(AV415="","missing final_destination; ","")&amp;IF(AND(NOT(OR(B415="to_candidate",AV415="proposed_name")),(COUNTIFS('أرقام التواصل'!$A$6:$A$505,"client",'أرقام التواصل'!$B$6:$B$505,A415,'أرقام التواصل'!$I$6:$I$505,"TRUE")+COUNTIFS('أرقام التواصل'!$A$6:$A$505,"client",'أرقام التواصل'!$B$6:$B$505,A415,'أرقام التواصل'!$C$6:$C$505,1))=0),"missing primary contact in أرقام التواصل; ","")&amp;IF(OR(B415="to_candidate",AV415="proposed_name"),IF(AW415="","missing proposed_move_reason; ","")&amp;IF(AX415="","missing proposed_name_key; ",""),"")))))</f>
        <v/>
      </c>
    </row>
    <row r="416" spans="1:53">
      <c r="A416" s="11"/>
      <c r="B416" s="12"/>
      <c r="C416" s="13"/>
      <c r="D416" s="12"/>
      <c r="E416" s="12"/>
      <c r="F416" s="12"/>
      <c r="G416" s="12"/>
      <c r="H416" s="12"/>
      <c r="I416" s="12"/>
      <c r="J416" s="12"/>
      <c r="K416" s="12" t="str">
        <f t="shared" si="11"/>
        <v/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 t="str">
        <f t="shared" si="12"/>
        <v/>
      </c>
      <c r="V416" s="12"/>
      <c r="W416" s="14"/>
      <c r="X416" s="14"/>
      <c r="Y416" s="13"/>
      <c r="Z416" s="12"/>
      <c r="AA416" s="12"/>
      <c r="AB416" s="12"/>
      <c r="AC416" s="12"/>
      <c r="AD416" s="15"/>
      <c r="AE416" s="12"/>
      <c r="AF416" s="13"/>
      <c r="AG416" s="12"/>
      <c r="AH416" s="12"/>
      <c r="AI416" s="15"/>
      <c r="AJ416" s="12"/>
      <c r="AK416" s="12"/>
      <c r="AL416" s="12"/>
      <c r="AM416" s="12"/>
      <c r="AN416" s="12"/>
      <c r="AO416" s="12"/>
      <c r="AP416" s="12"/>
      <c r="AQ416" s="15"/>
      <c r="AR416" s="12"/>
      <c r="AS416" s="12"/>
      <c r="AT416" s="12"/>
      <c r="AU416" s="12"/>
      <c r="AV416" s="12"/>
      <c r="AW416" s="12"/>
      <c r="AX416" s="13"/>
      <c r="AY416" s="12"/>
      <c r="AZ416" s="12" t="str">
        <f>IF(AND(A416="",B416="",E416="",G416="",I416="",AV416="",AX416=""),"",IF(OR(B416="skip",AV416="skip"),"SKIP",IF(OR(B416="to_candidate",AV416="proposed_name"),IF(OR(A416="",AW416="",AX416="",COUNTIF($A$6:$A$505,A416)&gt;1),"REVIEW","TO_PROPOSED"),IF(OR(B416="",A416="",E416="",G416="",I416="",U416="",AV416="",COUNTIF($A$6:$A$505,A416)&gt;1,(COUNTIFS('أرقام التواصل'!$A$6:$A$505,"client",'أرقام التواصل'!$B$6:$B$505,A416,'أرقام التواصل'!$I$6:$I$505,"TRUE")+COUNTIFS('أرقام التواصل'!$A$6:$A$505,"client",'أرقام التواصل'!$B$6:$B$505,A416,'أرقام التواصل'!$C$6:$C$505,1))=0),"REVIEW","READY"))))</f>
        <v/>
      </c>
      <c r="BA416" s="16" t="str">
        <f>IF(AZ416="","",IF(OR(AZ416="READY",AZ416="TO_PROPOSED"),"",IF(AZ416="SKIP","Skipped by decision",TRIM(IF(B416="","missing import_action; ","")&amp;IF(A416="","missing migration_customer_key; ","")&amp;IF(AND(A416&lt;&gt;"",COUNTIF($A$6:$A$505,A416)&gt;1),"duplicate migration_customer_key; ","")&amp;IF(AND(NOT(OR(B416="to_candidate",AV416="proposed_name")),E416=""),"missing branch_id; ","")&amp;IF(AND(NOT(OR(B416="to_candidate",AV416="proposed_name")),G416=""),"missing first_name; ","")&amp;IF(AND(NOT(OR(B416="to_candidate",AV416="proposed_name")),I416=""),"missing last_name; ","")&amp;IF(AND(NOT(OR(B416="to_candidate",AV416="proposed_name")),U416=""),"missing final_geo_unit_id; ","")&amp;IF(AV416="","missing final_destination; ","")&amp;IF(AND(NOT(OR(B416="to_candidate",AV416="proposed_name")),(COUNTIFS('أرقام التواصل'!$A$6:$A$505,"client",'أرقام التواصل'!$B$6:$B$505,A416,'أرقام التواصل'!$I$6:$I$505,"TRUE")+COUNTIFS('أرقام التواصل'!$A$6:$A$505,"client",'أرقام التواصل'!$B$6:$B$505,A416,'أرقام التواصل'!$C$6:$C$505,1))=0),"missing primary contact in أرقام التواصل; ","")&amp;IF(OR(B416="to_candidate",AV416="proposed_name"),IF(AW416="","missing proposed_move_reason; ","")&amp;IF(AX416="","missing proposed_name_key; ",""),"")))))</f>
        <v/>
      </c>
    </row>
    <row r="417" spans="1:53">
      <c r="A417" s="11"/>
      <c r="B417" s="12"/>
      <c r="C417" s="13"/>
      <c r="D417" s="12"/>
      <c r="E417" s="12"/>
      <c r="F417" s="12"/>
      <c r="G417" s="12"/>
      <c r="H417" s="12"/>
      <c r="I417" s="12"/>
      <c r="J417" s="12"/>
      <c r="K417" s="12" t="str">
        <f t="shared" si="11"/>
        <v/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 t="str">
        <f t="shared" si="12"/>
        <v/>
      </c>
      <c r="V417" s="12"/>
      <c r="W417" s="14"/>
      <c r="X417" s="14"/>
      <c r="Y417" s="13"/>
      <c r="Z417" s="12"/>
      <c r="AA417" s="12"/>
      <c r="AB417" s="12"/>
      <c r="AC417" s="12"/>
      <c r="AD417" s="15"/>
      <c r="AE417" s="12"/>
      <c r="AF417" s="13"/>
      <c r="AG417" s="12"/>
      <c r="AH417" s="12"/>
      <c r="AI417" s="15"/>
      <c r="AJ417" s="12"/>
      <c r="AK417" s="12"/>
      <c r="AL417" s="12"/>
      <c r="AM417" s="12"/>
      <c r="AN417" s="12"/>
      <c r="AO417" s="12"/>
      <c r="AP417" s="12"/>
      <c r="AQ417" s="15"/>
      <c r="AR417" s="12"/>
      <c r="AS417" s="12"/>
      <c r="AT417" s="12"/>
      <c r="AU417" s="12"/>
      <c r="AV417" s="12"/>
      <c r="AW417" s="12"/>
      <c r="AX417" s="13"/>
      <c r="AY417" s="12"/>
      <c r="AZ417" s="12" t="str">
        <f>IF(AND(A417="",B417="",E417="",G417="",I417="",AV417="",AX417=""),"",IF(OR(B417="skip",AV417="skip"),"SKIP",IF(OR(B417="to_candidate",AV417="proposed_name"),IF(OR(A417="",AW417="",AX417="",COUNTIF($A$6:$A$505,A417)&gt;1),"REVIEW","TO_PROPOSED"),IF(OR(B417="",A417="",E417="",G417="",I417="",U417="",AV417="",COUNTIF($A$6:$A$505,A417)&gt;1,(COUNTIFS('أرقام التواصل'!$A$6:$A$505,"client",'أرقام التواصل'!$B$6:$B$505,A417,'أرقام التواصل'!$I$6:$I$505,"TRUE")+COUNTIFS('أرقام التواصل'!$A$6:$A$505,"client",'أرقام التواصل'!$B$6:$B$505,A417,'أرقام التواصل'!$C$6:$C$505,1))=0),"REVIEW","READY"))))</f>
        <v/>
      </c>
      <c r="BA417" s="16" t="str">
        <f>IF(AZ417="","",IF(OR(AZ417="READY",AZ417="TO_PROPOSED"),"",IF(AZ417="SKIP","Skipped by decision",TRIM(IF(B417="","missing import_action; ","")&amp;IF(A417="","missing migration_customer_key; ","")&amp;IF(AND(A417&lt;&gt;"",COUNTIF($A$6:$A$505,A417)&gt;1),"duplicate migration_customer_key; ","")&amp;IF(AND(NOT(OR(B417="to_candidate",AV417="proposed_name")),E417=""),"missing branch_id; ","")&amp;IF(AND(NOT(OR(B417="to_candidate",AV417="proposed_name")),G417=""),"missing first_name; ","")&amp;IF(AND(NOT(OR(B417="to_candidate",AV417="proposed_name")),I417=""),"missing last_name; ","")&amp;IF(AND(NOT(OR(B417="to_candidate",AV417="proposed_name")),U417=""),"missing final_geo_unit_id; ","")&amp;IF(AV417="","missing final_destination; ","")&amp;IF(AND(NOT(OR(B417="to_candidate",AV417="proposed_name")),(COUNTIFS('أرقام التواصل'!$A$6:$A$505,"client",'أرقام التواصل'!$B$6:$B$505,A417,'أرقام التواصل'!$I$6:$I$505,"TRUE")+COUNTIFS('أرقام التواصل'!$A$6:$A$505,"client",'أرقام التواصل'!$B$6:$B$505,A417,'أرقام التواصل'!$C$6:$C$505,1))=0),"missing primary contact in أرقام التواصل; ","")&amp;IF(OR(B417="to_candidate",AV417="proposed_name"),IF(AW417="","missing proposed_move_reason; ","")&amp;IF(AX417="","missing proposed_name_key; ",""),"")))))</f>
        <v/>
      </c>
    </row>
    <row r="418" spans="1:53">
      <c r="A418" s="11"/>
      <c r="B418" s="12"/>
      <c r="C418" s="13"/>
      <c r="D418" s="12"/>
      <c r="E418" s="12"/>
      <c r="F418" s="12"/>
      <c r="G418" s="12"/>
      <c r="H418" s="12"/>
      <c r="I418" s="12"/>
      <c r="J418" s="12"/>
      <c r="K418" s="12" t="str">
        <f t="shared" si="11"/>
        <v/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 t="str">
        <f t="shared" si="12"/>
        <v/>
      </c>
      <c r="V418" s="12"/>
      <c r="W418" s="14"/>
      <c r="X418" s="14"/>
      <c r="Y418" s="13"/>
      <c r="Z418" s="12"/>
      <c r="AA418" s="12"/>
      <c r="AB418" s="12"/>
      <c r="AC418" s="12"/>
      <c r="AD418" s="15"/>
      <c r="AE418" s="12"/>
      <c r="AF418" s="13"/>
      <c r="AG418" s="12"/>
      <c r="AH418" s="12"/>
      <c r="AI418" s="15"/>
      <c r="AJ418" s="12"/>
      <c r="AK418" s="12"/>
      <c r="AL418" s="12"/>
      <c r="AM418" s="12"/>
      <c r="AN418" s="12"/>
      <c r="AO418" s="12"/>
      <c r="AP418" s="12"/>
      <c r="AQ418" s="15"/>
      <c r="AR418" s="12"/>
      <c r="AS418" s="12"/>
      <c r="AT418" s="12"/>
      <c r="AU418" s="12"/>
      <c r="AV418" s="12"/>
      <c r="AW418" s="12"/>
      <c r="AX418" s="13"/>
      <c r="AY418" s="12"/>
      <c r="AZ418" s="12" t="str">
        <f>IF(AND(A418="",B418="",E418="",G418="",I418="",AV418="",AX418=""),"",IF(OR(B418="skip",AV418="skip"),"SKIP",IF(OR(B418="to_candidate",AV418="proposed_name"),IF(OR(A418="",AW418="",AX418="",COUNTIF($A$6:$A$505,A418)&gt;1),"REVIEW","TO_PROPOSED"),IF(OR(B418="",A418="",E418="",G418="",I418="",U418="",AV418="",COUNTIF($A$6:$A$505,A418)&gt;1,(COUNTIFS('أرقام التواصل'!$A$6:$A$505,"client",'أرقام التواصل'!$B$6:$B$505,A418,'أرقام التواصل'!$I$6:$I$505,"TRUE")+COUNTIFS('أرقام التواصل'!$A$6:$A$505,"client",'أرقام التواصل'!$B$6:$B$505,A418,'أرقام التواصل'!$C$6:$C$505,1))=0),"REVIEW","READY"))))</f>
        <v/>
      </c>
      <c r="BA418" s="16" t="str">
        <f>IF(AZ418="","",IF(OR(AZ418="READY",AZ418="TO_PROPOSED"),"",IF(AZ418="SKIP","Skipped by decision",TRIM(IF(B418="","missing import_action; ","")&amp;IF(A418="","missing migration_customer_key; ","")&amp;IF(AND(A418&lt;&gt;"",COUNTIF($A$6:$A$505,A418)&gt;1),"duplicate migration_customer_key; ","")&amp;IF(AND(NOT(OR(B418="to_candidate",AV418="proposed_name")),E418=""),"missing branch_id; ","")&amp;IF(AND(NOT(OR(B418="to_candidate",AV418="proposed_name")),G418=""),"missing first_name; ","")&amp;IF(AND(NOT(OR(B418="to_candidate",AV418="proposed_name")),I418=""),"missing last_name; ","")&amp;IF(AND(NOT(OR(B418="to_candidate",AV418="proposed_name")),U418=""),"missing final_geo_unit_id; ","")&amp;IF(AV418="","missing final_destination; ","")&amp;IF(AND(NOT(OR(B418="to_candidate",AV418="proposed_name")),(COUNTIFS('أرقام التواصل'!$A$6:$A$505,"client",'أرقام التواصل'!$B$6:$B$505,A418,'أرقام التواصل'!$I$6:$I$505,"TRUE")+COUNTIFS('أرقام التواصل'!$A$6:$A$505,"client",'أرقام التواصل'!$B$6:$B$505,A418,'أرقام التواصل'!$C$6:$C$505,1))=0),"missing primary contact in أرقام التواصل; ","")&amp;IF(OR(B418="to_candidate",AV418="proposed_name"),IF(AW418="","missing proposed_move_reason; ","")&amp;IF(AX418="","missing proposed_name_key; ",""),"")))))</f>
        <v/>
      </c>
    </row>
    <row r="419" spans="1:53">
      <c r="A419" s="11"/>
      <c r="B419" s="12"/>
      <c r="C419" s="13"/>
      <c r="D419" s="12"/>
      <c r="E419" s="12"/>
      <c r="F419" s="12"/>
      <c r="G419" s="12"/>
      <c r="H419" s="12"/>
      <c r="I419" s="12"/>
      <c r="J419" s="12"/>
      <c r="K419" s="12" t="str">
        <f t="shared" si="11"/>
        <v/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 t="str">
        <f t="shared" si="12"/>
        <v/>
      </c>
      <c r="V419" s="12"/>
      <c r="W419" s="14"/>
      <c r="X419" s="14"/>
      <c r="Y419" s="13"/>
      <c r="Z419" s="12"/>
      <c r="AA419" s="12"/>
      <c r="AB419" s="12"/>
      <c r="AC419" s="12"/>
      <c r="AD419" s="15"/>
      <c r="AE419" s="12"/>
      <c r="AF419" s="13"/>
      <c r="AG419" s="12"/>
      <c r="AH419" s="12"/>
      <c r="AI419" s="15"/>
      <c r="AJ419" s="12"/>
      <c r="AK419" s="12"/>
      <c r="AL419" s="12"/>
      <c r="AM419" s="12"/>
      <c r="AN419" s="12"/>
      <c r="AO419" s="12"/>
      <c r="AP419" s="12"/>
      <c r="AQ419" s="15"/>
      <c r="AR419" s="12"/>
      <c r="AS419" s="12"/>
      <c r="AT419" s="12"/>
      <c r="AU419" s="12"/>
      <c r="AV419" s="12"/>
      <c r="AW419" s="12"/>
      <c r="AX419" s="13"/>
      <c r="AY419" s="12"/>
      <c r="AZ419" s="12" t="str">
        <f>IF(AND(A419="",B419="",E419="",G419="",I419="",AV419="",AX419=""),"",IF(OR(B419="skip",AV419="skip"),"SKIP",IF(OR(B419="to_candidate",AV419="proposed_name"),IF(OR(A419="",AW419="",AX419="",COUNTIF($A$6:$A$505,A419)&gt;1),"REVIEW","TO_PROPOSED"),IF(OR(B419="",A419="",E419="",G419="",I419="",U419="",AV419="",COUNTIF($A$6:$A$505,A419)&gt;1,(COUNTIFS('أرقام التواصل'!$A$6:$A$505,"client",'أرقام التواصل'!$B$6:$B$505,A419,'أرقام التواصل'!$I$6:$I$505,"TRUE")+COUNTIFS('أرقام التواصل'!$A$6:$A$505,"client",'أرقام التواصل'!$B$6:$B$505,A419,'أرقام التواصل'!$C$6:$C$505,1))=0),"REVIEW","READY"))))</f>
        <v/>
      </c>
      <c r="BA419" s="16" t="str">
        <f>IF(AZ419="","",IF(OR(AZ419="READY",AZ419="TO_PROPOSED"),"",IF(AZ419="SKIP","Skipped by decision",TRIM(IF(B419="","missing import_action; ","")&amp;IF(A419="","missing migration_customer_key; ","")&amp;IF(AND(A419&lt;&gt;"",COUNTIF($A$6:$A$505,A419)&gt;1),"duplicate migration_customer_key; ","")&amp;IF(AND(NOT(OR(B419="to_candidate",AV419="proposed_name")),E419=""),"missing branch_id; ","")&amp;IF(AND(NOT(OR(B419="to_candidate",AV419="proposed_name")),G419=""),"missing first_name; ","")&amp;IF(AND(NOT(OR(B419="to_candidate",AV419="proposed_name")),I419=""),"missing last_name; ","")&amp;IF(AND(NOT(OR(B419="to_candidate",AV419="proposed_name")),U419=""),"missing final_geo_unit_id; ","")&amp;IF(AV419="","missing final_destination; ","")&amp;IF(AND(NOT(OR(B419="to_candidate",AV419="proposed_name")),(COUNTIFS('أرقام التواصل'!$A$6:$A$505,"client",'أرقام التواصل'!$B$6:$B$505,A419,'أرقام التواصل'!$I$6:$I$505,"TRUE")+COUNTIFS('أرقام التواصل'!$A$6:$A$505,"client",'أرقام التواصل'!$B$6:$B$505,A419,'أرقام التواصل'!$C$6:$C$505,1))=0),"missing primary contact in أرقام التواصل; ","")&amp;IF(OR(B419="to_candidate",AV419="proposed_name"),IF(AW419="","missing proposed_move_reason; ","")&amp;IF(AX419="","missing proposed_name_key; ",""),"")))))</f>
        <v/>
      </c>
    </row>
    <row r="420" spans="1:53">
      <c r="A420" s="11"/>
      <c r="B420" s="12"/>
      <c r="C420" s="13"/>
      <c r="D420" s="12"/>
      <c r="E420" s="12"/>
      <c r="F420" s="12"/>
      <c r="G420" s="12"/>
      <c r="H420" s="12"/>
      <c r="I420" s="12"/>
      <c r="J420" s="12"/>
      <c r="K420" s="12" t="str">
        <f t="shared" si="11"/>
        <v/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 t="str">
        <f t="shared" si="12"/>
        <v/>
      </c>
      <c r="V420" s="12"/>
      <c r="W420" s="14"/>
      <c r="X420" s="14"/>
      <c r="Y420" s="13"/>
      <c r="Z420" s="12"/>
      <c r="AA420" s="12"/>
      <c r="AB420" s="12"/>
      <c r="AC420" s="12"/>
      <c r="AD420" s="15"/>
      <c r="AE420" s="12"/>
      <c r="AF420" s="13"/>
      <c r="AG420" s="12"/>
      <c r="AH420" s="12"/>
      <c r="AI420" s="15"/>
      <c r="AJ420" s="12"/>
      <c r="AK420" s="12"/>
      <c r="AL420" s="12"/>
      <c r="AM420" s="12"/>
      <c r="AN420" s="12"/>
      <c r="AO420" s="12"/>
      <c r="AP420" s="12"/>
      <c r="AQ420" s="15"/>
      <c r="AR420" s="12"/>
      <c r="AS420" s="12"/>
      <c r="AT420" s="12"/>
      <c r="AU420" s="12"/>
      <c r="AV420" s="12"/>
      <c r="AW420" s="12"/>
      <c r="AX420" s="13"/>
      <c r="AY420" s="12"/>
      <c r="AZ420" s="12" t="str">
        <f>IF(AND(A420="",B420="",E420="",G420="",I420="",AV420="",AX420=""),"",IF(OR(B420="skip",AV420="skip"),"SKIP",IF(OR(B420="to_candidate",AV420="proposed_name"),IF(OR(A420="",AW420="",AX420="",COUNTIF($A$6:$A$505,A420)&gt;1),"REVIEW","TO_PROPOSED"),IF(OR(B420="",A420="",E420="",G420="",I420="",U420="",AV420="",COUNTIF($A$6:$A$505,A420)&gt;1,(COUNTIFS('أرقام التواصل'!$A$6:$A$505,"client",'أرقام التواصل'!$B$6:$B$505,A420,'أرقام التواصل'!$I$6:$I$505,"TRUE")+COUNTIFS('أرقام التواصل'!$A$6:$A$505,"client",'أرقام التواصل'!$B$6:$B$505,A420,'أرقام التواصل'!$C$6:$C$505,1))=0),"REVIEW","READY"))))</f>
        <v/>
      </c>
      <c r="BA420" s="16" t="str">
        <f>IF(AZ420="","",IF(OR(AZ420="READY",AZ420="TO_PROPOSED"),"",IF(AZ420="SKIP","Skipped by decision",TRIM(IF(B420="","missing import_action; ","")&amp;IF(A420="","missing migration_customer_key; ","")&amp;IF(AND(A420&lt;&gt;"",COUNTIF($A$6:$A$505,A420)&gt;1),"duplicate migration_customer_key; ","")&amp;IF(AND(NOT(OR(B420="to_candidate",AV420="proposed_name")),E420=""),"missing branch_id; ","")&amp;IF(AND(NOT(OR(B420="to_candidate",AV420="proposed_name")),G420=""),"missing first_name; ","")&amp;IF(AND(NOT(OR(B420="to_candidate",AV420="proposed_name")),I420=""),"missing last_name; ","")&amp;IF(AND(NOT(OR(B420="to_candidate",AV420="proposed_name")),U420=""),"missing final_geo_unit_id; ","")&amp;IF(AV420="","missing final_destination; ","")&amp;IF(AND(NOT(OR(B420="to_candidate",AV420="proposed_name")),(COUNTIFS('أرقام التواصل'!$A$6:$A$505,"client",'أرقام التواصل'!$B$6:$B$505,A420,'أرقام التواصل'!$I$6:$I$505,"TRUE")+COUNTIFS('أرقام التواصل'!$A$6:$A$505,"client",'أرقام التواصل'!$B$6:$B$505,A420,'أرقام التواصل'!$C$6:$C$505,1))=0),"missing primary contact in أرقام التواصل; ","")&amp;IF(OR(B420="to_candidate",AV420="proposed_name"),IF(AW420="","missing proposed_move_reason; ","")&amp;IF(AX420="","missing proposed_name_key; ",""),"")))))</f>
        <v/>
      </c>
    </row>
    <row r="421" spans="1:53">
      <c r="A421" s="11"/>
      <c r="B421" s="12"/>
      <c r="C421" s="13"/>
      <c r="D421" s="12"/>
      <c r="E421" s="12"/>
      <c r="F421" s="12"/>
      <c r="G421" s="12"/>
      <c r="H421" s="12"/>
      <c r="I421" s="12"/>
      <c r="J421" s="12"/>
      <c r="K421" s="12" t="str">
        <f t="shared" si="11"/>
        <v/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 t="str">
        <f t="shared" si="12"/>
        <v/>
      </c>
      <c r="V421" s="12"/>
      <c r="W421" s="14"/>
      <c r="X421" s="14"/>
      <c r="Y421" s="13"/>
      <c r="Z421" s="12"/>
      <c r="AA421" s="12"/>
      <c r="AB421" s="12"/>
      <c r="AC421" s="12"/>
      <c r="AD421" s="15"/>
      <c r="AE421" s="12"/>
      <c r="AF421" s="13"/>
      <c r="AG421" s="12"/>
      <c r="AH421" s="12"/>
      <c r="AI421" s="15"/>
      <c r="AJ421" s="12"/>
      <c r="AK421" s="12"/>
      <c r="AL421" s="12"/>
      <c r="AM421" s="12"/>
      <c r="AN421" s="12"/>
      <c r="AO421" s="12"/>
      <c r="AP421" s="12"/>
      <c r="AQ421" s="15"/>
      <c r="AR421" s="12"/>
      <c r="AS421" s="12"/>
      <c r="AT421" s="12"/>
      <c r="AU421" s="12"/>
      <c r="AV421" s="12"/>
      <c r="AW421" s="12"/>
      <c r="AX421" s="13"/>
      <c r="AY421" s="12"/>
      <c r="AZ421" s="12" t="str">
        <f>IF(AND(A421="",B421="",E421="",G421="",I421="",AV421="",AX421=""),"",IF(OR(B421="skip",AV421="skip"),"SKIP",IF(OR(B421="to_candidate",AV421="proposed_name"),IF(OR(A421="",AW421="",AX421="",COUNTIF($A$6:$A$505,A421)&gt;1),"REVIEW","TO_PROPOSED"),IF(OR(B421="",A421="",E421="",G421="",I421="",U421="",AV421="",COUNTIF($A$6:$A$505,A421)&gt;1,(COUNTIFS('أرقام التواصل'!$A$6:$A$505,"client",'أرقام التواصل'!$B$6:$B$505,A421,'أرقام التواصل'!$I$6:$I$505,"TRUE")+COUNTIFS('أرقام التواصل'!$A$6:$A$505,"client",'أرقام التواصل'!$B$6:$B$505,A421,'أرقام التواصل'!$C$6:$C$505,1))=0),"REVIEW","READY"))))</f>
        <v/>
      </c>
      <c r="BA421" s="16" t="str">
        <f>IF(AZ421="","",IF(OR(AZ421="READY",AZ421="TO_PROPOSED"),"",IF(AZ421="SKIP","Skipped by decision",TRIM(IF(B421="","missing import_action; ","")&amp;IF(A421="","missing migration_customer_key; ","")&amp;IF(AND(A421&lt;&gt;"",COUNTIF($A$6:$A$505,A421)&gt;1),"duplicate migration_customer_key; ","")&amp;IF(AND(NOT(OR(B421="to_candidate",AV421="proposed_name")),E421=""),"missing branch_id; ","")&amp;IF(AND(NOT(OR(B421="to_candidate",AV421="proposed_name")),G421=""),"missing first_name; ","")&amp;IF(AND(NOT(OR(B421="to_candidate",AV421="proposed_name")),I421=""),"missing last_name; ","")&amp;IF(AND(NOT(OR(B421="to_candidate",AV421="proposed_name")),U421=""),"missing final_geo_unit_id; ","")&amp;IF(AV421="","missing final_destination; ","")&amp;IF(AND(NOT(OR(B421="to_candidate",AV421="proposed_name")),(COUNTIFS('أرقام التواصل'!$A$6:$A$505,"client",'أرقام التواصل'!$B$6:$B$505,A421,'أرقام التواصل'!$I$6:$I$505,"TRUE")+COUNTIFS('أرقام التواصل'!$A$6:$A$505,"client",'أرقام التواصل'!$B$6:$B$505,A421,'أرقام التواصل'!$C$6:$C$505,1))=0),"missing primary contact in أرقام التواصل; ","")&amp;IF(OR(B421="to_candidate",AV421="proposed_name"),IF(AW421="","missing proposed_move_reason; ","")&amp;IF(AX421="","missing proposed_name_key; ",""),"")))))</f>
        <v/>
      </c>
    </row>
    <row r="422" spans="1:53">
      <c r="A422" s="11"/>
      <c r="B422" s="12"/>
      <c r="C422" s="13"/>
      <c r="D422" s="12"/>
      <c r="E422" s="12"/>
      <c r="F422" s="12"/>
      <c r="G422" s="12"/>
      <c r="H422" s="12"/>
      <c r="I422" s="12"/>
      <c r="J422" s="12"/>
      <c r="K422" s="12" t="str">
        <f t="shared" si="11"/>
        <v/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 t="str">
        <f t="shared" si="12"/>
        <v/>
      </c>
      <c r="V422" s="12"/>
      <c r="W422" s="14"/>
      <c r="X422" s="14"/>
      <c r="Y422" s="13"/>
      <c r="Z422" s="12"/>
      <c r="AA422" s="12"/>
      <c r="AB422" s="12"/>
      <c r="AC422" s="12"/>
      <c r="AD422" s="15"/>
      <c r="AE422" s="12"/>
      <c r="AF422" s="13"/>
      <c r="AG422" s="12"/>
      <c r="AH422" s="12"/>
      <c r="AI422" s="15"/>
      <c r="AJ422" s="12"/>
      <c r="AK422" s="12"/>
      <c r="AL422" s="12"/>
      <c r="AM422" s="12"/>
      <c r="AN422" s="12"/>
      <c r="AO422" s="12"/>
      <c r="AP422" s="12"/>
      <c r="AQ422" s="15"/>
      <c r="AR422" s="12"/>
      <c r="AS422" s="12"/>
      <c r="AT422" s="12"/>
      <c r="AU422" s="12"/>
      <c r="AV422" s="12"/>
      <c r="AW422" s="12"/>
      <c r="AX422" s="13"/>
      <c r="AY422" s="12"/>
      <c r="AZ422" s="12" t="str">
        <f>IF(AND(A422="",B422="",E422="",G422="",I422="",AV422="",AX422=""),"",IF(OR(B422="skip",AV422="skip"),"SKIP",IF(OR(B422="to_candidate",AV422="proposed_name"),IF(OR(A422="",AW422="",AX422="",COUNTIF($A$6:$A$505,A422)&gt;1),"REVIEW","TO_PROPOSED"),IF(OR(B422="",A422="",E422="",G422="",I422="",U422="",AV422="",COUNTIF($A$6:$A$505,A422)&gt;1,(COUNTIFS('أرقام التواصل'!$A$6:$A$505,"client",'أرقام التواصل'!$B$6:$B$505,A422,'أرقام التواصل'!$I$6:$I$505,"TRUE")+COUNTIFS('أرقام التواصل'!$A$6:$A$505,"client",'أرقام التواصل'!$B$6:$B$505,A422,'أرقام التواصل'!$C$6:$C$505,1))=0),"REVIEW","READY"))))</f>
        <v/>
      </c>
      <c r="BA422" s="16" t="str">
        <f>IF(AZ422="","",IF(OR(AZ422="READY",AZ422="TO_PROPOSED"),"",IF(AZ422="SKIP","Skipped by decision",TRIM(IF(B422="","missing import_action; ","")&amp;IF(A422="","missing migration_customer_key; ","")&amp;IF(AND(A422&lt;&gt;"",COUNTIF($A$6:$A$505,A422)&gt;1),"duplicate migration_customer_key; ","")&amp;IF(AND(NOT(OR(B422="to_candidate",AV422="proposed_name")),E422=""),"missing branch_id; ","")&amp;IF(AND(NOT(OR(B422="to_candidate",AV422="proposed_name")),G422=""),"missing first_name; ","")&amp;IF(AND(NOT(OR(B422="to_candidate",AV422="proposed_name")),I422=""),"missing last_name; ","")&amp;IF(AND(NOT(OR(B422="to_candidate",AV422="proposed_name")),U422=""),"missing final_geo_unit_id; ","")&amp;IF(AV422="","missing final_destination; ","")&amp;IF(AND(NOT(OR(B422="to_candidate",AV422="proposed_name")),(COUNTIFS('أرقام التواصل'!$A$6:$A$505,"client",'أرقام التواصل'!$B$6:$B$505,A422,'أرقام التواصل'!$I$6:$I$505,"TRUE")+COUNTIFS('أرقام التواصل'!$A$6:$A$505,"client",'أرقام التواصل'!$B$6:$B$505,A422,'أرقام التواصل'!$C$6:$C$505,1))=0),"missing primary contact in أرقام التواصل; ","")&amp;IF(OR(B422="to_candidate",AV422="proposed_name"),IF(AW422="","missing proposed_move_reason; ","")&amp;IF(AX422="","missing proposed_name_key; ",""),"")))))</f>
        <v/>
      </c>
    </row>
    <row r="423" spans="1:53">
      <c r="A423" s="11"/>
      <c r="B423" s="12"/>
      <c r="C423" s="13"/>
      <c r="D423" s="12"/>
      <c r="E423" s="12"/>
      <c r="F423" s="12"/>
      <c r="G423" s="12"/>
      <c r="H423" s="12"/>
      <c r="I423" s="12"/>
      <c r="J423" s="12"/>
      <c r="K423" s="12" t="str">
        <f t="shared" si="11"/>
        <v/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 t="str">
        <f t="shared" si="12"/>
        <v/>
      </c>
      <c r="V423" s="12"/>
      <c r="W423" s="14"/>
      <c r="X423" s="14"/>
      <c r="Y423" s="13"/>
      <c r="Z423" s="12"/>
      <c r="AA423" s="12"/>
      <c r="AB423" s="12"/>
      <c r="AC423" s="12"/>
      <c r="AD423" s="15"/>
      <c r="AE423" s="12"/>
      <c r="AF423" s="13"/>
      <c r="AG423" s="12"/>
      <c r="AH423" s="12"/>
      <c r="AI423" s="15"/>
      <c r="AJ423" s="12"/>
      <c r="AK423" s="12"/>
      <c r="AL423" s="12"/>
      <c r="AM423" s="12"/>
      <c r="AN423" s="12"/>
      <c r="AO423" s="12"/>
      <c r="AP423" s="12"/>
      <c r="AQ423" s="15"/>
      <c r="AR423" s="12"/>
      <c r="AS423" s="12"/>
      <c r="AT423" s="12"/>
      <c r="AU423" s="12"/>
      <c r="AV423" s="12"/>
      <c r="AW423" s="12"/>
      <c r="AX423" s="13"/>
      <c r="AY423" s="12"/>
      <c r="AZ423" s="12" t="str">
        <f>IF(AND(A423="",B423="",E423="",G423="",I423="",AV423="",AX423=""),"",IF(OR(B423="skip",AV423="skip"),"SKIP",IF(OR(B423="to_candidate",AV423="proposed_name"),IF(OR(A423="",AW423="",AX423="",COUNTIF($A$6:$A$505,A423)&gt;1),"REVIEW","TO_PROPOSED"),IF(OR(B423="",A423="",E423="",G423="",I423="",U423="",AV423="",COUNTIF($A$6:$A$505,A423)&gt;1,(COUNTIFS('أرقام التواصل'!$A$6:$A$505,"client",'أرقام التواصل'!$B$6:$B$505,A423,'أرقام التواصل'!$I$6:$I$505,"TRUE")+COUNTIFS('أرقام التواصل'!$A$6:$A$505,"client",'أرقام التواصل'!$B$6:$B$505,A423,'أرقام التواصل'!$C$6:$C$505,1))=0),"REVIEW","READY"))))</f>
        <v/>
      </c>
      <c r="BA423" s="16" t="str">
        <f>IF(AZ423="","",IF(OR(AZ423="READY",AZ423="TO_PROPOSED"),"",IF(AZ423="SKIP","Skipped by decision",TRIM(IF(B423="","missing import_action; ","")&amp;IF(A423="","missing migration_customer_key; ","")&amp;IF(AND(A423&lt;&gt;"",COUNTIF($A$6:$A$505,A423)&gt;1),"duplicate migration_customer_key; ","")&amp;IF(AND(NOT(OR(B423="to_candidate",AV423="proposed_name")),E423=""),"missing branch_id; ","")&amp;IF(AND(NOT(OR(B423="to_candidate",AV423="proposed_name")),G423=""),"missing first_name; ","")&amp;IF(AND(NOT(OR(B423="to_candidate",AV423="proposed_name")),I423=""),"missing last_name; ","")&amp;IF(AND(NOT(OR(B423="to_candidate",AV423="proposed_name")),U423=""),"missing final_geo_unit_id; ","")&amp;IF(AV423="","missing final_destination; ","")&amp;IF(AND(NOT(OR(B423="to_candidate",AV423="proposed_name")),(COUNTIFS('أرقام التواصل'!$A$6:$A$505,"client",'أرقام التواصل'!$B$6:$B$505,A423,'أرقام التواصل'!$I$6:$I$505,"TRUE")+COUNTIFS('أرقام التواصل'!$A$6:$A$505,"client",'أرقام التواصل'!$B$6:$B$505,A423,'أرقام التواصل'!$C$6:$C$505,1))=0),"missing primary contact in أرقام التواصل; ","")&amp;IF(OR(B423="to_candidate",AV423="proposed_name"),IF(AW423="","missing proposed_move_reason; ","")&amp;IF(AX423="","missing proposed_name_key; ",""),"")))))</f>
        <v/>
      </c>
    </row>
    <row r="424" spans="1:53">
      <c r="A424" s="11"/>
      <c r="B424" s="12"/>
      <c r="C424" s="13"/>
      <c r="D424" s="12"/>
      <c r="E424" s="12"/>
      <c r="F424" s="12"/>
      <c r="G424" s="12"/>
      <c r="H424" s="12"/>
      <c r="I424" s="12"/>
      <c r="J424" s="12"/>
      <c r="K424" s="12" t="str">
        <f t="shared" si="11"/>
        <v/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 t="str">
        <f t="shared" si="12"/>
        <v/>
      </c>
      <c r="V424" s="12"/>
      <c r="W424" s="14"/>
      <c r="X424" s="14"/>
      <c r="Y424" s="13"/>
      <c r="Z424" s="12"/>
      <c r="AA424" s="12"/>
      <c r="AB424" s="12"/>
      <c r="AC424" s="12"/>
      <c r="AD424" s="15"/>
      <c r="AE424" s="12"/>
      <c r="AF424" s="13"/>
      <c r="AG424" s="12"/>
      <c r="AH424" s="12"/>
      <c r="AI424" s="15"/>
      <c r="AJ424" s="12"/>
      <c r="AK424" s="12"/>
      <c r="AL424" s="12"/>
      <c r="AM424" s="12"/>
      <c r="AN424" s="12"/>
      <c r="AO424" s="12"/>
      <c r="AP424" s="12"/>
      <c r="AQ424" s="15"/>
      <c r="AR424" s="12"/>
      <c r="AS424" s="12"/>
      <c r="AT424" s="12"/>
      <c r="AU424" s="12"/>
      <c r="AV424" s="12"/>
      <c r="AW424" s="12"/>
      <c r="AX424" s="13"/>
      <c r="AY424" s="12"/>
      <c r="AZ424" s="12" t="str">
        <f>IF(AND(A424="",B424="",E424="",G424="",I424="",AV424="",AX424=""),"",IF(OR(B424="skip",AV424="skip"),"SKIP",IF(OR(B424="to_candidate",AV424="proposed_name"),IF(OR(A424="",AW424="",AX424="",COUNTIF($A$6:$A$505,A424)&gt;1),"REVIEW","TO_PROPOSED"),IF(OR(B424="",A424="",E424="",G424="",I424="",U424="",AV424="",COUNTIF($A$6:$A$505,A424)&gt;1,(COUNTIFS('أرقام التواصل'!$A$6:$A$505,"client",'أرقام التواصل'!$B$6:$B$505,A424,'أرقام التواصل'!$I$6:$I$505,"TRUE")+COUNTIFS('أرقام التواصل'!$A$6:$A$505,"client",'أرقام التواصل'!$B$6:$B$505,A424,'أرقام التواصل'!$C$6:$C$505,1))=0),"REVIEW","READY"))))</f>
        <v/>
      </c>
      <c r="BA424" s="16" t="str">
        <f>IF(AZ424="","",IF(OR(AZ424="READY",AZ424="TO_PROPOSED"),"",IF(AZ424="SKIP","Skipped by decision",TRIM(IF(B424="","missing import_action; ","")&amp;IF(A424="","missing migration_customer_key; ","")&amp;IF(AND(A424&lt;&gt;"",COUNTIF($A$6:$A$505,A424)&gt;1),"duplicate migration_customer_key; ","")&amp;IF(AND(NOT(OR(B424="to_candidate",AV424="proposed_name")),E424=""),"missing branch_id; ","")&amp;IF(AND(NOT(OR(B424="to_candidate",AV424="proposed_name")),G424=""),"missing first_name; ","")&amp;IF(AND(NOT(OR(B424="to_candidate",AV424="proposed_name")),I424=""),"missing last_name; ","")&amp;IF(AND(NOT(OR(B424="to_candidate",AV424="proposed_name")),U424=""),"missing final_geo_unit_id; ","")&amp;IF(AV424="","missing final_destination; ","")&amp;IF(AND(NOT(OR(B424="to_candidate",AV424="proposed_name")),(COUNTIFS('أرقام التواصل'!$A$6:$A$505,"client",'أرقام التواصل'!$B$6:$B$505,A424,'أرقام التواصل'!$I$6:$I$505,"TRUE")+COUNTIFS('أرقام التواصل'!$A$6:$A$505,"client",'أرقام التواصل'!$B$6:$B$505,A424,'أرقام التواصل'!$C$6:$C$505,1))=0),"missing primary contact in أرقام التواصل; ","")&amp;IF(OR(B424="to_candidate",AV424="proposed_name"),IF(AW424="","missing proposed_move_reason; ","")&amp;IF(AX424="","missing proposed_name_key; ",""),"")))))</f>
        <v/>
      </c>
    </row>
    <row r="425" spans="1:53">
      <c r="A425" s="11"/>
      <c r="B425" s="12"/>
      <c r="C425" s="13"/>
      <c r="D425" s="12"/>
      <c r="E425" s="12"/>
      <c r="F425" s="12"/>
      <c r="G425" s="12"/>
      <c r="H425" s="12"/>
      <c r="I425" s="12"/>
      <c r="J425" s="12"/>
      <c r="K425" s="12" t="str">
        <f t="shared" si="11"/>
        <v/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 t="str">
        <f t="shared" si="12"/>
        <v/>
      </c>
      <c r="V425" s="12"/>
      <c r="W425" s="14"/>
      <c r="X425" s="14"/>
      <c r="Y425" s="13"/>
      <c r="Z425" s="12"/>
      <c r="AA425" s="12"/>
      <c r="AB425" s="12"/>
      <c r="AC425" s="12"/>
      <c r="AD425" s="15"/>
      <c r="AE425" s="12"/>
      <c r="AF425" s="13"/>
      <c r="AG425" s="12"/>
      <c r="AH425" s="12"/>
      <c r="AI425" s="15"/>
      <c r="AJ425" s="12"/>
      <c r="AK425" s="12"/>
      <c r="AL425" s="12"/>
      <c r="AM425" s="12"/>
      <c r="AN425" s="12"/>
      <c r="AO425" s="12"/>
      <c r="AP425" s="12"/>
      <c r="AQ425" s="15"/>
      <c r="AR425" s="12"/>
      <c r="AS425" s="12"/>
      <c r="AT425" s="12"/>
      <c r="AU425" s="12"/>
      <c r="AV425" s="12"/>
      <c r="AW425" s="12"/>
      <c r="AX425" s="13"/>
      <c r="AY425" s="12"/>
      <c r="AZ425" s="12" t="str">
        <f>IF(AND(A425="",B425="",E425="",G425="",I425="",AV425="",AX425=""),"",IF(OR(B425="skip",AV425="skip"),"SKIP",IF(OR(B425="to_candidate",AV425="proposed_name"),IF(OR(A425="",AW425="",AX425="",COUNTIF($A$6:$A$505,A425)&gt;1),"REVIEW","TO_PROPOSED"),IF(OR(B425="",A425="",E425="",G425="",I425="",U425="",AV425="",COUNTIF($A$6:$A$505,A425)&gt;1,(COUNTIFS('أرقام التواصل'!$A$6:$A$505,"client",'أرقام التواصل'!$B$6:$B$505,A425,'أرقام التواصل'!$I$6:$I$505,"TRUE")+COUNTIFS('أرقام التواصل'!$A$6:$A$505,"client",'أرقام التواصل'!$B$6:$B$505,A425,'أرقام التواصل'!$C$6:$C$505,1))=0),"REVIEW","READY"))))</f>
        <v/>
      </c>
      <c r="BA425" s="16" t="str">
        <f>IF(AZ425="","",IF(OR(AZ425="READY",AZ425="TO_PROPOSED"),"",IF(AZ425="SKIP","Skipped by decision",TRIM(IF(B425="","missing import_action; ","")&amp;IF(A425="","missing migration_customer_key; ","")&amp;IF(AND(A425&lt;&gt;"",COUNTIF($A$6:$A$505,A425)&gt;1),"duplicate migration_customer_key; ","")&amp;IF(AND(NOT(OR(B425="to_candidate",AV425="proposed_name")),E425=""),"missing branch_id; ","")&amp;IF(AND(NOT(OR(B425="to_candidate",AV425="proposed_name")),G425=""),"missing first_name; ","")&amp;IF(AND(NOT(OR(B425="to_candidate",AV425="proposed_name")),I425=""),"missing last_name; ","")&amp;IF(AND(NOT(OR(B425="to_candidate",AV425="proposed_name")),U425=""),"missing final_geo_unit_id; ","")&amp;IF(AV425="","missing final_destination; ","")&amp;IF(AND(NOT(OR(B425="to_candidate",AV425="proposed_name")),(COUNTIFS('أرقام التواصل'!$A$6:$A$505,"client",'أرقام التواصل'!$B$6:$B$505,A425,'أرقام التواصل'!$I$6:$I$505,"TRUE")+COUNTIFS('أرقام التواصل'!$A$6:$A$505,"client",'أرقام التواصل'!$B$6:$B$505,A425,'أرقام التواصل'!$C$6:$C$505,1))=0),"missing primary contact in أرقام التواصل; ","")&amp;IF(OR(B425="to_candidate",AV425="proposed_name"),IF(AW425="","missing proposed_move_reason; ","")&amp;IF(AX425="","missing proposed_name_key; ",""),"")))))</f>
        <v/>
      </c>
    </row>
    <row r="426" spans="1:53">
      <c r="A426" s="11"/>
      <c r="B426" s="12"/>
      <c r="C426" s="13"/>
      <c r="D426" s="12"/>
      <c r="E426" s="12"/>
      <c r="F426" s="12"/>
      <c r="G426" s="12"/>
      <c r="H426" s="12"/>
      <c r="I426" s="12"/>
      <c r="J426" s="12"/>
      <c r="K426" s="12" t="str">
        <f t="shared" si="11"/>
        <v/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 t="str">
        <f t="shared" si="12"/>
        <v/>
      </c>
      <c r="V426" s="12"/>
      <c r="W426" s="14"/>
      <c r="X426" s="14"/>
      <c r="Y426" s="13"/>
      <c r="Z426" s="12"/>
      <c r="AA426" s="12"/>
      <c r="AB426" s="12"/>
      <c r="AC426" s="12"/>
      <c r="AD426" s="15"/>
      <c r="AE426" s="12"/>
      <c r="AF426" s="13"/>
      <c r="AG426" s="12"/>
      <c r="AH426" s="12"/>
      <c r="AI426" s="15"/>
      <c r="AJ426" s="12"/>
      <c r="AK426" s="12"/>
      <c r="AL426" s="12"/>
      <c r="AM426" s="12"/>
      <c r="AN426" s="12"/>
      <c r="AO426" s="12"/>
      <c r="AP426" s="12"/>
      <c r="AQ426" s="15"/>
      <c r="AR426" s="12"/>
      <c r="AS426" s="12"/>
      <c r="AT426" s="12"/>
      <c r="AU426" s="12"/>
      <c r="AV426" s="12"/>
      <c r="AW426" s="12"/>
      <c r="AX426" s="13"/>
      <c r="AY426" s="12"/>
      <c r="AZ426" s="12" t="str">
        <f>IF(AND(A426="",B426="",E426="",G426="",I426="",AV426="",AX426=""),"",IF(OR(B426="skip",AV426="skip"),"SKIP",IF(OR(B426="to_candidate",AV426="proposed_name"),IF(OR(A426="",AW426="",AX426="",COUNTIF($A$6:$A$505,A426)&gt;1),"REVIEW","TO_PROPOSED"),IF(OR(B426="",A426="",E426="",G426="",I426="",U426="",AV426="",COUNTIF($A$6:$A$505,A426)&gt;1,(COUNTIFS('أرقام التواصل'!$A$6:$A$505,"client",'أرقام التواصل'!$B$6:$B$505,A426,'أرقام التواصل'!$I$6:$I$505,"TRUE")+COUNTIFS('أرقام التواصل'!$A$6:$A$505,"client",'أرقام التواصل'!$B$6:$B$505,A426,'أرقام التواصل'!$C$6:$C$505,1))=0),"REVIEW","READY"))))</f>
        <v/>
      </c>
      <c r="BA426" s="16" t="str">
        <f>IF(AZ426="","",IF(OR(AZ426="READY",AZ426="TO_PROPOSED"),"",IF(AZ426="SKIP","Skipped by decision",TRIM(IF(B426="","missing import_action; ","")&amp;IF(A426="","missing migration_customer_key; ","")&amp;IF(AND(A426&lt;&gt;"",COUNTIF($A$6:$A$505,A426)&gt;1),"duplicate migration_customer_key; ","")&amp;IF(AND(NOT(OR(B426="to_candidate",AV426="proposed_name")),E426=""),"missing branch_id; ","")&amp;IF(AND(NOT(OR(B426="to_candidate",AV426="proposed_name")),G426=""),"missing first_name; ","")&amp;IF(AND(NOT(OR(B426="to_candidate",AV426="proposed_name")),I426=""),"missing last_name; ","")&amp;IF(AND(NOT(OR(B426="to_candidate",AV426="proposed_name")),U426=""),"missing final_geo_unit_id; ","")&amp;IF(AV426="","missing final_destination; ","")&amp;IF(AND(NOT(OR(B426="to_candidate",AV426="proposed_name")),(COUNTIFS('أرقام التواصل'!$A$6:$A$505,"client",'أرقام التواصل'!$B$6:$B$505,A426,'أرقام التواصل'!$I$6:$I$505,"TRUE")+COUNTIFS('أرقام التواصل'!$A$6:$A$505,"client",'أرقام التواصل'!$B$6:$B$505,A426,'أرقام التواصل'!$C$6:$C$505,1))=0),"missing primary contact in أرقام التواصل; ","")&amp;IF(OR(B426="to_candidate",AV426="proposed_name"),IF(AW426="","missing proposed_move_reason; ","")&amp;IF(AX426="","missing proposed_name_key; ",""),"")))))</f>
        <v/>
      </c>
    </row>
    <row r="427" spans="1:53">
      <c r="A427" s="11"/>
      <c r="B427" s="12"/>
      <c r="C427" s="13"/>
      <c r="D427" s="12"/>
      <c r="E427" s="12"/>
      <c r="F427" s="12"/>
      <c r="G427" s="12"/>
      <c r="H427" s="12"/>
      <c r="I427" s="12"/>
      <c r="J427" s="12"/>
      <c r="K427" s="12" t="str">
        <f t="shared" si="11"/>
        <v/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 t="str">
        <f t="shared" si="12"/>
        <v/>
      </c>
      <c r="V427" s="12"/>
      <c r="W427" s="14"/>
      <c r="X427" s="14"/>
      <c r="Y427" s="13"/>
      <c r="Z427" s="12"/>
      <c r="AA427" s="12"/>
      <c r="AB427" s="12"/>
      <c r="AC427" s="12"/>
      <c r="AD427" s="15"/>
      <c r="AE427" s="12"/>
      <c r="AF427" s="13"/>
      <c r="AG427" s="12"/>
      <c r="AH427" s="12"/>
      <c r="AI427" s="15"/>
      <c r="AJ427" s="12"/>
      <c r="AK427" s="12"/>
      <c r="AL427" s="12"/>
      <c r="AM427" s="12"/>
      <c r="AN427" s="12"/>
      <c r="AO427" s="12"/>
      <c r="AP427" s="12"/>
      <c r="AQ427" s="15"/>
      <c r="AR427" s="12"/>
      <c r="AS427" s="12"/>
      <c r="AT427" s="12"/>
      <c r="AU427" s="12"/>
      <c r="AV427" s="12"/>
      <c r="AW427" s="12"/>
      <c r="AX427" s="13"/>
      <c r="AY427" s="12"/>
      <c r="AZ427" s="12" t="str">
        <f>IF(AND(A427="",B427="",E427="",G427="",I427="",AV427="",AX427=""),"",IF(OR(B427="skip",AV427="skip"),"SKIP",IF(OR(B427="to_candidate",AV427="proposed_name"),IF(OR(A427="",AW427="",AX427="",COUNTIF($A$6:$A$505,A427)&gt;1),"REVIEW","TO_PROPOSED"),IF(OR(B427="",A427="",E427="",G427="",I427="",U427="",AV427="",COUNTIF($A$6:$A$505,A427)&gt;1,(COUNTIFS('أرقام التواصل'!$A$6:$A$505,"client",'أرقام التواصل'!$B$6:$B$505,A427,'أرقام التواصل'!$I$6:$I$505,"TRUE")+COUNTIFS('أرقام التواصل'!$A$6:$A$505,"client",'أرقام التواصل'!$B$6:$B$505,A427,'أرقام التواصل'!$C$6:$C$505,1))=0),"REVIEW","READY"))))</f>
        <v/>
      </c>
      <c r="BA427" s="16" t="str">
        <f>IF(AZ427="","",IF(OR(AZ427="READY",AZ427="TO_PROPOSED"),"",IF(AZ427="SKIP","Skipped by decision",TRIM(IF(B427="","missing import_action; ","")&amp;IF(A427="","missing migration_customer_key; ","")&amp;IF(AND(A427&lt;&gt;"",COUNTIF($A$6:$A$505,A427)&gt;1),"duplicate migration_customer_key; ","")&amp;IF(AND(NOT(OR(B427="to_candidate",AV427="proposed_name")),E427=""),"missing branch_id; ","")&amp;IF(AND(NOT(OR(B427="to_candidate",AV427="proposed_name")),G427=""),"missing first_name; ","")&amp;IF(AND(NOT(OR(B427="to_candidate",AV427="proposed_name")),I427=""),"missing last_name; ","")&amp;IF(AND(NOT(OR(B427="to_candidate",AV427="proposed_name")),U427=""),"missing final_geo_unit_id; ","")&amp;IF(AV427="","missing final_destination; ","")&amp;IF(AND(NOT(OR(B427="to_candidate",AV427="proposed_name")),(COUNTIFS('أرقام التواصل'!$A$6:$A$505,"client",'أرقام التواصل'!$B$6:$B$505,A427,'أرقام التواصل'!$I$6:$I$505,"TRUE")+COUNTIFS('أرقام التواصل'!$A$6:$A$505,"client",'أرقام التواصل'!$B$6:$B$505,A427,'أرقام التواصل'!$C$6:$C$505,1))=0),"missing primary contact in أرقام التواصل; ","")&amp;IF(OR(B427="to_candidate",AV427="proposed_name"),IF(AW427="","missing proposed_move_reason; ","")&amp;IF(AX427="","missing proposed_name_key; ",""),"")))))</f>
        <v/>
      </c>
    </row>
    <row r="428" spans="1:53">
      <c r="A428" s="11"/>
      <c r="B428" s="12"/>
      <c r="C428" s="13"/>
      <c r="D428" s="12"/>
      <c r="E428" s="12"/>
      <c r="F428" s="12"/>
      <c r="G428" s="12"/>
      <c r="H428" s="12"/>
      <c r="I428" s="12"/>
      <c r="J428" s="12"/>
      <c r="K428" s="12" t="str">
        <f t="shared" si="11"/>
        <v/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 t="str">
        <f t="shared" si="12"/>
        <v/>
      </c>
      <c r="V428" s="12"/>
      <c r="W428" s="14"/>
      <c r="X428" s="14"/>
      <c r="Y428" s="13"/>
      <c r="Z428" s="12"/>
      <c r="AA428" s="12"/>
      <c r="AB428" s="12"/>
      <c r="AC428" s="12"/>
      <c r="AD428" s="15"/>
      <c r="AE428" s="12"/>
      <c r="AF428" s="13"/>
      <c r="AG428" s="12"/>
      <c r="AH428" s="12"/>
      <c r="AI428" s="15"/>
      <c r="AJ428" s="12"/>
      <c r="AK428" s="12"/>
      <c r="AL428" s="12"/>
      <c r="AM428" s="12"/>
      <c r="AN428" s="12"/>
      <c r="AO428" s="12"/>
      <c r="AP428" s="12"/>
      <c r="AQ428" s="15"/>
      <c r="AR428" s="12"/>
      <c r="AS428" s="12"/>
      <c r="AT428" s="12"/>
      <c r="AU428" s="12"/>
      <c r="AV428" s="12"/>
      <c r="AW428" s="12"/>
      <c r="AX428" s="13"/>
      <c r="AY428" s="12"/>
      <c r="AZ428" s="12" t="str">
        <f>IF(AND(A428="",B428="",E428="",G428="",I428="",AV428="",AX428=""),"",IF(OR(B428="skip",AV428="skip"),"SKIP",IF(OR(B428="to_candidate",AV428="proposed_name"),IF(OR(A428="",AW428="",AX428="",COUNTIF($A$6:$A$505,A428)&gt;1),"REVIEW","TO_PROPOSED"),IF(OR(B428="",A428="",E428="",G428="",I428="",U428="",AV428="",COUNTIF($A$6:$A$505,A428)&gt;1,(COUNTIFS('أرقام التواصل'!$A$6:$A$505,"client",'أرقام التواصل'!$B$6:$B$505,A428,'أرقام التواصل'!$I$6:$I$505,"TRUE")+COUNTIFS('أرقام التواصل'!$A$6:$A$505,"client",'أرقام التواصل'!$B$6:$B$505,A428,'أرقام التواصل'!$C$6:$C$505,1))=0),"REVIEW","READY"))))</f>
        <v/>
      </c>
      <c r="BA428" s="16" t="str">
        <f>IF(AZ428="","",IF(OR(AZ428="READY",AZ428="TO_PROPOSED"),"",IF(AZ428="SKIP","Skipped by decision",TRIM(IF(B428="","missing import_action; ","")&amp;IF(A428="","missing migration_customer_key; ","")&amp;IF(AND(A428&lt;&gt;"",COUNTIF($A$6:$A$505,A428)&gt;1),"duplicate migration_customer_key; ","")&amp;IF(AND(NOT(OR(B428="to_candidate",AV428="proposed_name")),E428=""),"missing branch_id; ","")&amp;IF(AND(NOT(OR(B428="to_candidate",AV428="proposed_name")),G428=""),"missing first_name; ","")&amp;IF(AND(NOT(OR(B428="to_candidate",AV428="proposed_name")),I428=""),"missing last_name; ","")&amp;IF(AND(NOT(OR(B428="to_candidate",AV428="proposed_name")),U428=""),"missing final_geo_unit_id; ","")&amp;IF(AV428="","missing final_destination; ","")&amp;IF(AND(NOT(OR(B428="to_candidate",AV428="proposed_name")),(COUNTIFS('أرقام التواصل'!$A$6:$A$505,"client",'أرقام التواصل'!$B$6:$B$505,A428,'أرقام التواصل'!$I$6:$I$505,"TRUE")+COUNTIFS('أرقام التواصل'!$A$6:$A$505,"client",'أرقام التواصل'!$B$6:$B$505,A428,'أرقام التواصل'!$C$6:$C$505,1))=0),"missing primary contact in أرقام التواصل; ","")&amp;IF(OR(B428="to_candidate",AV428="proposed_name"),IF(AW428="","missing proposed_move_reason; ","")&amp;IF(AX428="","missing proposed_name_key; ",""),"")))))</f>
        <v/>
      </c>
    </row>
    <row r="429" spans="1:53">
      <c r="A429" s="11"/>
      <c r="B429" s="12"/>
      <c r="C429" s="13"/>
      <c r="D429" s="12"/>
      <c r="E429" s="12"/>
      <c r="F429" s="12"/>
      <c r="G429" s="12"/>
      <c r="H429" s="12"/>
      <c r="I429" s="12"/>
      <c r="J429" s="12"/>
      <c r="K429" s="12" t="str">
        <f t="shared" si="11"/>
        <v/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 t="str">
        <f t="shared" si="12"/>
        <v/>
      </c>
      <c r="V429" s="12"/>
      <c r="W429" s="14"/>
      <c r="X429" s="14"/>
      <c r="Y429" s="13"/>
      <c r="Z429" s="12"/>
      <c r="AA429" s="12"/>
      <c r="AB429" s="12"/>
      <c r="AC429" s="12"/>
      <c r="AD429" s="15"/>
      <c r="AE429" s="12"/>
      <c r="AF429" s="13"/>
      <c r="AG429" s="12"/>
      <c r="AH429" s="12"/>
      <c r="AI429" s="15"/>
      <c r="AJ429" s="12"/>
      <c r="AK429" s="12"/>
      <c r="AL429" s="12"/>
      <c r="AM429" s="12"/>
      <c r="AN429" s="12"/>
      <c r="AO429" s="12"/>
      <c r="AP429" s="12"/>
      <c r="AQ429" s="15"/>
      <c r="AR429" s="12"/>
      <c r="AS429" s="12"/>
      <c r="AT429" s="12"/>
      <c r="AU429" s="12"/>
      <c r="AV429" s="12"/>
      <c r="AW429" s="12"/>
      <c r="AX429" s="13"/>
      <c r="AY429" s="12"/>
      <c r="AZ429" s="12" t="str">
        <f>IF(AND(A429="",B429="",E429="",G429="",I429="",AV429="",AX429=""),"",IF(OR(B429="skip",AV429="skip"),"SKIP",IF(OR(B429="to_candidate",AV429="proposed_name"),IF(OR(A429="",AW429="",AX429="",COUNTIF($A$6:$A$505,A429)&gt;1),"REVIEW","TO_PROPOSED"),IF(OR(B429="",A429="",E429="",G429="",I429="",U429="",AV429="",COUNTIF($A$6:$A$505,A429)&gt;1,(COUNTIFS('أرقام التواصل'!$A$6:$A$505,"client",'أرقام التواصل'!$B$6:$B$505,A429,'أرقام التواصل'!$I$6:$I$505,"TRUE")+COUNTIFS('أرقام التواصل'!$A$6:$A$505,"client",'أرقام التواصل'!$B$6:$B$505,A429,'أرقام التواصل'!$C$6:$C$505,1))=0),"REVIEW","READY"))))</f>
        <v/>
      </c>
      <c r="BA429" s="16" t="str">
        <f>IF(AZ429="","",IF(OR(AZ429="READY",AZ429="TO_PROPOSED"),"",IF(AZ429="SKIP","Skipped by decision",TRIM(IF(B429="","missing import_action; ","")&amp;IF(A429="","missing migration_customer_key; ","")&amp;IF(AND(A429&lt;&gt;"",COUNTIF($A$6:$A$505,A429)&gt;1),"duplicate migration_customer_key; ","")&amp;IF(AND(NOT(OR(B429="to_candidate",AV429="proposed_name")),E429=""),"missing branch_id; ","")&amp;IF(AND(NOT(OR(B429="to_candidate",AV429="proposed_name")),G429=""),"missing first_name; ","")&amp;IF(AND(NOT(OR(B429="to_candidate",AV429="proposed_name")),I429=""),"missing last_name; ","")&amp;IF(AND(NOT(OR(B429="to_candidate",AV429="proposed_name")),U429=""),"missing final_geo_unit_id; ","")&amp;IF(AV429="","missing final_destination; ","")&amp;IF(AND(NOT(OR(B429="to_candidate",AV429="proposed_name")),(COUNTIFS('أرقام التواصل'!$A$6:$A$505,"client",'أرقام التواصل'!$B$6:$B$505,A429,'أرقام التواصل'!$I$6:$I$505,"TRUE")+COUNTIFS('أرقام التواصل'!$A$6:$A$505,"client",'أرقام التواصل'!$B$6:$B$505,A429,'أرقام التواصل'!$C$6:$C$505,1))=0),"missing primary contact in أرقام التواصل; ","")&amp;IF(OR(B429="to_candidate",AV429="proposed_name"),IF(AW429="","missing proposed_move_reason; ","")&amp;IF(AX429="","missing proposed_name_key; ",""),"")))))</f>
        <v/>
      </c>
    </row>
    <row r="430" spans="1:53">
      <c r="A430" s="11"/>
      <c r="B430" s="12"/>
      <c r="C430" s="13"/>
      <c r="D430" s="12"/>
      <c r="E430" s="12"/>
      <c r="F430" s="12"/>
      <c r="G430" s="12"/>
      <c r="H430" s="12"/>
      <c r="I430" s="12"/>
      <c r="J430" s="12"/>
      <c r="K430" s="12" t="str">
        <f t="shared" si="11"/>
        <v/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 t="str">
        <f t="shared" si="12"/>
        <v/>
      </c>
      <c r="V430" s="12"/>
      <c r="W430" s="14"/>
      <c r="X430" s="14"/>
      <c r="Y430" s="13"/>
      <c r="Z430" s="12"/>
      <c r="AA430" s="12"/>
      <c r="AB430" s="12"/>
      <c r="AC430" s="12"/>
      <c r="AD430" s="15"/>
      <c r="AE430" s="12"/>
      <c r="AF430" s="13"/>
      <c r="AG430" s="12"/>
      <c r="AH430" s="12"/>
      <c r="AI430" s="15"/>
      <c r="AJ430" s="12"/>
      <c r="AK430" s="12"/>
      <c r="AL430" s="12"/>
      <c r="AM430" s="12"/>
      <c r="AN430" s="12"/>
      <c r="AO430" s="12"/>
      <c r="AP430" s="12"/>
      <c r="AQ430" s="15"/>
      <c r="AR430" s="12"/>
      <c r="AS430" s="12"/>
      <c r="AT430" s="12"/>
      <c r="AU430" s="12"/>
      <c r="AV430" s="12"/>
      <c r="AW430" s="12"/>
      <c r="AX430" s="13"/>
      <c r="AY430" s="12"/>
      <c r="AZ430" s="12" t="str">
        <f>IF(AND(A430="",B430="",E430="",G430="",I430="",AV430="",AX430=""),"",IF(OR(B430="skip",AV430="skip"),"SKIP",IF(OR(B430="to_candidate",AV430="proposed_name"),IF(OR(A430="",AW430="",AX430="",COUNTIF($A$6:$A$505,A430)&gt;1),"REVIEW","TO_PROPOSED"),IF(OR(B430="",A430="",E430="",G430="",I430="",U430="",AV430="",COUNTIF($A$6:$A$505,A430)&gt;1,(COUNTIFS('أرقام التواصل'!$A$6:$A$505,"client",'أرقام التواصل'!$B$6:$B$505,A430,'أرقام التواصل'!$I$6:$I$505,"TRUE")+COUNTIFS('أرقام التواصل'!$A$6:$A$505,"client",'أرقام التواصل'!$B$6:$B$505,A430,'أرقام التواصل'!$C$6:$C$505,1))=0),"REVIEW","READY"))))</f>
        <v/>
      </c>
      <c r="BA430" s="16" t="str">
        <f>IF(AZ430="","",IF(OR(AZ430="READY",AZ430="TO_PROPOSED"),"",IF(AZ430="SKIP","Skipped by decision",TRIM(IF(B430="","missing import_action; ","")&amp;IF(A430="","missing migration_customer_key; ","")&amp;IF(AND(A430&lt;&gt;"",COUNTIF($A$6:$A$505,A430)&gt;1),"duplicate migration_customer_key; ","")&amp;IF(AND(NOT(OR(B430="to_candidate",AV430="proposed_name")),E430=""),"missing branch_id; ","")&amp;IF(AND(NOT(OR(B430="to_candidate",AV430="proposed_name")),G430=""),"missing first_name; ","")&amp;IF(AND(NOT(OR(B430="to_candidate",AV430="proposed_name")),I430=""),"missing last_name; ","")&amp;IF(AND(NOT(OR(B430="to_candidate",AV430="proposed_name")),U430=""),"missing final_geo_unit_id; ","")&amp;IF(AV430="","missing final_destination; ","")&amp;IF(AND(NOT(OR(B430="to_candidate",AV430="proposed_name")),(COUNTIFS('أرقام التواصل'!$A$6:$A$505,"client",'أرقام التواصل'!$B$6:$B$505,A430,'أرقام التواصل'!$I$6:$I$505,"TRUE")+COUNTIFS('أرقام التواصل'!$A$6:$A$505,"client",'أرقام التواصل'!$B$6:$B$505,A430,'أرقام التواصل'!$C$6:$C$505,1))=0),"missing primary contact in أرقام التواصل; ","")&amp;IF(OR(B430="to_candidate",AV430="proposed_name"),IF(AW430="","missing proposed_move_reason; ","")&amp;IF(AX430="","missing proposed_name_key; ",""),"")))))</f>
        <v/>
      </c>
    </row>
    <row r="431" spans="1:53">
      <c r="A431" s="11"/>
      <c r="B431" s="12"/>
      <c r="C431" s="13"/>
      <c r="D431" s="12"/>
      <c r="E431" s="12"/>
      <c r="F431" s="12"/>
      <c r="G431" s="12"/>
      <c r="H431" s="12"/>
      <c r="I431" s="12"/>
      <c r="J431" s="12"/>
      <c r="K431" s="12" t="str">
        <f t="shared" si="11"/>
        <v/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 t="str">
        <f t="shared" si="12"/>
        <v/>
      </c>
      <c r="V431" s="12"/>
      <c r="W431" s="14"/>
      <c r="X431" s="14"/>
      <c r="Y431" s="13"/>
      <c r="Z431" s="12"/>
      <c r="AA431" s="12"/>
      <c r="AB431" s="12"/>
      <c r="AC431" s="12"/>
      <c r="AD431" s="15"/>
      <c r="AE431" s="12"/>
      <c r="AF431" s="13"/>
      <c r="AG431" s="12"/>
      <c r="AH431" s="12"/>
      <c r="AI431" s="15"/>
      <c r="AJ431" s="12"/>
      <c r="AK431" s="12"/>
      <c r="AL431" s="12"/>
      <c r="AM431" s="12"/>
      <c r="AN431" s="12"/>
      <c r="AO431" s="12"/>
      <c r="AP431" s="12"/>
      <c r="AQ431" s="15"/>
      <c r="AR431" s="12"/>
      <c r="AS431" s="12"/>
      <c r="AT431" s="12"/>
      <c r="AU431" s="12"/>
      <c r="AV431" s="12"/>
      <c r="AW431" s="12"/>
      <c r="AX431" s="13"/>
      <c r="AY431" s="12"/>
      <c r="AZ431" s="12" t="str">
        <f>IF(AND(A431="",B431="",E431="",G431="",I431="",AV431="",AX431=""),"",IF(OR(B431="skip",AV431="skip"),"SKIP",IF(OR(B431="to_candidate",AV431="proposed_name"),IF(OR(A431="",AW431="",AX431="",COUNTIF($A$6:$A$505,A431)&gt;1),"REVIEW","TO_PROPOSED"),IF(OR(B431="",A431="",E431="",G431="",I431="",U431="",AV431="",COUNTIF($A$6:$A$505,A431)&gt;1,(COUNTIFS('أرقام التواصل'!$A$6:$A$505,"client",'أرقام التواصل'!$B$6:$B$505,A431,'أرقام التواصل'!$I$6:$I$505,"TRUE")+COUNTIFS('أرقام التواصل'!$A$6:$A$505,"client",'أرقام التواصل'!$B$6:$B$505,A431,'أرقام التواصل'!$C$6:$C$505,1))=0),"REVIEW","READY"))))</f>
        <v/>
      </c>
      <c r="BA431" s="16" t="str">
        <f>IF(AZ431="","",IF(OR(AZ431="READY",AZ431="TO_PROPOSED"),"",IF(AZ431="SKIP","Skipped by decision",TRIM(IF(B431="","missing import_action; ","")&amp;IF(A431="","missing migration_customer_key; ","")&amp;IF(AND(A431&lt;&gt;"",COUNTIF($A$6:$A$505,A431)&gt;1),"duplicate migration_customer_key; ","")&amp;IF(AND(NOT(OR(B431="to_candidate",AV431="proposed_name")),E431=""),"missing branch_id; ","")&amp;IF(AND(NOT(OR(B431="to_candidate",AV431="proposed_name")),G431=""),"missing first_name; ","")&amp;IF(AND(NOT(OR(B431="to_candidate",AV431="proposed_name")),I431=""),"missing last_name; ","")&amp;IF(AND(NOT(OR(B431="to_candidate",AV431="proposed_name")),U431=""),"missing final_geo_unit_id; ","")&amp;IF(AV431="","missing final_destination; ","")&amp;IF(AND(NOT(OR(B431="to_candidate",AV431="proposed_name")),(COUNTIFS('أرقام التواصل'!$A$6:$A$505,"client",'أرقام التواصل'!$B$6:$B$505,A431,'أرقام التواصل'!$I$6:$I$505,"TRUE")+COUNTIFS('أرقام التواصل'!$A$6:$A$505,"client",'أرقام التواصل'!$B$6:$B$505,A431,'أرقام التواصل'!$C$6:$C$505,1))=0),"missing primary contact in أرقام التواصل; ","")&amp;IF(OR(B431="to_candidate",AV431="proposed_name"),IF(AW431="","missing proposed_move_reason; ","")&amp;IF(AX431="","missing proposed_name_key; ",""),"")))))</f>
        <v/>
      </c>
    </row>
    <row r="432" spans="1:53">
      <c r="A432" s="11"/>
      <c r="B432" s="12"/>
      <c r="C432" s="13"/>
      <c r="D432" s="12"/>
      <c r="E432" s="12"/>
      <c r="F432" s="12"/>
      <c r="G432" s="12"/>
      <c r="H432" s="12"/>
      <c r="I432" s="12"/>
      <c r="J432" s="12"/>
      <c r="K432" s="12" t="str">
        <f t="shared" si="11"/>
        <v/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 t="str">
        <f t="shared" si="12"/>
        <v/>
      </c>
      <c r="V432" s="12"/>
      <c r="W432" s="14"/>
      <c r="X432" s="14"/>
      <c r="Y432" s="13"/>
      <c r="Z432" s="12"/>
      <c r="AA432" s="12"/>
      <c r="AB432" s="12"/>
      <c r="AC432" s="12"/>
      <c r="AD432" s="15"/>
      <c r="AE432" s="12"/>
      <c r="AF432" s="13"/>
      <c r="AG432" s="12"/>
      <c r="AH432" s="12"/>
      <c r="AI432" s="15"/>
      <c r="AJ432" s="12"/>
      <c r="AK432" s="12"/>
      <c r="AL432" s="12"/>
      <c r="AM432" s="12"/>
      <c r="AN432" s="12"/>
      <c r="AO432" s="12"/>
      <c r="AP432" s="12"/>
      <c r="AQ432" s="15"/>
      <c r="AR432" s="12"/>
      <c r="AS432" s="12"/>
      <c r="AT432" s="12"/>
      <c r="AU432" s="12"/>
      <c r="AV432" s="12"/>
      <c r="AW432" s="12"/>
      <c r="AX432" s="13"/>
      <c r="AY432" s="12"/>
      <c r="AZ432" s="12" t="str">
        <f>IF(AND(A432="",B432="",E432="",G432="",I432="",AV432="",AX432=""),"",IF(OR(B432="skip",AV432="skip"),"SKIP",IF(OR(B432="to_candidate",AV432="proposed_name"),IF(OR(A432="",AW432="",AX432="",COUNTIF($A$6:$A$505,A432)&gt;1),"REVIEW","TO_PROPOSED"),IF(OR(B432="",A432="",E432="",G432="",I432="",U432="",AV432="",COUNTIF($A$6:$A$505,A432)&gt;1,(COUNTIFS('أرقام التواصل'!$A$6:$A$505,"client",'أرقام التواصل'!$B$6:$B$505,A432,'أرقام التواصل'!$I$6:$I$505,"TRUE")+COUNTIFS('أرقام التواصل'!$A$6:$A$505,"client",'أرقام التواصل'!$B$6:$B$505,A432,'أرقام التواصل'!$C$6:$C$505,1))=0),"REVIEW","READY"))))</f>
        <v/>
      </c>
      <c r="BA432" s="16" t="str">
        <f>IF(AZ432="","",IF(OR(AZ432="READY",AZ432="TO_PROPOSED"),"",IF(AZ432="SKIP","Skipped by decision",TRIM(IF(B432="","missing import_action; ","")&amp;IF(A432="","missing migration_customer_key; ","")&amp;IF(AND(A432&lt;&gt;"",COUNTIF($A$6:$A$505,A432)&gt;1),"duplicate migration_customer_key; ","")&amp;IF(AND(NOT(OR(B432="to_candidate",AV432="proposed_name")),E432=""),"missing branch_id; ","")&amp;IF(AND(NOT(OR(B432="to_candidate",AV432="proposed_name")),G432=""),"missing first_name; ","")&amp;IF(AND(NOT(OR(B432="to_candidate",AV432="proposed_name")),I432=""),"missing last_name; ","")&amp;IF(AND(NOT(OR(B432="to_candidate",AV432="proposed_name")),U432=""),"missing final_geo_unit_id; ","")&amp;IF(AV432="","missing final_destination; ","")&amp;IF(AND(NOT(OR(B432="to_candidate",AV432="proposed_name")),(COUNTIFS('أرقام التواصل'!$A$6:$A$505,"client",'أرقام التواصل'!$B$6:$B$505,A432,'أرقام التواصل'!$I$6:$I$505,"TRUE")+COUNTIFS('أرقام التواصل'!$A$6:$A$505,"client",'أرقام التواصل'!$B$6:$B$505,A432,'أرقام التواصل'!$C$6:$C$505,1))=0),"missing primary contact in أرقام التواصل; ","")&amp;IF(OR(B432="to_candidate",AV432="proposed_name"),IF(AW432="","missing proposed_move_reason; ","")&amp;IF(AX432="","missing proposed_name_key; ",""),"")))))</f>
        <v/>
      </c>
    </row>
    <row r="433" spans="1:53">
      <c r="A433" s="11"/>
      <c r="B433" s="12"/>
      <c r="C433" s="13"/>
      <c r="D433" s="12"/>
      <c r="E433" s="12"/>
      <c r="F433" s="12"/>
      <c r="G433" s="12"/>
      <c r="H433" s="12"/>
      <c r="I433" s="12"/>
      <c r="J433" s="12"/>
      <c r="K433" s="12" t="str">
        <f t="shared" si="11"/>
        <v/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 t="str">
        <f t="shared" si="12"/>
        <v/>
      </c>
      <c r="V433" s="12"/>
      <c r="W433" s="14"/>
      <c r="X433" s="14"/>
      <c r="Y433" s="13"/>
      <c r="Z433" s="12"/>
      <c r="AA433" s="12"/>
      <c r="AB433" s="12"/>
      <c r="AC433" s="12"/>
      <c r="AD433" s="15"/>
      <c r="AE433" s="12"/>
      <c r="AF433" s="13"/>
      <c r="AG433" s="12"/>
      <c r="AH433" s="12"/>
      <c r="AI433" s="15"/>
      <c r="AJ433" s="12"/>
      <c r="AK433" s="12"/>
      <c r="AL433" s="12"/>
      <c r="AM433" s="12"/>
      <c r="AN433" s="12"/>
      <c r="AO433" s="12"/>
      <c r="AP433" s="12"/>
      <c r="AQ433" s="15"/>
      <c r="AR433" s="12"/>
      <c r="AS433" s="12"/>
      <c r="AT433" s="12"/>
      <c r="AU433" s="12"/>
      <c r="AV433" s="12"/>
      <c r="AW433" s="12"/>
      <c r="AX433" s="13"/>
      <c r="AY433" s="12"/>
      <c r="AZ433" s="12" t="str">
        <f>IF(AND(A433="",B433="",E433="",G433="",I433="",AV433="",AX433=""),"",IF(OR(B433="skip",AV433="skip"),"SKIP",IF(OR(B433="to_candidate",AV433="proposed_name"),IF(OR(A433="",AW433="",AX433="",COUNTIF($A$6:$A$505,A433)&gt;1),"REVIEW","TO_PROPOSED"),IF(OR(B433="",A433="",E433="",G433="",I433="",U433="",AV433="",COUNTIF($A$6:$A$505,A433)&gt;1,(COUNTIFS('أرقام التواصل'!$A$6:$A$505,"client",'أرقام التواصل'!$B$6:$B$505,A433,'أرقام التواصل'!$I$6:$I$505,"TRUE")+COUNTIFS('أرقام التواصل'!$A$6:$A$505,"client",'أرقام التواصل'!$B$6:$B$505,A433,'أرقام التواصل'!$C$6:$C$505,1))=0),"REVIEW","READY"))))</f>
        <v/>
      </c>
      <c r="BA433" s="16" t="str">
        <f>IF(AZ433="","",IF(OR(AZ433="READY",AZ433="TO_PROPOSED"),"",IF(AZ433="SKIP","Skipped by decision",TRIM(IF(B433="","missing import_action; ","")&amp;IF(A433="","missing migration_customer_key; ","")&amp;IF(AND(A433&lt;&gt;"",COUNTIF($A$6:$A$505,A433)&gt;1),"duplicate migration_customer_key; ","")&amp;IF(AND(NOT(OR(B433="to_candidate",AV433="proposed_name")),E433=""),"missing branch_id; ","")&amp;IF(AND(NOT(OR(B433="to_candidate",AV433="proposed_name")),G433=""),"missing first_name; ","")&amp;IF(AND(NOT(OR(B433="to_candidate",AV433="proposed_name")),I433=""),"missing last_name; ","")&amp;IF(AND(NOT(OR(B433="to_candidate",AV433="proposed_name")),U433=""),"missing final_geo_unit_id; ","")&amp;IF(AV433="","missing final_destination; ","")&amp;IF(AND(NOT(OR(B433="to_candidate",AV433="proposed_name")),(COUNTIFS('أرقام التواصل'!$A$6:$A$505,"client",'أرقام التواصل'!$B$6:$B$505,A433,'أرقام التواصل'!$I$6:$I$505,"TRUE")+COUNTIFS('أرقام التواصل'!$A$6:$A$505,"client",'أرقام التواصل'!$B$6:$B$505,A433,'أرقام التواصل'!$C$6:$C$505,1))=0),"missing primary contact in أرقام التواصل; ","")&amp;IF(OR(B433="to_candidate",AV433="proposed_name"),IF(AW433="","missing proposed_move_reason; ","")&amp;IF(AX433="","missing proposed_name_key; ",""),"")))))</f>
        <v/>
      </c>
    </row>
    <row r="434" spans="1:53">
      <c r="A434" s="11"/>
      <c r="B434" s="12"/>
      <c r="C434" s="13"/>
      <c r="D434" s="12"/>
      <c r="E434" s="12"/>
      <c r="F434" s="12"/>
      <c r="G434" s="12"/>
      <c r="H434" s="12"/>
      <c r="I434" s="12"/>
      <c r="J434" s="12"/>
      <c r="K434" s="12" t="str">
        <f t="shared" si="11"/>
        <v/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 t="str">
        <f t="shared" si="12"/>
        <v/>
      </c>
      <c r="V434" s="12"/>
      <c r="W434" s="14"/>
      <c r="X434" s="14"/>
      <c r="Y434" s="13"/>
      <c r="Z434" s="12"/>
      <c r="AA434" s="12"/>
      <c r="AB434" s="12"/>
      <c r="AC434" s="12"/>
      <c r="AD434" s="15"/>
      <c r="AE434" s="12"/>
      <c r="AF434" s="13"/>
      <c r="AG434" s="12"/>
      <c r="AH434" s="12"/>
      <c r="AI434" s="15"/>
      <c r="AJ434" s="12"/>
      <c r="AK434" s="12"/>
      <c r="AL434" s="12"/>
      <c r="AM434" s="12"/>
      <c r="AN434" s="12"/>
      <c r="AO434" s="12"/>
      <c r="AP434" s="12"/>
      <c r="AQ434" s="15"/>
      <c r="AR434" s="12"/>
      <c r="AS434" s="12"/>
      <c r="AT434" s="12"/>
      <c r="AU434" s="12"/>
      <c r="AV434" s="12"/>
      <c r="AW434" s="12"/>
      <c r="AX434" s="13"/>
      <c r="AY434" s="12"/>
      <c r="AZ434" s="12" t="str">
        <f>IF(AND(A434="",B434="",E434="",G434="",I434="",AV434="",AX434=""),"",IF(OR(B434="skip",AV434="skip"),"SKIP",IF(OR(B434="to_candidate",AV434="proposed_name"),IF(OR(A434="",AW434="",AX434="",COUNTIF($A$6:$A$505,A434)&gt;1),"REVIEW","TO_PROPOSED"),IF(OR(B434="",A434="",E434="",G434="",I434="",U434="",AV434="",COUNTIF($A$6:$A$505,A434)&gt;1,(COUNTIFS('أرقام التواصل'!$A$6:$A$505,"client",'أرقام التواصل'!$B$6:$B$505,A434,'أرقام التواصل'!$I$6:$I$505,"TRUE")+COUNTIFS('أرقام التواصل'!$A$6:$A$505,"client",'أرقام التواصل'!$B$6:$B$505,A434,'أرقام التواصل'!$C$6:$C$505,1))=0),"REVIEW","READY"))))</f>
        <v/>
      </c>
      <c r="BA434" s="16" t="str">
        <f>IF(AZ434="","",IF(OR(AZ434="READY",AZ434="TO_PROPOSED"),"",IF(AZ434="SKIP","Skipped by decision",TRIM(IF(B434="","missing import_action; ","")&amp;IF(A434="","missing migration_customer_key; ","")&amp;IF(AND(A434&lt;&gt;"",COUNTIF($A$6:$A$505,A434)&gt;1),"duplicate migration_customer_key; ","")&amp;IF(AND(NOT(OR(B434="to_candidate",AV434="proposed_name")),E434=""),"missing branch_id; ","")&amp;IF(AND(NOT(OR(B434="to_candidate",AV434="proposed_name")),G434=""),"missing first_name; ","")&amp;IF(AND(NOT(OR(B434="to_candidate",AV434="proposed_name")),I434=""),"missing last_name; ","")&amp;IF(AND(NOT(OR(B434="to_candidate",AV434="proposed_name")),U434=""),"missing final_geo_unit_id; ","")&amp;IF(AV434="","missing final_destination; ","")&amp;IF(AND(NOT(OR(B434="to_candidate",AV434="proposed_name")),(COUNTIFS('أرقام التواصل'!$A$6:$A$505,"client",'أرقام التواصل'!$B$6:$B$505,A434,'أرقام التواصل'!$I$6:$I$505,"TRUE")+COUNTIFS('أرقام التواصل'!$A$6:$A$505,"client",'أرقام التواصل'!$B$6:$B$505,A434,'أرقام التواصل'!$C$6:$C$505,1))=0),"missing primary contact in أرقام التواصل; ","")&amp;IF(OR(B434="to_candidate",AV434="proposed_name"),IF(AW434="","missing proposed_move_reason; ","")&amp;IF(AX434="","missing proposed_name_key; ",""),"")))))</f>
        <v/>
      </c>
    </row>
    <row r="435" spans="1:53">
      <c r="A435" s="11"/>
      <c r="B435" s="12"/>
      <c r="C435" s="13"/>
      <c r="D435" s="12"/>
      <c r="E435" s="12"/>
      <c r="F435" s="12"/>
      <c r="G435" s="12"/>
      <c r="H435" s="12"/>
      <c r="I435" s="12"/>
      <c r="J435" s="12"/>
      <c r="K435" s="12" t="str">
        <f t="shared" si="11"/>
        <v/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 t="str">
        <f t="shared" si="12"/>
        <v/>
      </c>
      <c r="V435" s="12"/>
      <c r="W435" s="14"/>
      <c r="X435" s="14"/>
      <c r="Y435" s="13"/>
      <c r="Z435" s="12"/>
      <c r="AA435" s="12"/>
      <c r="AB435" s="12"/>
      <c r="AC435" s="12"/>
      <c r="AD435" s="15"/>
      <c r="AE435" s="12"/>
      <c r="AF435" s="13"/>
      <c r="AG435" s="12"/>
      <c r="AH435" s="12"/>
      <c r="AI435" s="15"/>
      <c r="AJ435" s="12"/>
      <c r="AK435" s="12"/>
      <c r="AL435" s="12"/>
      <c r="AM435" s="12"/>
      <c r="AN435" s="12"/>
      <c r="AO435" s="12"/>
      <c r="AP435" s="12"/>
      <c r="AQ435" s="15"/>
      <c r="AR435" s="12"/>
      <c r="AS435" s="12"/>
      <c r="AT435" s="12"/>
      <c r="AU435" s="12"/>
      <c r="AV435" s="12"/>
      <c r="AW435" s="12"/>
      <c r="AX435" s="13"/>
      <c r="AY435" s="12"/>
      <c r="AZ435" s="12" t="str">
        <f>IF(AND(A435="",B435="",E435="",G435="",I435="",AV435="",AX435=""),"",IF(OR(B435="skip",AV435="skip"),"SKIP",IF(OR(B435="to_candidate",AV435="proposed_name"),IF(OR(A435="",AW435="",AX435="",COUNTIF($A$6:$A$505,A435)&gt;1),"REVIEW","TO_PROPOSED"),IF(OR(B435="",A435="",E435="",G435="",I435="",U435="",AV435="",COUNTIF($A$6:$A$505,A435)&gt;1,(COUNTIFS('أرقام التواصل'!$A$6:$A$505,"client",'أرقام التواصل'!$B$6:$B$505,A435,'أرقام التواصل'!$I$6:$I$505,"TRUE")+COUNTIFS('أرقام التواصل'!$A$6:$A$505,"client",'أرقام التواصل'!$B$6:$B$505,A435,'أرقام التواصل'!$C$6:$C$505,1))=0),"REVIEW","READY"))))</f>
        <v/>
      </c>
      <c r="BA435" s="16" t="str">
        <f>IF(AZ435="","",IF(OR(AZ435="READY",AZ435="TO_PROPOSED"),"",IF(AZ435="SKIP","Skipped by decision",TRIM(IF(B435="","missing import_action; ","")&amp;IF(A435="","missing migration_customer_key; ","")&amp;IF(AND(A435&lt;&gt;"",COUNTIF($A$6:$A$505,A435)&gt;1),"duplicate migration_customer_key; ","")&amp;IF(AND(NOT(OR(B435="to_candidate",AV435="proposed_name")),E435=""),"missing branch_id; ","")&amp;IF(AND(NOT(OR(B435="to_candidate",AV435="proposed_name")),G435=""),"missing first_name; ","")&amp;IF(AND(NOT(OR(B435="to_candidate",AV435="proposed_name")),I435=""),"missing last_name; ","")&amp;IF(AND(NOT(OR(B435="to_candidate",AV435="proposed_name")),U435=""),"missing final_geo_unit_id; ","")&amp;IF(AV435="","missing final_destination; ","")&amp;IF(AND(NOT(OR(B435="to_candidate",AV435="proposed_name")),(COUNTIFS('أرقام التواصل'!$A$6:$A$505,"client",'أرقام التواصل'!$B$6:$B$505,A435,'أرقام التواصل'!$I$6:$I$505,"TRUE")+COUNTIFS('أرقام التواصل'!$A$6:$A$505,"client",'أرقام التواصل'!$B$6:$B$505,A435,'أرقام التواصل'!$C$6:$C$505,1))=0),"missing primary contact in أرقام التواصل; ","")&amp;IF(OR(B435="to_candidate",AV435="proposed_name"),IF(AW435="","missing proposed_move_reason; ","")&amp;IF(AX435="","missing proposed_name_key; ",""),"")))))</f>
        <v/>
      </c>
    </row>
    <row r="436" spans="1:53">
      <c r="A436" s="11"/>
      <c r="B436" s="12"/>
      <c r="C436" s="13"/>
      <c r="D436" s="12"/>
      <c r="E436" s="12"/>
      <c r="F436" s="12"/>
      <c r="G436" s="12"/>
      <c r="H436" s="12"/>
      <c r="I436" s="12"/>
      <c r="J436" s="12"/>
      <c r="K436" s="12" t="str">
        <f t="shared" si="11"/>
        <v/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 t="str">
        <f t="shared" si="12"/>
        <v/>
      </c>
      <c r="V436" s="12"/>
      <c r="W436" s="14"/>
      <c r="X436" s="14"/>
      <c r="Y436" s="13"/>
      <c r="Z436" s="12"/>
      <c r="AA436" s="12"/>
      <c r="AB436" s="12"/>
      <c r="AC436" s="12"/>
      <c r="AD436" s="15"/>
      <c r="AE436" s="12"/>
      <c r="AF436" s="13"/>
      <c r="AG436" s="12"/>
      <c r="AH436" s="12"/>
      <c r="AI436" s="15"/>
      <c r="AJ436" s="12"/>
      <c r="AK436" s="12"/>
      <c r="AL436" s="12"/>
      <c r="AM436" s="12"/>
      <c r="AN436" s="12"/>
      <c r="AO436" s="12"/>
      <c r="AP436" s="12"/>
      <c r="AQ436" s="15"/>
      <c r="AR436" s="12"/>
      <c r="AS436" s="12"/>
      <c r="AT436" s="12"/>
      <c r="AU436" s="12"/>
      <c r="AV436" s="12"/>
      <c r="AW436" s="12"/>
      <c r="AX436" s="13"/>
      <c r="AY436" s="12"/>
      <c r="AZ436" s="12" t="str">
        <f>IF(AND(A436="",B436="",E436="",G436="",I436="",AV436="",AX436=""),"",IF(OR(B436="skip",AV436="skip"),"SKIP",IF(OR(B436="to_candidate",AV436="proposed_name"),IF(OR(A436="",AW436="",AX436="",COUNTIF($A$6:$A$505,A436)&gt;1),"REVIEW","TO_PROPOSED"),IF(OR(B436="",A436="",E436="",G436="",I436="",U436="",AV436="",COUNTIF($A$6:$A$505,A436)&gt;1,(COUNTIFS('أرقام التواصل'!$A$6:$A$505,"client",'أرقام التواصل'!$B$6:$B$505,A436,'أرقام التواصل'!$I$6:$I$505,"TRUE")+COUNTIFS('أرقام التواصل'!$A$6:$A$505,"client",'أرقام التواصل'!$B$6:$B$505,A436,'أرقام التواصل'!$C$6:$C$505,1))=0),"REVIEW","READY"))))</f>
        <v/>
      </c>
      <c r="BA436" s="16" t="str">
        <f>IF(AZ436="","",IF(OR(AZ436="READY",AZ436="TO_PROPOSED"),"",IF(AZ436="SKIP","Skipped by decision",TRIM(IF(B436="","missing import_action; ","")&amp;IF(A436="","missing migration_customer_key; ","")&amp;IF(AND(A436&lt;&gt;"",COUNTIF($A$6:$A$505,A436)&gt;1),"duplicate migration_customer_key; ","")&amp;IF(AND(NOT(OR(B436="to_candidate",AV436="proposed_name")),E436=""),"missing branch_id; ","")&amp;IF(AND(NOT(OR(B436="to_candidate",AV436="proposed_name")),G436=""),"missing first_name; ","")&amp;IF(AND(NOT(OR(B436="to_candidate",AV436="proposed_name")),I436=""),"missing last_name; ","")&amp;IF(AND(NOT(OR(B436="to_candidate",AV436="proposed_name")),U436=""),"missing final_geo_unit_id; ","")&amp;IF(AV436="","missing final_destination; ","")&amp;IF(AND(NOT(OR(B436="to_candidate",AV436="proposed_name")),(COUNTIFS('أرقام التواصل'!$A$6:$A$505,"client",'أرقام التواصل'!$B$6:$B$505,A436,'أرقام التواصل'!$I$6:$I$505,"TRUE")+COUNTIFS('أرقام التواصل'!$A$6:$A$505,"client",'أرقام التواصل'!$B$6:$B$505,A436,'أرقام التواصل'!$C$6:$C$505,1))=0),"missing primary contact in أرقام التواصل; ","")&amp;IF(OR(B436="to_candidate",AV436="proposed_name"),IF(AW436="","missing proposed_move_reason; ","")&amp;IF(AX436="","missing proposed_name_key; ",""),"")))))</f>
        <v/>
      </c>
    </row>
    <row r="437" spans="1:53">
      <c r="A437" s="11"/>
      <c r="B437" s="12"/>
      <c r="C437" s="13"/>
      <c r="D437" s="12"/>
      <c r="E437" s="12"/>
      <c r="F437" s="12"/>
      <c r="G437" s="12"/>
      <c r="H437" s="12"/>
      <c r="I437" s="12"/>
      <c r="J437" s="12"/>
      <c r="K437" s="12" t="str">
        <f t="shared" si="11"/>
        <v/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 t="str">
        <f t="shared" si="12"/>
        <v/>
      </c>
      <c r="V437" s="12"/>
      <c r="W437" s="14"/>
      <c r="X437" s="14"/>
      <c r="Y437" s="13"/>
      <c r="Z437" s="12"/>
      <c r="AA437" s="12"/>
      <c r="AB437" s="12"/>
      <c r="AC437" s="12"/>
      <c r="AD437" s="15"/>
      <c r="AE437" s="12"/>
      <c r="AF437" s="13"/>
      <c r="AG437" s="12"/>
      <c r="AH437" s="12"/>
      <c r="AI437" s="15"/>
      <c r="AJ437" s="12"/>
      <c r="AK437" s="12"/>
      <c r="AL437" s="12"/>
      <c r="AM437" s="12"/>
      <c r="AN437" s="12"/>
      <c r="AO437" s="12"/>
      <c r="AP437" s="12"/>
      <c r="AQ437" s="15"/>
      <c r="AR437" s="12"/>
      <c r="AS437" s="12"/>
      <c r="AT437" s="12"/>
      <c r="AU437" s="12"/>
      <c r="AV437" s="12"/>
      <c r="AW437" s="12"/>
      <c r="AX437" s="13"/>
      <c r="AY437" s="12"/>
      <c r="AZ437" s="12" t="str">
        <f>IF(AND(A437="",B437="",E437="",G437="",I437="",AV437="",AX437=""),"",IF(OR(B437="skip",AV437="skip"),"SKIP",IF(OR(B437="to_candidate",AV437="proposed_name"),IF(OR(A437="",AW437="",AX437="",COUNTIF($A$6:$A$505,A437)&gt;1),"REVIEW","TO_PROPOSED"),IF(OR(B437="",A437="",E437="",G437="",I437="",U437="",AV437="",COUNTIF($A$6:$A$505,A437)&gt;1,(COUNTIFS('أرقام التواصل'!$A$6:$A$505,"client",'أرقام التواصل'!$B$6:$B$505,A437,'أرقام التواصل'!$I$6:$I$505,"TRUE")+COUNTIFS('أرقام التواصل'!$A$6:$A$505,"client",'أرقام التواصل'!$B$6:$B$505,A437,'أرقام التواصل'!$C$6:$C$505,1))=0),"REVIEW","READY"))))</f>
        <v/>
      </c>
      <c r="BA437" s="16" t="str">
        <f>IF(AZ437="","",IF(OR(AZ437="READY",AZ437="TO_PROPOSED"),"",IF(AZ437="SKIP","Skipped by decision",TRIM(IF(B437="","missing import_action; ","")&amp;IF(A437="","missing migration_customer_key; ","")&amp;IF(AND(A437&lt;&gt;"",COUNTIF($A$6:$A$505,A437)&gt;1),"duplicate migration_customer_key; ","")&amp;IF(AND(NOT(OR(B437="to_candidate",AV437="proposed_name")),E437=""),"missing branch_id; ","")&amp;IF(AND(NOT(OR(B437="to_candidate",AV437="proposed_name")),G437=""),"missing first_name; ","")&amp;IF(AND(NOT(OR(B437="to_candidate",AV437="proposed_name")),I437=""),"missing last_name; ","")&amp;IF(AND(NOT(OR(B437="to_candidate",AV437="proposed_name")),U437=""),"missing final_geo_unit_id; ","")&amp;IF(AV437="","missing final_destination; ","")&amp;IF(AND(NOT(OR(B437="to_candidate",AV437="proposed_name")),(COUNTIFS('أرقام التواصل'!$A$6:$A$505,"client",'أرقام التواصل'!$B$6:$B$505,A437,'أرقام التواصل'!$I$6:$I$505,"TRUE")+COUNTIFS('أرقام التواصل'!$A$6:$A$505,"client",'أرقام التواصل'!$B$6:$B$505,A437,'أرقام التواصل'!$C$6:$C$505,1))=0),"missing primary contact in أرقام التواصل; ","")&amp;IF(OR(B437="to_candidate",AV437="proposed_name"),IF(AW437="","missing proposed_move_reason; ","")&amp;IF(AX437="","missing proposed_name_key; ",""),"")))))</f>
        <v/>
      </c>
    </row>
    <row r="438" spans="1:53">
      <c r="A438" s="11"/>
      <c r="B438" s="12"/>
      <c r="C438" s="13"/>
      <c r="D438" s="12"/>
      <c r="E438" s="12"/>
      <c r="F438" s="12"/>
      <c r="G438" s="12"/>
      <c r="H438" s="12"/>
      <c r="I438" s="12"/>
      <c r="J438" s="12"/>
      <c r="K438" s="12" t="str">
        <f t="shared" si="11"/>
        <v/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 t="str">
        <f t="shared" si="12"/>
        <v/>
      </c>
      <c r="V438" s="12"/>
      <c r="W438" s="14"/>
      <c r="X438" s="14"/>
      <c r="Y438" s="13"/>
      <c r="Z438" s="12"/>
      <c r="AA438" s="12"/>
      <c r="AB438" s="12"/>
      <c r="AC438" s="12"/>
      <c r="AD438" s="15"/>
      <c r="AE438" s="12"/>
      <c r="AF438" s="13"/>
      <c r="AG438" s="12"/>
      <c r="AH438" s="12"/>
      <c r="AI438" s="15"/>
      <c r="AJ438" s="12"/>
      <c r="AK438" s="12"/>
      <c r="AL438" s="12"/>
      <c r="AM438" s="12"/>
      <c r="AN438" s="12"/>
      <c r="AO438" s="12"/>
      <c r="AP438" s="12"/>
      <c r="AQ438" s="15"/>
      <c r="AR438" s="12"/>
      <c r="AS438" s="12"/>
      <c r="AT438" s="12"/>
      <c r="AU438" s="12"/>
      <c r="AV438" s="12"/>
      <c r="AW438" s="12"/>
      <c r="AX438" s="13"/>
      <c r="AY438" s="12"/>
      <c r="AZ438" s="12" t="str">
        <f>IF(AND(A438="",B438="",E438="",G438="",I438="",AV438="",AX438=""),"",IF(OR(B438="skip",AV438="skip"),"SKIP",IF(OR(B438="to_candidate",AV438="proposed_name"),IF(OR(A438="",AW438="",AX438="",COUNTIF($A$6:$A$505,A438)&gt;1),"REVIEW","TO_PROPOSED"),IF(OR(B438="",A438="",E438="",G438="",I438="",U438="",AV438="",COUNTIF($A$6:$A$505,A438)&gt;1,(COUNTIFS('أرقام التواصل'!$A$6:$A$505,"client",'أرقام التواصل'!$B$6:$B$505,A438,'أرقام التواصل'!$I$6:$I$505,"TRUE")+COUNTIFS('أرقام التواصل'!$A$6:$A$505,"client",'أرقام التواصل'!$B$6:$B$505,A438,'أرقام التواصل'!$C$6:$C$505,1))=0),"REVIEW","READY"))))</f>
        <v/>
      </c>
      <c r="BA438" s="16" t="str">
        <f>IF(AZ438="","",IF(OR(AZ438="READY",AZ438="TO_PROPOSED"),"",IF(AZ438="SKIP","Skipped by decision",TRIM(IF(B438="","missing import_action; ","")&amp;IF(A438="","missing migration_customer_key; ","")&amp;IF(AND(A438&lt;&gt;"",COUNTIF($A$6:$A$505,A438)&gt;1),"duplicate migration_customer_key; ","")&amp;IF(AND(NOT(OR(B438="to_candidate",AV438="proposed_name")),E438=""),"missing branch_id; ","")&amp;IF(AND(NOT(OR(B438="to_candidate",AV438="proposed_name")),G438=""),"missing first_name; ","")&amp;IF(AND(NOT(OR(B438="to_candidate",AV438="proposed_name")),I438=""),"missing last_name; ","")&amp;IF(AND(NOT(OR(B438="to_candidate",AV438="proposed_name")),U438=""),"missing final_geo_unit_id; ","")&amp;IF(AV438="","missing final_destination; ","")&amp;IF(AND(NOT(OR(B438="to_candidate",AV438="proposed_name")),(COUNTIFS('أرقام التواصل'!$A$6:$A$505,"client",'أرقام التواصل'!$B$6:$B$505,A438,'أرقام التواصل'!$I$6:$I$505,"TRUE")+COUNTIFS('أرقام التواصل'!$A$6:$A$505,"client",'أرقام التواصل'!$B$6:$B$505,A438,'أرقام التواصل'!$C$6:$C$505,1))=0),"missing primary contact in أرقام التواصل; ","")&amp;IF(OR(B438="to_candidate",AV438="proposed_name"),IF(AW438="","missing proposed_move_reason; ","")&amp;IF(AX438="","missing proposed_name_key; ",""),"")))))</f>
        <v/>
      </c>
    </row>
    <row r="439" spans="1:53">
      <c r="A439" s="11"/>
      <c r="B439" s="12"/>
      <c r="C439" s="13"/>
      <c r="D439" s="12"/>
      <c r="E439" s="12"/>
      <c r="F439" s="12"/>
      <c r="G439" s="12"/>
      <c r="H439" s="12"/>
      <c r="I439" s="12"/>
      <c r="J439" s="12"/>
      <c r="K439" s="12" t="str">
        <f t="shared" si="11"/>
        <v/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 t="str">
        <f t="shared" si="12"/>
        <v/>
      </c>
      <c r="V439" s="12"/>
      <c r="W439" s="14"/>
      <c r="X439" s="14"/>
      <c r="Y439" s="13"/>
      <c r="Z439" s="12"/>
      <c r="AA439" s="12"/>
      <c r="AB439" s="12"/>
      <c r="AC439" s="12"/>
      <c r="AD439" s="15"/>
      <c r="AE439" s="12"/>
      <c r="AF439" s="13"/>
      <c r="AG439" s="12"/>
      <c r="AH439" s="12"/>
      <c r="AI439" s="15"/>
      <c r="AJ439" s="12"/>
      <c r="AK439" s="12"/>
      <c r="AL439" s="12"/>
      <c r="AM439" s="12"/>
      <c r="AN439" s="12"/>
      <c r="AO439" s="12"/>
      <c r="AP439" s="12"/>
      <c r="AQ439" s="15"/>
      <c r="AR439" s="12"/>
      <c r="AS439" s="12"/>
      <c r="AT439" s="12"/>
      <c r="AU439" s="12"/>
      <c r="AV439" s="12"/>
      <c r="AW439" s="12"/>
      <c r="AX439" s="13"/>
      <c r="AY439" s="12"/>
      <c r="AZ439" s="12" t="str">
        <f>IF(AND(A439="",B439="",E439="",G439="",I439="",AV439="",AX439=""),"",IF(OR(B439="skip",AV439="skip"),"SKIP",IF(OR(B439="to_candidate",AV439="proposed_name"),IF(OR(A439="",AW439="",AX439="",COUNTIF($A$6:$A$505,A439)&gt;1),"REVIEW","TO_PROPOSED"),IF(OR(B439="",A439="",E439="",G439="",I439="",U439="",AV439="",COUNTIF($A$6:$A$505,A439)&gt;1,(COUNTIFS('أرقام التواصل'!$A$6:$A$505,"client",'أرقام التواصل'!$B$6:$B$505,A439,'أرقام التواصل'!$I$6:$I$505,"TRUE")+COUNTIFS('أرقام التواصل'!$A$6:$A$505,"client",'أرقام التواصل'!$B$6:$B$505,A439,'أرقام التواصل'!$C$6:$C$505,1))=0),"REVIEW","READY"))))</f>
        <v/>
      </c>
      <c r="BA439" s="16" t="str">
        <f>IF(AZ439="","",IF(OR(AZ439="READY",AZ439="TO_PROPOSED"),"",IF(AZ439="SKIP","Skipped by decision",TRIM(IF(B439="","missing import_action; ","")&amp;IF(A439="","missing migration_customer_key; ","")&amp;IF(AND(A439&lt;&gt;"",COUNTIF($A$6:$A$505,A439)&gt;1),"duplicate migration_customer_key; ","")&amp;IF(AND(NOT(OR(B439="to_candidate",AV439="proposed_name")),E439=""),"missing branch_id; ","")&amp;IF(AND(NOT(OR(B439="to_candidate",AV439="proposed_name")),G439=""),"missing first_name; ","")&amp;IF(AND(NOT(OR(B439="to_candidate",AV439="proposed_name")),I439=""),"missing last_name; ","")&amp;IF(AND(NOT(OR(B439="to_candidate",AV439="proposed_name")),U439=""),"missing final_geo_unit_id; ","")&amp;IF(AV439="","missing final_destination; ","")&amp;IF(AND(NOT(OR(B439="to_candidate",AV439="proposed_name")),(COUNTIFS('أرقام التواصل'!$A$6:$A$505,"client",'أرقام التواصل'!$B$6:$B$505,A439,'أرقام التواصل'!$I$6:$I$505,"TRUE")+COUNTIFS('أرقام التواصل'!$A$6:$A$505,"client",'أرقام التواصل'!$B$6:$B$505,A439,'أرقام التواصل'!$C$6:$C$505,1))=0),"missing primary contact in أرقام التواصل; ","")&amp;IF(OR(B439="to_candidate",AV439="proposed_name"),IF(AW439="","missing proposed_move_reason; ","")&amp;IF(AX439="","missing proposed_name_key; ",""),"")))))</f>
        <v/>
      </c>
    </row>
    <row r="440" spans="1:53">
      <c r="A440" s="11"/>
      <c r="B440" s="12"/>
      <c r="C440" s="13"/>
      <c r="D440" s="12"/>
      <c r="E440" s="12"/>
      <c r="F440" s="12"/>
      <c r="G440" s="12"/>
      <c r="H440" s="12"/>
      <c r="I440" s="12"/>
      <c r="J440" s="12"/>
      <c r="K440" s="12" t="str">
        <f t="shared" si="11"/>
        <v/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 t="str">
        <f t="shared" si="12"/>
        <v/>
      </c>
      <c r="V440" s="12"/>
      <c r="W440" s="14"/>
      <c r="X440" s="14"/>
      <c r="Y440" s="13"/>
      <c r="Z440" s="12"/>
      <c r="AA440" s="12"/>
      <c r="AB440" s="12"/>
      <c r="AC440" s="12"/>
      <c r="AD440" s="15"/>
      <c r="AE440" s="12"/>
      <c r="AF440" s="13"/>
      <c r="AG440" s="12"/>
      <c r="AH440" s="12"/>
      <c r="AI440" s="15"/>
      <c r="AJ440" s="12"/>
      <c r="AK440" s="12"/>
      <c r="AL440" s="12"/>
      <c r="AM440" s="12"/>
      <c r="AN440" s="12"/>
      <c r="AO440" s="12"/>
      <c r="AP440" s="12"/>
      <c r="AQ440" s="15"/>
      <c r="AR440" s="12"/>
      <c r="AS440" s="12"/>
      <c r="AT440" s="12"/>
      <c r="AU440" s="12"/>
      <c r="AV440" s="12"/>
      <c r="AW440" s="12"/>
      <c r="AX440" s="13"/>
      <c r="AY440" s="12"/>
      <c r="AZ440" s="12" t="str">
        <f>IF(AND(A440="",B440="",E440="",G440="",I440="",AV440="",AX440=""),"",IF(OR(B440="skip",AV440="skip"),"SKIP",IF(OR(B440="to_candidate",AV440="proposed_name"),IF(OR(A440="",AW440="",AX440="",COUNTIF($A$6:$A$505,A440)&gt;1),"REVIEW","TO_PROPOSED"),IF(OR(B440="",A440="",E440="",G440="",I440="",U440="",AV440="",COUNTIF($A$6:$A$505,A440)&gt;1,(COUNTIFS('أرقام التواصل'!$A$6:$A$505,"client",'أرقام التواصل'!$B$6:$B$505,A440,'أرقام التواصل'!$I$6:$I$505,"TRUE")+COUNTIFS('أرقام التواصل'!$A$6:$A$505,"client",'أرقام التواصل'!$B$6:$B$505,A440,'أرقام التواصل'!$C$6:$C$505,1))=0),"REVIEW","READY"))))</f>
        <v/>
      </c>
      <c r="BA440" s="16" t="str">
        <f>IF(AZ440="","",IF(OR(AZ440="READY",AZ440="TO_PROPOSED"),"",IF(AZ440="SKIP","Skipped by decision",TRIM(IF(B440="","missing import_action; ","")&amp;IF(A440="","missing migration_customer_key; ","")&amp;IF(AND(A440&lt;&gt;"",COUNTIF($A$6:$A$505,A440)&gt;1),"duplicate migration_customer_key; ","")&amp;IF(AND(NOT(OR(B440="to_candidate",AV440="proposed_name")),E440=""),"missing branch_id; ","")&amp;IF(AND(NOT(OR(B440="to_candidate",AV440="proposed_name")),G440=""),"missing first_name; ","")&amp;IF(AND(NOT(OR(B440="to_candidate",AV440="proposed_name")),I440=""),"missing last_name; ","")&amp;IF(AND(NOT(OR(B440="to_candidate",AV440="proposed_name")),U440=""),"missing final_geo_unit_id; ","")&amp;IF(AV440="","missing final_destination; ","")&amp;IF(AND(NOT(OR(B440="to_candidate",AV440="proposed_name")),(COUNTIFS('أرقام التواصل'!$A$6:$A$505,"client",'أرقام التواصل'!$B$6:$B$505,A440,'أرقام التواصل'!$I$6:$I$505,"TRUE")+COUNTIFS('أرقام التواصل'!$A$6:$A$505,"client",'أرقام التواصل'!$B$6:$B$505,A440,'أرقام التواصل'!$C$6:$C$505,1))=0),"missing primary contact in أرقام التواصل; ","")&amp;IF(OR(B440="to_candidate",AV440="proposed_name"),IF(AW440="","missing proposed_move_reason; ","")&amp;IF(AX440="","missing proposed_name_key; ",""),"")))))</f>
        <v/>
      </c>
    </row>
    <row r="441" spans="1:53">
      <c r="A441" s="11"/>
      <c r="B441" s="12"/>
      <c r="C441" s="13"/>
      <c r="D441" s="12"/>
      <c r="E441" s="12"/>
      <c r="F441" s="12"/>
      <c r="G441" s="12"/>
      <c r="H441" s="12"/>
      <c r="I441" s="12"/>
      <c r="J441" s="12"/>
      <c r="K441" s="12" t="str">
        <f t="shared" si="11"/>
        <v/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 t="str">
        <f t="shared" si="12"/>
        <v/>
      </c>
      <c r="V441" s="12"/>
      <c r="W441" s="14"/>
      <c r="X441" s="14"/>
      <c r="Y441" s="13"/>
      <c r="Z441" s="12"/>
      <c r="AA441" s="12"/>
      <c r="AB441" s="12"/>
      <c r="AC441" s="12"/>
      <c r="AD441" s="15"/>
      <c r="AE441" s="12"/>
      <c r="AF441" s="13"/>
      <c r="AG441" s="12"/>
      <c r="AH441" s="12"/>
      <c r="AI441" s="15"/>
      <c r="AJ441" s="12"/>
      <c r="AK441" s="12"/>
      <c r="AL441" s="12"/>
      <c r="AM441" s="12"/>
      <c r="AN441" s="12"/>
      <c r="AO441" s="12"/>
      <c r="AP441" s="12"/>
      <c r="AQ441" s="15"/>
      <c r="AR441" s="12"/>
      <c r="AS441" s="12"/>
      <c r="AT441" s="12"/>
      <c r="AU441" s="12"/>
      <c r="AV441" s="12"/>
      <c r="AW441" s="12"/>
      <c r="AX441" s="13"/>
      <c r="AY441" s="12"/>
      <c r="AZ441" s="12" t="str">
        <f>IF(AND(A441="",B441="",E441="",G441="",I441="",AV441="",AX441=""),"",IF(OR(B441="skip",AV441="skip"),"SKIP",IF(OR(B441="to_candidate",AV441="proposed_name"),IF(OR(A441="",AW441="",AX441="",COUNTIF($A$6:$A$505,A441)&gt;1),"REVIEW","TO_PROPOSED"),IF(OR(B441="",A441="",E441="",G441="",I441="",U441="",AV441="",COUNTIF($A$6:$A$505,A441)&gt;1,(COUNTIFS('أرقام التواصل'!$A$6:$A$505,"client",'أرقام التواصل'!$B$6:$B$505,A441,'أرقام التواصل'!$I$6:$I$505,"TRUE")+COUNTIFS('أرقام التواصل'!$A$6:$A$505,"client",'أرقام التواصل'!$B$6:$B$505,A441,'أرقام التواصل'!$C$6:$C$505,1))=0),"REVIEW","READY"))))</f>
        <v/>
      </c>
      <c r="BA441" s="16" t="str">
        <f>IF(AZ441="","",IF(OR(AZ441="READY",AZ441="TO_PROPOSED"),"",IF(AZ441="SKIP","Skipped by decision",TRIM(IF(B441="","missing import_action; ","")&amp;IF(A441="","missing migration_customer_key; ","")&amp;IF(AND(A441&lt;&gt;"",COUNTIF($A$6:$A$505,A441)&gt;1),"duplicate migration_customer_key; ","")&amp;IF(AND(NOT(OR(B441="to_candidate",AV441="proposed_name")),E441=""),"missing branch_id; ","")&amp;IF(AND(NOT(OR(B441="to_candidate",AV441="proposed_name")),G441=""),"missing first_name; ","")&amp;IF(AND(NOT(OR(B441="to_candidate",AV441="proposed_name")),I441=""),"missing last_name; ","")&amp;IF(AND(NOT(OR(B441="to_candidate",AV441="proposed_name")),U441=""),"missing final_geo_unit_id; ","")&amp;IF(AV441="","missing final_destination; ","")&amp;IF(AND(NOT(OR(B441="to_candidate",AV441="proposed_name")),(COUNTIFS('أرقام التواصل'!$A$6:$A$505,"client",'أرقام التواصل'!$B$6:$B$505,A441,'أرقام التواصل'!$I$6:$I$505,"TRUE")+COUNTIFS('أرقام التواصل'!$A$6:$A$505,"client",'أرقام التواصل'!$B$6:$B$505,A441,'أرقام التواصل'!$C$6:$C$505,1))=0),"missing primary contact in أرقام التواصل; ","")&amp;IF(OR(B441="to_candidate",AV441="proposed_name"),IF(AW441="","missing proposed_move_reason; ","")&amp;IF(AX441="","missing proposed_name_key; ",""),"")))))</f>
        <v/>
      </c>
    </row>
    <row r="442" spans="1:53">
      <c r="A442" s="11"/>
      <c r="B442" s="12"/>
      <c r="C442" s="13"/>
      <c r="D442" s="12"/>
      <c r="E442" s="12"/>
      <c r="F442" s="12"/>
      <c r="G442" s="12"/>
      <c r="H442" s="12"/>
      <c r="I442" s="12"/>
      <c r="J442" s="12"/>
      <c r="K442" s="12" t="str">
        <f t="shared" si="11"/>
        <v/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 t="str">
        <f t="shared" si="12"/>
        <v/>
      </c>
      <c r="V442" s="12"/>
      <c r="W442" s="14"/>
      <c r="X442" s="14"/>
      <c r="Y442" s="13"/>
      <c r="Z442" s="12"/>
      <c r="AA442" s="12"/>
      <c r="AB442" s="12"/>
      <c r="AC442" s="12"/>
      <c r="AD442" s="15"/>
      <c r="AE442" s="12"/>
      <c r="AF442" s="13"/>
      <c r="AG442" s="12"/>
      <c r="AH442" s="12"/>
      <c r="AI442" s="15"/>
      <c r="AJ442" s="12"/>
      <c r="AK442" s="12"/>
      <c r="AL442" s="12"/>
      <c r="AM442" s="12"/>
      <c r="AN442" s="12"/>
      <c r="AO442" s="12"/>
      <c r="AP442" s="12"/>
      <c r="AQ442" s="15"/>
      <c r="AR442" s="12"/>
      <c r="AS442" s="12"/>
      <c r="AT442" s="12"/>
      <c r="AU442" s="12"/>
      <c r="AV442" s="12"/>
      <c r="AW442" s="12"/>
      <c r="AX442" s="13"/>
      <c r="AY442" s="12"/>
      <c r="AZ442" s="12" t="str">
        <f>IF(AND(A442="",B442="",E442="",G442="",I442="",AV442="",AX442=""),"",IF(OR(B442="skip",AV442="skip"),"SKIP",IF(OR(B442="to_candidate",AV442="proposed_name"),IF(OR(A442="",AW442="",AX442="",COUNTIF($A$6:$A$505,A442)&gt;1),"REVIEW","TO_PROPOSED"),IF(OR(B442="",A442="",E442="",G442="",I442="",U442="",AV442="",COUNTIF($A$6:$A$505,A442)&gt;1,(COUNTIFS('أرقام التواصل'!$A$6:$A$505,"client",'أرقام التواصل'!$B$6:$B$505,A442,'أرقام التواصل'!$I$6:$I$505,"TRUE")+COUNTIFS('أرقام التواصل'!$A$6:$A$505,"client",'أرقام التواصل'!$B$6:$B$505,A442,'أرقام التواصل'!$C$6:$C$505,1))=0),"REVIEW","READY"))))</f>
        <v/>
      </c>
      <c r="BA442" s="16" t="str">
        <f>IF(AZ442="","",IF(OR(AZ442="READY",AZ442="TO_PROPOSED"),"",IF(AZ442="SKIP","Skipped by decision",TRIM(IF(B442="","missing import_action; ","")&amp;IF(A442="","missing migration_customer_key; ","")&amp;IF(AND(A442&lt;&gt;"",COUNTIF($A$6:$A$505,A442)&gt;1),"duplicate migration_customer_key; ","")&amp;IF(AND(NOT(OR(B442="to_candidate",AV442="proposed_name")),E442=""),"missing branch_id; ","")&amp;IF(AND(NOT(OR(B442="to_candidate",AV442="proposed_name")),G442=""),"missing first_name; ","")&amp;IF(AND(NOT(OR(B442="to_candidate",AV442="proposed_name")),I442=""),"missing last_name; ","")&amp;IF(AND(NOT(OR(B442="to_candidate",AV442="proposed_name")),U442=""),"missing final_geo_unit_id; ","")&amp;IF(AV442="","missing final_destination; ","")&amp;IF(AND(NOT(OR(B442="to_candidate",AV442="proposed_name")),(COUNTIFS('أرقام التواصل'!$A$6:$A$505,"client",'أرقام التواصل'!$B$6:$B$505,A442,'أرقام التواصل'!$I$6:$I$505,"TRUE")+COUNTIFS('أرقام التواصل'!$A$6:$A$505,"client",'أرقام التواصل'!$B$6:$B$505,A442,'أرقام التواصل'!$C$6:$C$505,1))=0),"missing primary contact in أرقام التواصل; ","")&amp;IF(OR(B442="to_candidate",AV442="proposed_name"),IF(AW442="","missing proposed_move_reason; ","")&amp;IF(AX442="","missing proposed_name_key; ",""),"")))))</f>
        <v/>
      </c>
    </row>
    <row r="443" spans="1:53">
      <c r="A443" s="11"/>
      <c r="B443" s="12"/>
      <c r="C443" s="13"/>
      <c r="D443" s="12"/>
      <c r="E443" s="12"/>
      <c r="F443" s="12"/>
      <c r="G443" s="12"/>
      <c r="H443" s="12"/>
      <c r="I443" s="12"/>
      <c r="J443" s="12"/>
      <c r="K443" s="12" t="str">
        <f t="shared" si="11"/>
        <v/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 t="str">
        <f t="shared" si="12"/>
        <v/>
      </c>
      <c r="V443" s="12"/>
      <c r="W443" s="14"/>
      <c r="X443" s="14"/>
      <c r="Y443" s="13"/>
      <c r="Z443" s="12"/>
      <c r="AA443" s="12"/>
      <c r="AB443" s="12"/>
      <c r="AC443" s="12"/>
      <c r="AD443" s="15"/>
      <c r="AE443" s="12"/>
      <c r="AF443" s="13"/>
      <c r="AG443" s="12"/>
      <c r="AH443" s="12"/>
      <c r="AI443" s="15"/>
      <c r="AJ443" s="12"/>
      <c r="AK443" s="12"/>
      <c r="AL443" s="12"/>
      <c r="AM443" s="12"/>
      <c r="AN443" s="12"/>
      <c r="AO443" s="12"/>
      <c r="AP443" s="12"/>
      <c r="AQ443" s="15"/>
      <c r="AR443" s="12"/>
      <c r="AS443" s="12"/>
      <c r="AT443" s="12"/>
      <c r="AU443" s="12"/>
      <c r="AV443" s="12"/>
      <c r="AW443" s="12"/>
      <c r="AX443" s="13"/>
      <c r="AY443" s="12"/>
      <c r="AZ443" s="12" t="str">
        <f>IF(AND(A443="",B443="",E443="",G443="",I443="",AV443="",AX443=""),"",IF(OR(B443="skip",AV443="skip"),"SKIP",IF(OR(B443="to_candidate",AV443="proposed_name"),IF(OR(A443="",AW443="",AX443="",COUNTIF($A$6:$A$505,A443)&gt;1),"REVIEW","TO_PROPOSED"),IF(OR(B443="",A443="",E443="",G443="",I443="",U443="",AV443="",COUNTIF($A$6:$A$505,A443)&gt;1,(COUNTIFS('أرقام التواصل'!$A$6:$A$505,"client",'أرقام التواصل'!$B$6:$B$505,A443,'أرقام التواصل'!$I$6:$I$505,"TRUE")+COUNTIFS('أرقام التواصل'!$A$6:$A$505,"client",'أرقام التواصل'!$B$6:$B$505,A443,'أرقام التواصل'!$C$6:$C$505,1))=0),"REVIEW","READY"))))</f>
        <v/>
      </c>
      <c r="BA443" s="16" t="str">
        <f>IF(AZ443="","",IF(OR(AZ443="READY",AZ443="TO_PROPOSED"),"",IF(AZ443="SKIP","Skipped by decision",TRIM(IF(B443="","missing import_action; ","")&amp;IF(A443="","missing migration_customer_key; ","")&amp;IF(AND(A443&lt;&gt;"",COUNTIF($A$6:$A$505,A443)&gt;1),"duplicate migration_customer_key; ","")&amp;IF(AND(NOT(OR(B443="to_candidate",AV443="proposed_name")),E443=""),"missing branch_id; ","")&amp;IF(AND(NOT(OR(B443="to_candidate",AV443="proposed_name")),G443=""),"missing first_name; ","")&amp;IF(AND(NOT(OR(B443="to_candidate",AV443="proposed_name")),I443=""),"missing last_name; ","")&amp;IF(AND(NOT(OR(B443="to_candidate",AV443="proposed_name")),U443=""),"missing final_geo_unit_id; ","")&amp;IF(AV443="","missing final_destination; ","")&amp;IF(AND(NOT(OR(B443="to_candidate",AV443="proposed_name")),(COUNTIFS('أرقام التواصل'!$A$6:$A$505,"client",'أرقام التواصل'!$B$6:$B$505,A443,'أرقام التواصل'!$I$6:$I$505,"TRUE")+COUNTIFS('أرقام التواصل'!$A$6:$A$505,"client",'أرقام التواصل'!$B$6:$B$505,A443,'أرقام التواصل'!$C$6:$C$505,1))=0),"missing primary contact in أرقام التواصل; ","")&amp;IF(OR(B443="to_candidate",AV443="proposed_name"),IF(AW443="","missing proposed_move_reason; ","")&amp;IF(AX443="","missing proposed_name_key; ",""),"")))))</f>
        <v/>
      </c>
    </row>
    <row r="444" spans="1:53">
      <c r="A444" s="11"/>
      <c r="B444" s="12"/>
      <c r="C444" s="13"/>
      <c r="D444" s="12"/>
      <c r="E444" s="12"/>
      <c r="F444" s="12"/>
      <c r="G444" s="12"/>
      <c r="H444" s="12"/>
      <c r="I444" s="12"/>
      <c r="J444" s="12"/>
      <c r="K444" s="12" t="str">
        <f t="shared" si="11"/>
        <v/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 t="str">
        <f t="shared" si="12"/>
        <v/>
      </c>
      <c r="V444" s="12"/>
      <c r="W444" s="14"/>
      <c r="X444" s="14"/>
      <c r="Y444" s="13"/>
      <c r="Z444" s="12"/>
      <c r="AA444" s="12"/>
      <c r="AB444" s="12"/>
      <c r="AC444" s="12"/>
      <c r="AD444" s="15"/>
      <c r="AE444" s="12"/>
      <c r="AF444" s="13"/>
      <c r="AG444" s="12"/>
      <c r="AH444" s="12"/>
      <c r="AI444" s="15"/>
      <c r="AJ444" s="12"/>
      <c r="AK444" s="12"/>
      <c r="AL444" s="12"/>
      <c r="AM444" s="12"/>
      <c r="AN444" s="12"/>
      <c r="AO444" s="12"/>
      <c r="AP444" s="12"/>
      <c r="AQ444" s="15"/>
      <c r="AR444" s="12"/>
      <c r="AS444" s="12"/>
      <c r="AT444" s="12"/>
      <c r="AU444" s="12"/>
      <c r="AV444" s="12"/>
      <c r="AW444" s="12"/>
      <c r="AX444" s="13"/>
      <c r="AY444" s="12"/>
      <c r="AZ444" s="12" t="str">
        <f>IF(AND(A444="",B444="",E444="",G444="",I444="",AV444="",AX444=""),"",IF(OR(B444="skip",AV444="skip"),"SKIP",IF(OR(B444="to_candidate",AV444="proposed_name"),IF(OR(A444="",AW444="",AX444="",COUNTIF($A$6:$A$505,A444)&gt;1),"REVIEW","TO_PROPOSED"),IF(OR(B444="",A444="",E444="",G444="",I444="",U444="",AV444="",COUNTIF($A$6:$A$505,A444)&gt;1,(COUNTIFS('أرقام التواصل'!$A$6:$A$505,"client",'أرقام التواصل'!$B$6:$B$505,A444,'أرقام التواصل'!$I$6:$I$505,"TRUE")+COUNTIFS('أرقام التواصل'!$A$6:$A$505,"client",'أرقام التواصل'!$B$6:$B$505,A444,'أرقام التواصل'!$C$6:$C$505,1))=0),"REVIEW","READY"))))</f>
        <v/>
      </c>
      <c r="BA444" s="16" t="str">
        <f>IF(AZ444="","",IF(OR(AZ444="READY",AZ444="TO_PROPOSED"),"",IF(AZ444="SKIP","Skipped by decision",TRIM(IF(B444="","missing import_action; ","")&amp;IF(A444="","missing migration_customer_key; ","")&amp;IF(AND(A444&lt;&gt;"",COUNTIF($A$6:$A$505,A444)&gt;1),"duplicate migration_customer_key; ","")&amp;IF(AND(NOT(OR(B444="to_candidate",AV444="proposed_name")),E444=""),"missing branch_id; ","")&amp;IF(AND(NOT(OR(B444="to_candidate",AV444="proposed_name")),G444=""),"missing first_name; ","")&amp;IF(AND(NOT(OR(B444="to_candidate",AV444="proposed_name")),I444=""),"missing last_name; ","")&amp;IF(AND(NOT(OR(B444="to_candidate",AV444="proposed_name")),U444=""),"missing final_geo_unit_id; ","")&amp;IF(AV444="","missing final_destination; ","")&amp;IF(AND(NOT(OR(B444="to_candidate",AV444="proposed_name")),(COUNTIFS('أرقام التواصل'!$A$6:$A$505,"client",'أرقام التواصل'!$B$6:$B$505,A444,'أرقام التواصل'!$I$6:$I$505,"TRUE")+COUNTIFS('أرقام التواصل'!$A$6:$A$505,"client",'أرقام التواصل'!$B$6:$B$505,A444,'أرقام التواصل'!$C$6:$C$505,1))=0),"missing primary contact in أرقام التواصل; ","")&amp;IF(OR(B444="to_candidate",AV444="proposed_name"),IF(AW444="","missing proposed_move_reason; ","")&amp;IF(AX444="","missing proposed_name_key; ",""),"")))))</f>
        <v/>
      </c>
    </row>
    <row r="445" spans="1:53">
      <c r="A445" s="11"/>
      <c r="B445" s="12"/>
      <c r="C445" s="13"/>
      <c r="D445" s="12"/>
      <c r="E445" s="12"/>
      <c r="F445" s="12"/>
      <c r="G445" s="12"/>
      <c r="H445" s="12"/>
      <c r="I445" s="12"/>
      <c r="J445" s="12"/>
      <c r="K445" s="12" t="str">
        <f t="shared" si="11"/>
        <v/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 t="str">
        <f t="shared" si="12"/>
        <v/>
      </c>
      <c r="V445" s="12"/>
      <c r="W445" s="14"/>
      <c r="X445" s="14"/>
      <c r="Y445" s="13"/>
      <c r="Z445" s="12"/>
      <c r="AA445" s="12"/>
      <c r="AB445" s="12"/>
      <c r="AC445" s="12"/>
      <c r="AD445" s="15"/>
      <c r="AE445" s="12"/>
      <c r="AF445" s="13"/>
      <c r="AG445" s="12"/>
      <c r="AH445" s="12"/>
      <c r="AI445" s="15"/>
      <c r="AJ445" s="12"/>
      <c r="AK445" s="12"/>
      <c r="AL445" s="12"/>
      <c r="AM445" s="12"/>
      <c r="AN445" s="12"/>
      <c r="AO445" s="12"/>
      <c r="AP445" s="12"/>
      <c r="AQ445" s="15"/>
      <c r="AR445" s="12"/>
      <c r="AS445" s="12"/>
      <c r="AT445" s="12"/>
      <c r="AU445" s="12"/>
      <c r="AV445" s="12"/>
      <c r="AW445" s="12"/>
      <c r="AX445" s="13"/>
      <c r="AY445" s="12"/>
      <c r="AZ445" s="12" t="str">
        <f>IF(AND(A445="",B445="",E445="",G445="",I445="",AV445="",AX445=""),"",IF(OR(B445="skip",AV445="skip"),"SKIP",IF(OR(B445="to_candidate",AV445="proposed_name"),IF(OR(A445="",AW445="",AX445="",COUNTIF($A$6:$A$505,A445)&gt;1),"REVIEW","TO_PROPOSED"),IF(OR(B445="",A445="",E445="",G445="",I445="",U445="",AV445="",COUNTIF($A$6:$A$505,A445)&gt;1,(COUNTIFS('أرقام التواصل'!$A$6:$A$505,"client",'أرقام التواصل'!$B$6:$B$505,A445,'أرقام التواصل'!$I$6:$I$505,"TRUE")+COUNTIFS('أرقام التواصل'!$A$6:$A$505,"client",'أرقام التواصل'!$B$6:$B$505,A445,'أرقام التواصل'!$C$6:$C$505,1))=0),"REVIEW","READY"))))</f>
        <v/>
      </c>
      <c r="BA445" s="16" t="str">
        <f>IF(AZ445="","",IF(OR(AZ445="READY",AZ445="TO_PROPOSED"),"",IF(AZ445="SKIP","Skipped by decision",TRIM(IF(B445="","missing import_action; ","")&amp;IF(A445="","missing migration_customer_key; ","")&amp;IF(AND(A445&lt;&gt;"",COUNTIF($A$6:$A$505,A445)&gt;1),"duplicate migration_customer_key; ","")&amp;IF(AND(NOT(OR(B445="to_candidate",AV445="proposed_name")),E445=""),"missing branch_id; ","")&amp;IF(AND(NOT(OR(B445="to_candidate",AV445="proposed_name")),G445=""),"missing first_name; ","")&amp;IF(AND(NOT(OR(B445="to_candidate",AV445="proposed_name")),I445=""),"missing last_name; ","")&amp;IF(AND(NOT(OR(B445="to_candidate",AV445="proposed_name")),U445=""),"missing final_geo_unit_id; ","")&amp;IF(AV445="","missing final_destination; ","")&amp;IF(AND(NOT(OR(B445="to_candidate",AV445="proposed_name")),(COUNTIFS('أرقام التواصل'!$A$6:$A$505,"client",'أرقام التواصل'!$B$6:$B$505,A445,'أرقام التواصل'!$I$6:$I$505,"TRUE")+COUNTIFS('أرقام التواصل'!$A$6:$A$505,"client",'أرقام التواصل'!$B$6:$B$505,A445,'أرقام التواصل'!$C$6:$C$505,1))=0),"missing primary contact in أرقام التواصل; ","")&amp;IF(OR(B445="to_candidate",AV445="proposed_name"),IF(AW445="","missing proposed_move_reason; ","")&amp;IF(AX445="","missing proposed_name_key; ",""),"")))))</f>
        <v/>
      </c>
    </row>
    <row r="446" spans="1:53">
      <c r="A446" s="11"/>
      <c r="B446" s="12"/>
      <c r="C446" s="13"/>
      <c r="D446" s="12"/>
      <c r="E446" s="12"/>
      <c r="F446" s="12"/>
      <c r="G446" s="12"/>
      <c r="H446" s="12"/>
      <c r="I446" s="12"/>
      <c r="J446" s="12"/>
      <c r="K446" s="12" t="str">
        <f t="shared" si="11"/>
        <v/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 t="str">
        <f t="shared" si="12"/>
        <v/>
      </c>
      <c r="V446" s="12"/>
      <c r="W446" s="14"/>
      <c r="X446" s="14"/>
      <c r="Y446" s="13"/>
      <c r="Z446" s="12"/>
      <c r="AA446" s="12"/>
      <c r="AB446" s="12"/>
      <c r="AC446" s="12"/>
      <c r="AD446" s="15"/>
      <c r="AE446" s="12"/>
      <c r="AF446" s="13"/>
      <c r="AG446" s="12"/>
      <c r="AH446" s="12"/>
      <c r="AI446" s="15"/>
      <c r="AJ446" s="12"/>
      <c r="AK446" s="12"/>
      <c r="AL446" s="12"/>
      <c r="AM446" s="12"/>
      <c r="AN446" s="12"/>
      <c r="AO446" s="12"/>
      <c r="AP446" s="12"/>
      <c r="AQ446" s="15"/>
      <c r="AR446" s="12"/>
      <c r="AS446" s="12"/>
      <c r="AT446" s="12"/>
      <c r="AU446" s="12"/>
      <c r="AV446" s="12"/>
      <c r="AW446" s="12"/>
      <c r="AX446" s="13"/>
      <c r="AY446" s="12"/>
      <c r="AZ446" s="12" t="str">
        <f>IF(AND(A446="",B446="",E446="",G446="",I446="",AV446="",AX446=""),"",IF(OR(B446="skip",AV446="skip"),"SKIP",IF(OR(B446="to_candidate",AV446="proposed_name"),IF(OR(A446="",AW446="",AX446="",COUNTIF($A$6:$A$505,A446)&gt;1),"REVIEW","TO_PROPOSED"),IF(OR(B446="",A446="",E446="",G446="",I446="",U446="",AV446="",COUNTIF($A$6:$A$505,A446)&gt;1,(COUNTIFS('أرقام التواصل'!$A$6:$A$505,"client",'أرقام التواصل'!$B$6:$B$505,A446,'أرقام التواصل'!$I$6:$I$505,"TRUE")+COUNTIFS('أرقام التواصل'!$A$6:$A$505,"client",'أرقام التواصل'!$B$6:$B$505,A446,'أرقام التواصل'!$C$6:$C$505,1))=0),"REVIEW","READY"))))</f>
        <v/>
      </c>
      <c r="BA446" s="16" t="str">
        <f>IF(AZ446="","",IF(OR(AZ446="READY",AZ446="TO_PROPOSED"),"",IF(AZ446="SKIP","Skipped by decision",TRIM(IF(B446="","missing import_action; ","")&amp;IF(A446="","missing migration_customer_key; ","")&amp;IF(AND(A446&lt;&gt;"",COUNTIF($A$6:$A$505,A446)&gt;1),"duplicate migration_customer_key; ","")&amp;IF(AND(NOT(OR(B446="to_candidate",AV446="proposed_name")),E446=""),"missing branch_id; ","")&amp;IF(AND(NOT(OR(B446="to_candidate",AV446="proposed_name")),G446=""),"missing first_name; ","")&amp;IF(AND(NOT(OR(B446="to_candidate",AV446="proposed_name")),I446=""),"missing last_name; ","")&amp;IF(AND(NOT(OR(B446="to_candidate",AV446="proposed_name")),U446=""),"missing final_geo_unit_id; ","")&amp;IF(AV446="","missing final_destination; ","")&amp;IF(AND(NOT(OR(B446="to_candidate",AV446="proposed_name")),(COUNTIFS('أرقام التواصل'!$A$6:$A$505,"client",'أرقام التواصل'!$B$6:$B$505,A446,'أرقام التواصل'!$I$6:$I$505,"TRUE")+COUNTIFS('أرقام التواصل'!$A$6:$A$505,"client",'أرقام التواصل'!$B$6:$B$505,A446,'أرقام التواصل'!$C$6:$C$505,1))=0),"missing primary contact in أرقام التواصل; ","")&amp;IF(OR(B446="to_candidate",AV446="proposed_name"),IF(AW446="","missing proposed_move_reason; ","")&amp;IF(AX446="","missing proposed_name_key; ",""),"")))))</f>
        <v/>
      </c>
    </row>
    <row r="447" spans="1:53">
      <c r="A447" s="11"/>
      <c r="B447" s="12"/>
      <c r="C447" s="13"/>
      <c r="D447" s="12"/>
      <c r="E447" s="12"/>
      <c r="F447" s="12"/>
      <c r="G447" s="12"/>
      <c r="H447" s="12"/>
      <c r="I447" s="12"/>
      <c r="J447" s="12"/>
      <c r="K447" s="12" t="str">
        <f t="shared" si="11"/>
        <v/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 t="str">
        <f t="shared" si="12"/>
        <v/>
      </c>
      <c r="V447" s="12"/>
      <c r="W447" s="14"/>
      <c r="X447" s="14"/>
      <c r="Y447" s="13"/>
      <c r="Z447" s="12"/>
      <c r="AA447" s="12"/>
      <c r="AB447" s="12"/>
      <c r="AC447" s="12"/>
      <c r="AD447" s="15"/>
      <c r="AE447" s="12"/>
      <c r="AF447" s="13"/>
      <c r="AG447" s="12"/>
      <c r="AH447" s="12"/>
      <c r="AI447" s="15"/>
      <c r="AJ447" s="12"/>
      <c r="AK447" s="12"/>
      <c r="AL447" s="12"/>
      <c r="AM447" s="12"/>
      <c r="AN447" s="12"/>
      <c r="AO447" s="12"/>
      <c r="AP447" s="12"/>
      <c r="AQ447" s="15"/>
      <c r="AR447" s="12"/>
      <c r="AS447" s="12"/>
      <c r="AT447" s="12"/>
      <c r="AU447" s="12"/>
      <c r="AV447" s="12"/>
      <c r="AW447" s="12"/>
      <c r="AX447" s="13"/>
      <c r="AY447" s="12"/>
      <c r="AZ447" s="12" t="str">
        <f>IF(AND(A447="",B447="",E447="",G447="",I447="",AV447="",AX447=""),"",IF(OR(B447="skip",AV447="skip"),"SKIP",IF(OR(B447="to_candidate",AV447="proposed_name"),IF(OR(A447="",AW447="",AX447="",COUNTIF($A$6:$A$505,A447)&gt;1),"REVIEW","TO_PROPOSED"),IF(OR(B447="",A447="",E447="",G447="",I447="",U447="",AV447="",COUNTIF($A$6:$A$505,A447)&gt;1,(COUNTIFS('أرقام التواصل'!$A$6:$A$505,"client",'أرقام التواصل'!$B$6:$B$505,A447,'أرقام التواصل'!$I$6:$I$505,"TRUE")+COUNTIFS('أرقام التواصل'!$A$6:$A$505,"client",'أرقام التواصل'!$B$6:$B$505,A447,'أرقام التواصل'!$C$6:$C$505,1))=0),"REVIEW","READY"))))</f>
        <v/>
      </c>
      <c r="BA447" s="16" t="str">
        <f>IF(AZ447="","",IF(OR(AZ447="READY",AZ447="TO_PROPOSED"),"",IF(AZ447="SKIP","Skipped by decision",TRIM(IF(B447="","missing import_action; ","")&amp;IF(A447="","missing migration_customer_key; ","")&amp;IF(AND(A447&lt;&gt;"",COUNTIF($A$6:$A$505,A447)&gt;1),"duplicate migration_customer_key; ","")&amp;IF(AND(NOT(OR(B447="to_candidate",AV447="proposed_name")),E447=""),"missing branch_id; ","")&amp;IF(AND(NOT(OR(B447="to_candidate",AV447="proposed_name")),G447=""),"missing first_name; ","")&amp;IF(AND(NOT(OR(B447="to_candidate",AV447="proposed_name")),I447=""),"missing last_name; ","")&amp;IF(AND(NOT(OR(B447="to_candidate",AV447="proposed_name")),U447=""),"missing final_geo_unit_id; ","")&amp;IF(AV447="","missing final_destination; ","")&amp;IF(AND(NOT(OR(B447="to_candidate",AV447="proposed_name")),(COUNTIFS('أرقام التواصل'!$A$6:$A$505,"client",'أرقام التواصل'!$B$6:$B$505,A447,'أرقام التواصل'!$I$6:$I$505,"TRUE")+COUNTIFS('أرقام التواصل'!$A$6:$A$505,"client",'أرقام التواصل'!$B$6:$B$505,A447,'أرقام التواصل'!$C$6:$C$505,1))=0),"missing primary contact in أرقام التواصل; ","")&amp;IF(OR(B447="to_candidate",AV447="proposed_name"),IF(AW447="","missing proposed_move_reason; ","")&amp;IF(AX447="","missing proposed_name_key; ",""),"")))))</f>
        <v/>
      </c>
    </row>
    <row r="448" spans="1:53">
      <c r="A448" s="11"/>
      <c r="B448" s="12"/>
      <c r="C448" s="13"/>
      <c r="D448" s="12"/>
      <c r="E448" s="12"/>
      <c r="F448" s="12"/>
      <c r="G448" s="12"/>
      <c r="H448" s="12"/>
      <c r="I448" s="12"/>
      <c r="J448" s="12"/>
      <c r="K448" s="12" t="str">
        <f t="shared" si="11"/>
        <v/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 t="str">
        <f t="shared" si="12"/>
        <v/>
      </c>
      <c r="V448" s="12"/>
      <c r="W448" s="14"/>
      <c r="X448" s="14"/>
      <c r="Y448" s="13"/>
      <c r="Z448" s="12"/>
      <c r="AA448" s="12"/>
      <c r="AB448" s="12"/>
      <c r="AC448" s="12"/>
      <c r="AD448" s="15"/>
      <c r="AE448" s="12"/>
      <c r="AF448" s="13"/>
      <c r="AG448" s="12"/>
      <c r="AH448" s="12"/>
      <c r="AI448" s="15"/>
      <c r="AJ448" s="12"/>
      <c r="AK448" s="12"/>
      <c r="AL448" s="12"/>
      <c r="AM448" s="12"/>
      <c r="AN448" s="12"/>
      <c r="AO448" s="12"/>
      <c r="AP448" s="12"/>
      <c r="AQ448" s="15"/>
      <c r="AR448" s="12"/>
      <c r="AS448" s="12"/>
      <c r="AT448" s="12"/>
      <c r="AU448" s="12"/>
      <c r="AV448" s="12"/>
      <c r="AW448" s="12"/>
      <c r="AX448" s="13"/>
      <c r="AY448" s="12"/>
      <c r="AZ448" s="12" t="str">
        <f>IF(AND(A448="",B448="",E448="",G448="",I448="",AV448="",AX448=""),"",IF(OR(B448="skip",AV448="skip"),"SKIP",IF(OR(B448="to_candidate",AV448="proposed_name"),IF(OR(A448="",AW448="",AX448="",COUNTIF($A$6:$A$505,A448)&gt;1),"REVIEW","TO_PROPOSED"),IF(OR(B448="",A448="",E448="",G448="",I448="",U448="",AV448="",COUNTIF($A$6:$A$505,A448)&gt;1,(COUNTIFS('أرقام التواصل'!$A$6:$A$505,"client",'أرقام التواصل'!$B$6:$B$505,A448,'أرقام التواصل'!$I$6:$I$505,"TRUE")+COUNTIFS('أرقام التواصل'!$A$6:$A$505,"client",'أرقام التواصل'!$B$6:$B$505,A448,'أرقام التواصل'!$C$6:$C$505,1))=0),"REVIEW","READY"))))</f>
        <v/>
      </c>
      <c r="BA448" s="16" t="str">
        <f>IF(AZ448="","",IF(OR(AZ448="READY",AZ448="TO_PROPOSED"),"",IF(AZ448="SKIP","Skipped by decision",TRIM(IF(B448="","missing import_action; ","")&amp;IF(A448="","missing migration_customer_key; ","")&amp;IF(AND(A448&lt;&gt;"",COUNTIF($A$6:$A$505,A448)&gt;1),"duplicate migration_customer_key; ","")&amp;IF(AND(NOT(OR(B448="to_candidate",AV448="proposed_name")),E448=""),"missing branch_id; ","")&amp;IF(AND(NOT(OR(B448="to_candidate",AV448="proposed_name")),G448=""),"missing first_name; ","")&amp;IF(AND(NOT(OR(B448="to_candidate",AV448="proposed_name")),I448=""),"missing last_name; ","")&amp;IF(AND(NOT(OR(B448="to_candidate",AV448="proposed_name")),U448=""),"missing final_geo_unit_id; ","")&amp;IF(AV448="","missing final_destination; ","")&amp;IF(AND(NOT(OR(B448="to_candidate",AV448="proposed_name")),(COUNTIFS('أرقام التواصل'!$A$6:$A$505,"client",'أرقام التواصل'!$B$6:$B$505,A448,'أرقام التواصل'!$I$6:$I$505,"TRUE")+COUNTIFS('أرقام التواصل'!$A$6:$A$505,"client",'أرقام التواصل'!$B$6:$B$505,A448,'أرقام التواصل'!$C$6:$C$505,1))=0),"missing primary contact in أرقام التواصل; ","")&amp;IF(OR(B448="to_candidate",AV448="proposed_name"),IF(AW448="","missing proposed_move_reason; ","")&amp;IF(AX448="","missing proposed_name_key; ",""),"")))))</f>
        <v/>
      </c>
    </row>
    <row r="449" spans="1:53">
      <c r="A449" s="11"/>
      <c r="B449" s="12"/>
      <c r="C449" s="13"/>
      <c r="D449" s="12"/>
      <c r="E449" s="12"/>
      <c r="F449" s="12"/>
      <c r="G449" s="12"/>
      <c r="H449" s="12"/>
      <c r="I449" s="12"/>
      <c r="J449" s="12"/>
      <c r="K449" s="12" t="str">
        <f t="shared" si="11"/>
        <v/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 t="str">
        <f t="shared" si="12"/>
        <v/>
      </c>
      <c r="V449" s="12"/>
      <c r="W449" s="14"/>
      <c r="X449" s="14"/>
      <c r="Y449" s="13"/>
      <c r="Z449" s="12"/>
      <c r="AA449" s="12"/>
      <c r="AB449" s="12"/>
      <c r="AC449" s="12"/>
      <c r="AD449" s="15"/>
      <c r="AE449" s="12"/>
      <c r="AF449" s="13"/>
      <c r="AG449" s="12"/>
      <c r="AH449" s="12"/>
      <c r="AI449" s="15"/>
      <c r="AJ449" s="12"/>
      <c r="AK449" s="12"/>
      <c r="AL449" s="12"/>
      <c r="AM449" s="12"/>
      <c r="AN449" s="12"/>
      <c r="AO449" s="12"/>
      <c r="AP449" s="12"/>
      <c r="AQ449" s="15"/>
      <c r="AR449" s="12"/>
      <c r="AS449" s="12"/>
      <c r="AT449" s="12"/>
      <c r="AU449" s="12"/>
      <c r="AV449" s="12"/>
      <c r="AW449" s="12"/>
      <c r="AX449" s="13"/>
      <c r="AY449" s="12"/>
      <c r="AZ449" s="12" t="str">
        <f>IF(AND(A449="",B449="",E449="",G449="",I449="",AV449="",AX449=""),"",IF(OR(B449="skip",AV449="skip"),"SKIP",IF(OR(B449="to_candidate",AV449="proposed_name"),IF(OR(A449="",AW449="",AX449="",COUNTIF($A$6:$A$505,A449)&gt;1),"REVIEW","TO_PROPOSED"),IF(OR(B449="",A449="",E449="",G449="",I449="",U449="",AV449="",COUNTIF($A$6:$A$505,A449)&gt;1,(COUNTIFS('أرقام التواصل'!$A$6:$A$505,"client",'أرقام التواصل'!$B$6:$B$505,A449,'أرقام التواصل'!$I$6:$I$505,"TRUE")+COUNTIFS('أرقام التواصل'!$A$6:$A$505,"client",'أرقام التواصل'!$B$6:$B$505,A449,'أرقام التواصل'!$C$6:$C$505,1))=0),"REVIEW","READY"))))</f>
        <v/>
      </c>
      <c r="BA449" s="16" t="str">
        <f>IF(AZ449="","",IF(OR(AZ449="READY",AZ449="TO_PROPOSED"),"",IF(AZ449="SKIP","Skipped by decision",TRIM(IF(B449="","missing import_action; ","")&amp;IF(A449="","missing migration_customer_key; ","")&amp;IF(AND(A449&lt;&gt;"",COUNTIF($A$6:$A$505,A449)&gt;1),"duplicate migration_customer_key; ","")&amp;IF(AND(NOT(OR(B449="to_candidate",AV449="proposed_name")),E449=""),"missing branch_id; ","")&amp;IF(AND(NOT(OR(B449="to_candidate",AV449="proposed_name")),G449=""),"missing first_name; ","")&amp;IF(AND(NOT(OR(B449="to_candidate",AV449="proposed_name")),I449=""),"missing last_name; ","")&amp;IF(AND(NOT(OR(B449="to_candidate",AV449="proposed_name")),U449=""),"missing final_geo_unit_id; ","")&amp;IF(AV449="","missing final_destination; ","")&amp;IF(AND(NOT(OR(B449="to_candidate",AV449="proposed_name")),(COUNTIFS('أرقام التواصل'!$A$6:$A$505,"client",'أرقام التواصل'!$B$6:$B$505,A449,'أرقام التواصل'!$I$6:$I$505,"TRUE")+COUNTIFS('أرقام التواصل'!$A$6:$A$505,"client",'أرقام التواصل'!$B$6:$B$505,A449,'أرقام التواصل'!$C$6:$C$505,1))=0),"missing primary contact in أرقام التواصل; ","")&amp;IF(OR(B449="to_candidate",AV449="proposed_name"),IF(AW449="","missing proposed_move_reason; ","")&amp;IF(AX449="","missing proposed_name_key; ",""),"")))))</f>
        <v/>
      </c>
    </row>
    <row r="450" spans="1:53">
      <c r="A450" s="11"/>
      <c r="B450" s="12"/>
      <c r="C450" s="13"/>
      <c r="D450" s="12"/>
      <c r="E450" s="12"/>
      <c r="F450" s="12"/>
      <c r="G450" s="12"/>
      <c r="H450" s="12"/>
      <c r="I450" s="12"/>
      <c r="J450" s="12"/>
      <c r="K450" s="12" t="str">
        <f t="shared" si="11"/>
        <v/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 t="str">
        <f t="shared" si="12"/>
        <v/>
      </c>
      <c r="V450" s="12"/>
      <c r="W450" s="14"/>
      <c r="X450" s="14"/>
      <c r="Y450" s="13"/>
      <c r="Z450" s="12"/>
      <c r="AA450" s="12"/>
      <c r="AB450" s="12"/>
      <c r="AC450" s="12"/>
      <c r="AD450" s="15"/>
      <c r="AE450" s="12"/>
      <c r="AF450" s="13"/>
      <c r="AG450" s="12"/>
      <c r="AH450" s="12"/>
      <c r="AI450" s="15"/>
      <c r="AJ450" s="12"/>
      <c r="AK450" s="12"/>
      <c r="AL450" s="12"/>
      <c r="AM450" s="12"/>
      <c r="AN450" s="12"/>
      <c r="AO450" s="12"/>
      <c r="AP450" s="12"/>
      <c r="AQ450" s="15"/>
      <c r="AR450" s="12"/>
      <c r="AS450" s="12"/>
      <c r="AT450" s="12"/>
      <c r="AU450" s="12"/>
      <c r="AV450" s="12"/>
      <c r="AW450" s="12"/>
      <c r="AX450" s="13"/>
      <c r="AY450" s="12"/>
      <c r="AZ450" s="12" t="str">
        <f>IF(AND(A450="",B450="",E450="",G450="",I450="",AV450="",AX450=""),"",IF(OR(B450="skip",AV450="skip"),"SKIP",IF(OR(B450="to_candidate",AV450="proposed_name"),IF(OR(A450="",AW450="",AX450="",COUNTIF($A$6:$A$505,A450)&gt;1),"REVIEW","TO_PROPOSED"),IF(OR(B450="",A450="",E450="",G450="",I450="",U450="",AV450="",COUNTIF($A$6:$A$505,A450)&gt;1,(COUNTIFS('أرقام التواصل'!$A$6:$A$505,"client",'أرقام التواصل'!$B$6:$B$505,A450,'أرقام التواصل'!$I$6:$I$505,"TRUE")+COUNTIFS('أرقام التواصل'!$A$6:$A$505,"client",'أرقام التواصل'!$B$6:$B$505,A450,'أرقام التواصل'!$C$6:$C$505,1))=0),"REVIEW","READY"))))</f>
        <v/>
      </c>
      <c r="BA450" s="16" t="str">
        <f>IF(AZ450="","",IF(OR(AZ450="READY",AZ450="TO_PROPOSED"),"",IF(AZ450="SKIP","Skipped by decision",TRIM(IF(B450="","missing import_action; ","")&amp;IF(A450="","missing migration_customer_key; ","")&amp;IF(AND(A450&lt;&gt;"",COUNTIF($A$6:$A$505,A450)&gt;1),"duplicate migration_customer_key; ","")&amp;IF(AND(NOT(OR(B450="to_candidate",AV450="proposed_name")),E450=""),"missing branch_id; ","")&amp;IF(AND(NOT(OR(B450="to_candidate",AV450="proposed_name")),G450=""),"missing first_name; ","")&amp;IF(AND(NOT(OR(B450="to_candidate",AV450="proposed_name")),I450=""),"missing last_name; ","")&amp;IF(AND(NOT(OR(B450="to_candidate",AV450="proposed_name")),U450=""),"missing final_geo_unit_id; ","")&amp;IF(AV450="","missing final_destination; ","")&amp;IF(AND(NOT(OR(B450="to_candidate",AV450="proposed_name")),(COUNTIFS('أرقام التواصل'!$A$6:$A$505,"client",'أرقام التواصل'!$B$6:$B$505,A450,'أرقام التواصل'!$I$6:$I$505,"TRUE")+COUNTIFS('أرقام التواصل'!$A$6:$A$505,"client",'أرقام التواصل'!$B$6:$B$505,A450,'أرقام التواصل'!$C$6:$C$505,1))=0),"missing primary contact in أرقام التواصل; ","")&amp;IF(OR(B450="to_candidate",AV450="proposed_name"),IF(AW450="","missing proposed_move_reason; ","")&amp;IF(AX450="","missing proposed_name_key; ",""),"")))))</f>
        <v/>
      </c>
    </row>
    <row r="451" spans="1:53">
      <c r="A451" s="11"/>
      <c r="B451" s="12"/>
      <c r="C451" s="13"/>
      <c r="D451" s="12"/>
      <c r="E451" s="12"/>
      <c r="F451" s="12"/>
      <c r="G451" s="12"/>
      <c r="H451" s="12"/>
      <c r="I451" s="12"/>
      <c r="J451" s="12"/>
      <c r="K451" s="12" t="str">
        <f t="shared" si="11"/>
        <v/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 t="str">
        <f t="shared" si="12"/>
        <v/>
      </c>
      <c r="V451" s="12"/>
      <c r="W451" s="14"/>
      <c r="X451" s="14"/>
      <c r="Y451" s="13"/>
      <c r="Z451" s="12"/>
      <c r="AA451" s="12"/>
      <c r="AB451" s="12"/>
      <c r="AC451" s="12"/>
      <c r="AD451" s="15"/>
      <c r="AE451" s="12"/>
      <c r="AF451" s="13"/>
      <c r="AG451" s="12"/>
      <c r="AH451" s="12"/>
      <c r="AI451" s="15"/>
      <c r="AJ451" s="12"/>
      <c r="AK451" s="12"/>
      <c r="AL451" s="12"/>
      <c r="AM451" s="12"/>
      <c r="AN451" s="12"/>
      <c r="AO451" s="12"/>
      <c r="AP451" s="12"/>
      <c r="AQ451" s="15"/>
      <c r="AR451" s="12"/>
      <c r="AS451" s="12"/>
      <c r="AT451" s="12"/>
      <c r="AU451" s="12"/>
      <c r="AV451" s="12"/>
      <c r="AW451" s="12"/>
      <c r="AX451" s="13"/>
      <c r="AY451" s="12"/>
      <c r="AZ451" s="12" t="str">
        <f>IF(AND(A451="",B451="",E451="",G451="",I451="",AV451="",AX451=""),"",IF(OR(B451="skip",AV451="skip"),"SKIP",IF(OR(B451="to_candidate",AV451="proposed_name"),IF(OR(A451="",AW451="",AX451="",COUNTIF($A$6:$A$505,A451)&gt;1),"REVIEW","TO_PROPOSED"),IF(OR(B451="",A451="",E451="",G451="",I451="",U451="",AV451="",COUNTIF($A$6:$A$505,A451)&gt;1,(COUNTIFS('أرقام التواصل'!$A$6:$A$505,"client",'أرقام التواصل'!$B$6:$B$505,A451,'أرقام التواصل'!$I$6:$I$505,"TRUE")+COUNTIFS('أرقام التواصل'!$A$6:$A$505,"client",'أرقام التواصل'!$B$6:$B$505,A451,'أرقام التواصل'!$C$6:$C$505,1))=0),"REVIEW","READY"))))</f>
        <v/>
      </c>
      <c r="BA451" s="16" t="str">
        <f>IF(AZ451="","",IF(OR(AZ451="READY",AZ451="TO_PROPOSED"),"",IF(AZ451="SKIP","Skipped by decision",TRIM(IF(B451="","missing import_action; ","")&amp;IF(A451="","missing migration_customer_key; ","")&amp;IF(AND(A451&lt;&gt;"",COUNTIF($A$6:$A$505,A451)&gt;1),"duplicate migration_customer_key; ","")&amp;IF(AND(NOT(OR(B451="to_candidate",AV451="proposed_name")),E451=""),"missing branch_id; ","")&amp;IF(AND(NOT(OR(B451="to_candidate",AV451="proposed_name")),G451=""),"missing first_name; ","")&amp;IF(AND(NOT(OR(B451="to_candidate",AV451="proposed_name")),I451=""),"missing last_name; ","")&amp;IF(AND(NOT(OR(B451="to_candidate",AV451="proposed_name")),U451=""),"missing final_geo_unit_id; ","")&amp;IF(AV451="","missing final_destination; ","")&amp;IF(AND(NOT(OR(B451="to_candidate",AV451="proposed_name")),(COUNTIFS('أرقام التواصل'!$A$6:$A$505,"client",'أرقام التواصل'!$B$6:$B$505,A451,'أرقام التواصل'!$I$6:$I$505,"TRUE")+COUNTIFS('أرقام التواصل'!$A$6:$A$505,"client",'أرقام التواصل'!$B$6:$B$505,A451,'أرقام التواصل'!$C$6:$C$505,1))=0),"missing primary contact in أرقام التواصل; ","")&amp;IF(OR(B451="to_candidate",AV451="proposed_name"),IF(AW451="","missing proposed_move_reason; ","")&amp;IF(AX451="","missing proposed_name_key; ",""),"")))))</f>
        <v/>
      </c>
    </row>
    <row r="452" spans="1:53">
      <c r="A452" s="11"/>
      <c r="B452" s="12"/>
      <c r="C452" s="13"/>
      <c r="D452" s="12"/>
      <c r="E452" s="12"/>
      <c r="F452" s="12"/>
      <c r="G452" s="12"/>
      <c r="H452" s="12"/>
      <c r="I452" s="12"/>
      <c r="J452" s="12"/>
      <c r="K452" s="12" t="str">
        <f t="shared" si="11"/>
        <v/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 t="str">
        <f t="shared" si="12"/>
        <v/>
      </c>
      <c r="V452" s="12"/>
      <c r="W452" s="14"/>
      <c r="X452" s="14"/>
      <c r="Y452" s="13"/>
      <c r="Z452" s="12"/>
      <c r="AA452" s="12"/>
      <c r="AB452" s="12"/>
      <c r="AC452" s="12"/>
      <c r="AD452" s="15"/>
      <c r="AE452" s="12"/>
      <c r="AF452" s="13"/>
      <c r="AG452" s="12"/>
      <c r="AH452" s="12"/>
      <c r="AI452" s="15"/>
      <c r="AJ452" s="12"/>
      <c r="AK452" s="12"/>
      <c r="AL452" s="12"/>
      <c r="AM452" s="12"/>
      <c r="AN452" s="12"/>
      <c r="AO452" s="12"/>
      <c r="AP452" s="12"/>
      <c r="AQ452" s="15"/>
      <c r="AR452" s="12"/>
      <c r="AS452" s="12"/>
      <c r="AT452" s="12"/>
      <c r="AU452" s="12"/>
      <c r="AV452" s="12"/>
      <c r="AW452" s="12"/>
      <c r="AX452" s="13"/>
      <c r="AY452" s="12"/>
      <c r="AZ452" s="12" t="str">
        <f>IF(AND(A452="",B452="",E452="",G452="",I452="",AV452="",AX452=""),"",IF(OR(B452="skip",AV452="skip"),"SKIP",IF(OR(B452="to_candidate",AV452="proposed_name"),IF(OR(A452="",AW452="",AX452="",COUNTIF($A$6:$A$505,A452)&gt;1),"REVIEW","TO_PROPOSED"),IF(OR(B452="",A452="",E452="",G452="",I452="",U452="",AV452="",COUNTIF($A$6:$A$505,A452)&gt;1,(COUNTIFS('أرقام التواصل'!$A$6:$A$505,"client",'أرقام التواصل'!$B$6:$B$505,A452,'أرقام التواصل'!$I$6:$I$505,"TRUE")+COUNTIFS('أرقام التواصل'!$A$6:$A$505,"client",'أرقام التواصل'!$B$6:$B$505,A452,'أرقام التواصل'!$C$6:$C$505,1))=0),"REVIEW","READY"))))</f>
        <v/>
      </c>
      <c r="BA452" s="16" t="str">
        <f>IF(AZ452="","",IF(OR(AZ452="READY",AZ452="TO_PROPOSED"),"",IF(AZ452="SKIP","Skipped by decision",TRIM(IF(B452="","missing import_action; ","")&amp;IF(A452="","missing migration_customer_key; ","")&amp;IF(AND(A452&lt;&gt;"",COUNTIF($A$6:$A$505,A452)&gt;1),"duplicate migration_customer_key; ","")&amp;IF(AND(NOT(OR(B452="to_candidate",AV452="proposed_name")),E452=""),"missing branch_id; ","")&amp;IF(AND(NOT(OR(B452="to_candidate",AV452="proposed_name")),G452=""),"missing first_name; ","")&amp;IF(AND(NOT(OR(B452="to_candidate",AV452="proposed_name")),I452=""),"missing last_name; ","")&amp;IF(AND(NOT(OR(B452="to_candidate",AV452="proposed_name")),U452=""),"missing final_geo_unit_id; ","")&amp;IF(AV452="","missing final_destination; ","")&amp;IF(AND(NOT(OR(B452="to_candidate",AV452="proposed_name")),(COUNTIFS('أرقام التواصل'!$A$6:$A$505,"client",'أرقام التواصل'!$B$6:$B$505,A452,'أرقام التواصل'!$I$6:$I$505,"TRUE")+COUNTIFS('أرقام التواصل'!$A$6:$A$505,"client",'أرقام التواصل'!$B$6:$B$505,A452,'أرقام التواصل'!$C$6:$C$505,1))=0),"missing primary contact in أرقام التواصل; ","")&amp;IF(OR(B452="to_candidate",AV452="proposed_name"),IF(AW452="","missing proposed_move_reason; ","")&amp;IF(AX452="","missing proposed_name_key; ",""),"")))))</f>
        <v/>
      </c>
    </row>
    <row r="453" spans="1:53">
      <c r="A453" s="11"/>
      <c r="B453" s="12"/>
      <c r="C453" s="13"/>
      <c r="D453" s="12"/>
      <c r="E453" s="12"/>
      <c r="F453" s="12"/>
      <c r="G453" s="12"/>
      <c r="H453" s="12"/>
      <c r="I453" s="12"/>
      <c r="J453" s="12"/>
      <c r="K453" s="12" t="str">
        <f t="shared" si="11"/>
        <v/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 t="str">
        <f t="shared" si="12"/>
        <v/>
      </c>
      <c r="V453" s="12"/>
      <c r="W453" s="14"/>
      <c r="X453" s="14"/>
      <c r="Y453" s="13"/>
      <c r="Z453" s="12"/>
      <c r="AA453" s="12"/>
      <c r="AB453" s="12"/>
      <c r="AC453" s="12"/>
      <c r="AD453" s="15"/>
      <c r="AE453" s="12"/>
      <c r="AF453" s="13"/>
      <c r="AG453" s="12"/>
      <c r="AH453" s="12"/>
      <c r="AI453" s="15"/>
      <c r="AJ453" s="12"/>
      <c r="AK453" s="12"/>
      <c r="AL453" s="12"/>
      <c r="AM453" s="12"/>
      <c r="AN453" s="12"/>
      <c r="AO453" s="12"/>
      <c r="AP453" s="12"/>
      <c r="AQ453" s="15"/>
      <c r="AR453" s="12"/>
      <c r="AS453" s="12"/>
      <c r="AT453" s="12"/>
      <c r="AU453" s="12"/>
      <c r="AV453" s="12"/>
      <c r="AW453" s="12"/>
      <c r="AX453" s="13"/>
      <c r="AY453" s="12"/>
      <c r="AZ453" s="12" t="str">
        <f>IF(AND(A453="",B453="",E453="",G453="",I453="",AV453="",AX453=""),"",IF(OR(B453="skip",AV453="skip"),"SKIP",IF(OR(B453="to_candidate",AV453="proposed_name"),IF(OR(A453="",AW453="",AX453="",COUNTIF($A$6:$A$505,A453)&gt;1),"REVIEW","TO_PROPOSED"),IF(OR(B453="",A453="",E453="",G453="",I453="",U453="",AV453="",COUNTIF($A$6:$A$505,A453)&gt;1,(COUNTIFS('أرقام التواصل'!$A$6:$A$505,"client",'أرقام التواصل'!$B$6:$B$505,A453,'أرقام التواصل'!$I$6:$I$505,"TRUE")+COUNTIFS('أرقام التواصل'!$A$6:$A$505,"client",'أرقام التواصل'!$B$6:$B$505,A453,'أرقام التواصل'!$C$6:$C$505,1))=0),"REVIEW","READY"))))</f>
        <v/>
      </c>
      <c r="BA453" s="16" t="str">
        <f>IF(AZ453="","",IF(OR(AZ453="READY",AZ453="TO_PROPOSED"),"",IF(AZ453="SKIP","Skipped by decision",TRIM(IF(B453="","missing import_action; ","")&amp;IF(A453="","missing migration_customer_key; ","")&amp;IF(AND(A453&lt;&gt;"",COUNTIF($A$6:$A$505,A453)&gt;1),"duplicate migration_customer_key; ","")&amp;IF(AND(NOT(OR(B453="to_candidate",AV453="proposed_name")),E453=""),"missing branch_id; ","")&amp;IF(AND(NOT(OR(B453="to_candidate",AV453="proposed_name")),G453=""),"missing first_name; ","")&amp;IF(AND(NOT(OR(B453="to_candidate",AV453="proposed_name")),I453=""),"missing last_name; ","")&amp;IF(AND(NOT(OR(B453="to_candidate",AV453="proposed_name")),U453=""),"missing final_geo_unit_id; ","")&amp;IF(AV453="","missing final_destination; ","")&amp;IF(AND(NOT(OR(B453="to_candidate",AV453="proposed_name")),(COUNTIFS('أرقام التواصل'!$A$6:$A$505,"client",'أرقام التواصل'!$B$6:$B$505,A453,'أرقام التواصل'!$I$6:$I$505,"TRUE")+COUNTIFS('أرقام التواصل'!$A$6:$A$505,"client",'أرقام التواصل'!$B$6:$B$505,A453,'أرقام التواصل'!$C$6:$C$505,1))=0),"missing primary contact in أرقام التواصل; ","")&amp;IF(OR(B453="to_candidate",AV453="proposed_name"),IF(AW453="","missing proposed_move_reason; ","")&amp;IF(AX453="","missing proposed_name_key; ",""),"")))))</f>
        <v/>
      </c>
    </row>
    <row r="454" spans="1:53">
      <c r="A454" s="11"/>
      <c r="B454" s="12"/>
      <c r="C454" s="13"/>
      <c r="D454" s="12"/>
      <c r="E454" s="12"/>
      <c r="F454" s="12"/>
      <c r="G454" s="12"/>
      <c r="H454" s="12"/>
      <c r="I454" s="12"/>
      <c r="J454" s="12"/>
      <c r="K454" s="12" t="str">
        <f t="shared" ref="K454:K517" si="13">IF(TRIM(G454&amp;" "&amp;H454&amp;" "&amp;I454&amp;IF(J454&lt;&gt;""," ("&amp;J454&amp;")",""))="","",TRIM(G454&amp;" "&amp;H454&amp;" "&amp;I454&amp;IF(J454&lt;&gt;""," ("&amp;J454&amp;")","")))</f>
        <v/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 t="str">
        <f t="shared" ref="U454:U505" si="14">IF(AND(L454="",N454="",P454="",R454=""),"",IF(R454&lt;&gt;"",R454,IF(P454&lt;&gt;"",P454,IF(N454&lt;&gt;"",N454,L454))))</f>
        <v/>
      </c>
      <c r="V454" s="12"/>
      <c r="W454" s="14"/>
      <c r="X454" s="14"/>
      <c r="Y454" s="13"/>
      <c r="Z454" s="12"/>
      <c r="AA454" s="12"/>
      <c r="AB454" s="12"/>
      <c r="AC454" s="12"/>
      <c r="AD454" s="15"/>
      <c r="AE454" s="12"/>
      <c r="AF454" s="13"/>
      <c r="AG454" s="12"/>
      <c r="AH454" s="12"/>
      <c r="AI454" s="15"/>
      <c r="AJ454" s="12"/>
      <c r="AK454" s="12"/>
      <c r="AL454" s="12"/>
      <c r="AM454" s="12"/>
      <c r="AN454" s="12"/>
      <c r="AO454" s="12"/>
      <c r="AP454" s="12"/>
      <c r="AQ454" s="15"/>
      <c r="AR454" s="12"/>
      <c r="AS454" s="12"/>
      <c r="AT454" s="12"/>
      <c r="AU454" s="12"/>
      <c r="AV454" s="12"/>
      <c r="AW454" s="12"/>
      <c r="AX454" s="13"/>
      <c r="AY454" s="12"/>
      <c r="AZ454" s="12" t="str">
        <f>IF(AND(A454="",B454="",E454="",G454="",I454="",AV454="",AX454=""),"",IF(OR(B454="skip",AV454="skip"),"SKIP",IF(OR(B454="to_candidate",AV454="proposed_name"),IF(OR(A454="",AW454="",AX454="",COUNTIF($A$6:$A$505,A454)&gt;1),"REVIEW","TO_PROPOSED"),IF(OR(B454="",A454="",E454="",G454="",I454="",U454="",AV454="",COUNTIF($A$6:$A$505,A454)&gt;1,(COUNTIFS('أرقام التواصل'!$A$6:$A$505,"client",'أرقام التواصل'!$B$6:$B$505,A454,'أرقام التواصل'!$I$6:$I$505,"TRUE")+COUNTIFS('أرقام التواصل'!$A$6:$A$505,"client",'أرقام التواصل'!$B$6:$B$505,A454,'أرقام التواصل'!$C$6:$C$505,1))=0),"REVIEW","READY"))))</f>
        <v/>
      </c>
      <c r="BA454" s="16" t="str">
        <f>IF(AZ454="","",IF(OR(AZ454="READY",AZ454="TO_PROPOSED"),"",IF(AZ454="SKIP","Skipped by decision",TRIM(IF(B454="","missing import_action; ","")&amp;IF(A454="","missing migration_customer_key; ","")&amp;IF(AND(A454&lt;&gt;"",COUNTIF($A$6:$A$505,A454)&gt;1),"duplicate migration_customer_key; ","")&amp;IF(AND(NOT(OR(B454="to_candidate",AV454="proposed_name")),E454=""),"missing branch_id; ","")&amp;IF(AND(NOT(OR(B454="to_candidate",AV454="proposed_name")),G454=""),"missing first_name; ","")&amp;IF(AND(NOT(OR(B454="to_candidate",AV454="proposed_name")),I454=""),"missing last_name; ","")&amp;IF(AND(NOT(OR(B454="to_candidate",AV454="proposed_name")),U454=""),"missing final_geo_unit_id; ","")&amp;IF(AV454="","missing final_destination; ","")&amp;IF(AND(NOT(OR(B454="to_candidate",AV454="proposed_name")),(COUNTIFS('أرقام التواصل'!$A$6:$A$505,"client",'أرقام التواصل'!$B$6:$B$505,A454,'أرقام التواصل'!$I$6:$I$505,"TRUE")+COUNTIFS('أرقام التواصل'!$A$6:$A$505,"client",'أرقام التواصل'!$B$6:$B$505,A454,'أرقام التواصل'!$C$6:$C$505,1))=0),"missing primary contact in أرقام التواصل; ","")&amp;IF(OR(B454="to_candidate",AV454="proposed_name"),IF(AW454="","missing proposed_move_reason; ","")&amp;IF(AX454="","missing proposed_name_key; ",""),"")))))</f>
        <v/>
      </c>
    </row>
    <row r="455" spans="1:53">
      <c r="A455" s="11"/>
      <c r="B455" s="12"/>
      <c r="C455" s="13"/>
      <c r="D455" s="12"/>
      <c r="E455" s="12"/>
      <c r="F455" s="12"/>
      <c r="G455" s="12"/>
      <c r="H455" s="12"/>
      <c r="I455" s="12"/>
      <c r="J455" s="12"/>
      <c r="K455" s="12" t="str">
        <f t="shared" si="13"/>
        <v/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 t="str">
        <f t="shared" si="14"/>
        <v/>
      </c>
      <c r="V455" s="12"/>
      <c r="W455" s="14"/>
      <c r="X455" s="14"/>
      <c r="Y455" s="13"/>
      <c r="Z455" s="12"/>
      <c r="AA455" s="12"/>
      <c r="AB455" s="12"/>
      <c r="AC455" s="12"/>
      <c r="AD455" s="15"/>
      <c r="AE455" s="12"/>
      <c r="AF455" s="13"/>
      <c r="AG455" s="12"/>
      <c r="AH455" s="12"/>
      <c r="AI455" s="15"/>
      <c r="AJ455" s="12"/>
      <c r="AK455" s="12"/>
      <c r="AL455" s="12"/>
      <c r="AM455" s="12"/>
      <c r="AN455" s="12"/>
      <c r="AO455" s="12"/>
      <c r="AP455" s="12"/>
      <c r="AQ455" s="15"/>
      <c r="AR455" s="12"/>
      <c r="AS455" s="12"/>
      <c r="AT455" s="12"/>
      <c r="AU455" s="12"/>
      <c r="AV455" s="12"/>
      <c r="AW455" s="12"/>
      <c r="AX455" s="13"/>
      <c r="AY455" s="12"/>
      <c r="AZ455" s="12" t="str">
        <f>IF(AND(A455="",B455="",E455="",G455="",I455="",AV455="",AX455=""),"",IF(OR(B455="skip",AV455="skip"),"SKIP",IF(OR(B455="to_candidate",AV455="proposed_name"),IF(OR(A455="",AW455="",AX455="",COUNTIF($A$6:$A$505,A455)&gt;1),"REVIEW","TO_PROPOSED"),IF(OR(B455="",A455="",E455="",G455="",I455="",U455="",AV455="",COUNTIF($A$6:$A$505,A455)&gt;1,(COUNTIFS('أرقام التواصل'!$A$6:$A$505,"client",'أرقام التواصل'!$B$6:$B$505,A455,'أرقام التواصل'!$I$6:$I$505,"TRUE")+COUNTIFS('أرقام التواصل'!$A$6:$A$505,"client",'أرقام التواصل'!$B$6:$B$505,A455,'أرقام التواصل'!$C$6:$C$505,1))=0),"REVIEW","READY"))))</f>
        <v/>
      </c>
      <c r="BA455" s="16" t="str">
        <f>IF(AZ455="","",IF(OR(AZ455="READY",AZ455="TO_PROPOSED"),"",IF(AZ455="SKIP","Skipped by decision",TRIM(IF(B455="","missing import_action; ","")&amp;IF(A455="","missing migration_customer_key; ","")&amp;IF(AND(A455&lt;&gt;"",COUNTIF($A$6:$A$505,A455)&gt;1),"duplicate migration_customer_key; ","")&amp;IF(AND(NOT(OR(B455="to_candidate",AV455="proposed_name")),E455=""),"missing branch_id; ","")&amp;IF(AND(NOT(OR(B455="to_candidate",AV455="proposed_name")),G455=""),"missing first_name; ","")&amp;IF(AND(NOT(OR(B455="to_candidate",AV455="proposed_name")),I455=""),"missing last_name; ","")&amp;IF(AND(NOT(OR(B455="to_candidate",AV455="proposed_name")),U455=""),"missing final_geo_unit_id; ","")&amp;IF(AV455="","missing final_destination; ","")&amp;IF(AND(NOT(OR(B455="to_candidate",AV455="proposed_name")),(COUNTIFS('أرقام التواصل'!$A$6:$A$505,"client",'أرقام التواصل'!$B$6:$B$505,A455,'أرقام التواصل'!$I$6:$I$505,"TRUE")+COUNTIFS('أرقام التواصل'!$A$6:$A$505,"client",'أرقام التواصل'!$B$6:$B$505,A455,'أرقام التواصل'!$C$6:$C$505,1))=0),"missing primary contact in أرقام التواصل; ","")&amp;IF(OR(B455="to_candidate",AV455="proposed_name"),IF(AW455="","missing proposed_move_reason; ","")&amp;IF(AX455="","missing proposed_name_key; ",""),"")))))</f>
        <v/>
      </c>
    </row>
    <row r="456" spans="1:53">
      <c r="A456" s="11"/>
      <c r="B456" s="12"/>
      <c r="C456" s="13"/>
      <c r="D456" s="12"/>
      <c r="E456" s="12"/>
      <c r="F456" s="12"/>
      <c r="G456" s="12"/>
      <c r="H456" s="12"/>
      <c r="I456" s="12"/>
      <c r="J456" s="12"/>
      <c r="K456" s="12" t="str">
        <f t="shared" si="13"/>
        <v/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 t="str">
        <f t="shared" si="14"/>
        <v/>
      </c>
      <c r="V456" s="12"/>
      <c r="W456" s="14"/>
      <c r="X456" s="14"/>
      <c r="Y456" s="13"/>
      <c r="Z456" s="12"/>
      <c r="AA456" s="12"/>
      <c r="AB456" s="12"/>
      <c r="AC456" s="12"/>
      <c r="AD456" s="15"/>
      <c r="AE456" s="12"/>
      <c r="AF456" s="13"/>
      <c r="AG456" s="12"/>
      <c r="AH456" s="12"/>
      <c r="AI456" s="15"/>
      <c r="AJ456" s="12"/>
      <c r="AK456" s="12"/>
      <c r="AL456" s="12"/>
      <c r="AM456" s="12"/>
      <c r="AN456" s="12"/>
      <c r="AO456" s="12"/>
      <c r="AP456" s="12"/>
      <c r="AQ456" s="15"/>
      <c r="AR456" s="12"/>
      <c r="AS456" s="12"/>
      <c r="AT456" s="12"/>
      <c r="AU456" s="12"/>
      <c r="AV456" s="12"/>
      <c r="AW456" s="12"/>
      <c r="AX456" s="13"/>
      <c r="AY456" s="12"/>
      <c r="AZ456" s="12" t="str">
        <f>IF(AND(A456="",B456="",E456="",G456="",I456="",AV456="",AX456=""),"",IF(OR(B456="skip",AV456="skip"),"SKIP",IF(OR(B456="to_candidate",AV456="proposed_name"),IF(OR(A456="",AW456="",AX456="",COUNTIF($A$6:$A$505,A456)&gt;1),"REVIEW","TO_PROPOSED"),IF(OR(B456="",A456="",E456="",G456="",I456="",U456="",AV456="",COUNTIF($A$6:$A$505,A456)&gt;1,(COUNTIFS('أرقام التواصل'!$A$6:$A$505,"client",'أرقام التواصل'!$B$6:$B$505,A456,'أرقام التواصل'!$I$6:$I$505,"TRUE")+COUNTIFS('أرقام التواصل'!$A$6:$A$505,"client",'أرقام التواصل'!$B$6:$B$505,A456,'أرقام التواصل'!$C$6:$C$505,1))=0),"REVIEW","READY"))))</f>
        <v/>
      </c>
      <c r="BA456" s="16" t="str">
        <f>IF(AZ456="","",IF(OR(AZ456="READY",AZ456="TO_PROPOSED"),"",IF(AZ456="SKIP","Skipped by decision",TRIM(IF(B456="","missing import_action; ","")&amp;IF(A456="","missing migration_customer_key; ","")&amp;IF(AND(A456&lt;&gt;"",COUNTIF($A$6:$A$505,A456)&gt;1),"duplicate migration_customer_key; ","")&amp;IF(AND(NOT(OR(B456="to_candidate",AV456="proposed_name")),E456=""),"missing branch_id; ","")&amp;IF(AND(NOT(OR(B456="to_candidate",AV456="proposed_name")),G456=""),"missing first_name; ","")&amp;IF(AND(NOT(OR(B456="to_candidate",AV456="proposed_name")),I456=""),"missing last_name; ","")&amp;IF(AND(NOT(OR(B456="to_candidate",AV456="proposed_name")),U456=""),"missing final_geo_unit_id; ","")&amp;IF(AV456="","missing final_destination; ","")&amp;IF(AND(NOT(OR(B456="to_candidate",AV456="proposed_name")),(COUNTIFS('أرقام التواصل'!$A$6:$A$505,"client",'أرقام التواصل'!$B$6:$B$505,A456,'أرقام التواصل'!$I$6:$I$505,"TRUE")+COUNTIFS('أرقام التواصل'!$A$6:$A$505,"client",'أرقام التواصل'!$B$6:$B$505,A456,'أرقام التواصل'!$C$6:$C$505,1))=0),"missing primary contact in أرقام التواصل; ","")&amp;IF(OR(B456="to_candidate",AV456="proposed_name"),IF(AW456="","missing proposed_move_reason; ","")&amp;IF(AX456="","missing proposed_name_key; ",""),"")))))</f>
        <v/>
      </c>
    </row>
    <row r="457" spans="1:53">
      <c r="A457" s="11"/>
      <c r="B457" s="12"/>
      <c r="C457" s="13"/>
      <c r="D457" s="12"/>
      <c r="E457" s="12"/>
      <c r="F457" s="12"/>
      <c r="G457" s="12"/>
      <c r="H457" s="12"/>
      <c r="I457" s="12"/>
      <c r="J457" s="12"/>
      <c r="K457" s="12" t="str">
        <f t="shared" si="13"/>
        <v/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 t="str">
        <f t="shared" si="14"/>
        <v/>
      </c>
      <c r="V457" s="12"/>
      <c r="W457" s="14"/>
      <c r="X457" s="14"/>
      <c r="Y457" s="13"/>
      <c r="Z457" s="12"/>
      <c r="AA457" s="12"/>
      <c r="AB457" s="12"/>
      <c r="AC457" s="12"/>
      <c r="AD457" s="15"/>
      <c r="AE457" s="12"/>
      <c r="AF457" s="13"/>
      <c r="AG457" s="12"/>
      <c r="AH457" s="12"/>
      <c r="AI457" s="15"/>
      <c r="AJ457" s="12"/>
      <c r="AK457" s="12"/>
      <c r="AL457" s="12"/>
      <c r="AM457" s="12"/>
      <c r="AN457" s="12"/>
      <c r="AO457" s="12"/>
      <c r="AP457" s="12"/>
      <c r="AQ457" s="15"/>
      <c r="AR457" s="12"/>
      <c r="AS457" s="12"/>
      <c r="AT457" s="12"/>
      <c r="AU457" s="12"/>
      <c r="AV457" s="12"/>
      <c r="AW457" s="12"/>
      <c r="AX457" s="13"/>
      <c r="AY457" s="12"/>
      <c r="AZ457" s="12" t="str">
        <f>IF(AND(A457="",B457="",E457="",G457="",I457="",AV457="",AX457=""),"",IF(OR(B457="skip",AV457="skip"),"SKIP",IF(OR(B457="to_candidate",AV457="proposed_name"),IF(OR(A457="",AW457="",AX457="",COUNTIF($A$6:$A$505,A457)&gt;1),"REVIEW","TO_PROPOSED"),IF(OR(B457="",A457="",E457="",G457="",I457="",U457="",AV457="",COUNTIF($A$6:$A$505,A457)&gt;1,(COUNTIFS('أرقام التواصل'!$A$6:$A$505,"client",'أرقام التواصل'!$B$6:$B$505,A457,'أرقام التواصل'!$I$6:$I$505,"TRUE")+COUNTIFS('أرقام التواصل'!$A$6:$A$505,"client",'أرقام التواصل'!$B$6:$B$505,A457,'أرقام التواصل'!$C$6:$C$505,1))=0),"REVIEW","READY"))))</f>
        <v/>
      </c>
      <c r="BA457" s="16" t="str">
        <f>IF(AZ457="","",IF(OR(AZ457="READY",AZ457="TO_PROPOSED"),"",IF(AZ457="SKIP","Skipped by decision",TRIM(IF(B457="","missing import_action; ","")&amp;IF(A457="","missing migration_customer_key; ","")&amp;IF(AND(A457&lt;&gt;"",COUNTIF($A$6:$A$505,A457)&gt;1),"duplicate migration_customer_key; ","")&amp;IF(AND(NOT(OR(B457="to_candidate",AV457="proposed_name")),E457=""),"missing branch_id; ","")&amp;IF(AND(NOT(OR(B457="to_candidate",AV457="proposed_name")),G457=""),"missing first_name; ","")&amp;IF(AND(NOT(OR(B457="to_candidate",AV457="proposed_name")),I457=""),"missing last_name; ","")&amp;IF(AND(NOT(OR(B457="to_candidate",AV457="proposed_name")),U457=""),"missing final_geo_unit_id; ","")&amp;IF(AV457="","missing final_destination; ","")&amp;IF(AND(NOT(OR(B457="to_candidate",AV457="proposed_name")),(COUNTIFS('أرقام التواصل'!$A$6:$A$505,"client",'أرقام التواصل'!$B$6:$B$505,A457,'أرقام التواصل'!$I$6:$I$505,"TRUE")+COUNTIFS('أرقام التواصل'!$A$6:$A$505,"client",'أرقام التواصل'!$B$6:$B$505,A457,'أرقام التواصل'!$C$6:$C$505,1))=0),"missing primary contact in أرقام التواصل; ","")&amp;IF(OR(B457="to_candidate",AV457="proposed_name"),IF(AW457="","missing proposed_move_reason; ","")&amp;IF(AX457="","missing proposed_name_key; ",""),"")))))</f>
        <v/>
      </c>
    </row>
    <row r="458" spans="1:53">
      <c r="A458" s="11"/>
      <c r="B458" s="12"/>
      <c r="C458" s="13"/>
      <c r="D458" s="12"/>
      <c r="E458" s="12"/>
      <c r="F458" s="12"/>
      <c r="G458" s="12"/>
      <c r="H458" s="12"/>
      <c r="I458" s="12"/>
      <c r="J458" s="12"/>
      <c r="K458" s="12" t="str">
        <f t="shared" si="13"/>
        <v/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 t="str">
        <f t="shared" si="14"/>
        <v/>
      </c>
      <c r="V458" s="12"/>
      <c r="W458" s="14"/>
      <c r="X458" s="14"/>
      <c r="Y458" s="13"/>
      <c r="Z458" s="12"/>
      <c r="AA458" s="12"/>
      <c r="AB458" s="12"/>
      <c r="AC458" s="12"/>
      <c r="AD458" s="15"/>
      <c r="AE458" s="12"/>
      <c r="AF458" s="13"/>
      <c r="AG458" s="12"/>
      <c r="AH458" s="12"/>
      <c r="AI458" s="15"/>
      <c r="AJ458" s="12"/>
      <c r="AK458" s="12"/>
      <c r="AL458" s="12"/>
      <c r="AM458" s="12"/>
      <c r="AN458" s="12"/>
      <c r="AO458" s="12"/>
      <c r="AP458" s="12"/>
      <c r="AQ458" s="15"/>
      <c r="AR458" s="12"/>
      <c r="AS458" s="12"/>
      <c r="AT458" s="12"/>
      <c r="AU458" s="12"/>
      <c r="AV458" s="12"/>
      <c r="AW458" s="12"/>
      <c r="AX458" s="13"/>
      <c r="AY458" s="12"/>
      <c r="AZ458" s="12" t="str">
        <f>IF(AND(A458="",B458="",E458="",G458="",I458="",AV458="",AX458=""),"",IF(OR(B458="skip",AV458="skip"),"SKIP",IF(OR(B458="to_candidate",AV458="proposed_name"),IF(OR(A458="",AW458="",AX458="",COUNTIF($A$6:$A$505,A458)&gt;1),"REVIEW","TO_PROPOSED"),IF(OR(B458="",A458="",E458="",G458="",I458="",U458="",AV458="",COUNTIF($A$6:$A$505,A458)&gt;1,(COUNTIFS('أرقام التواصل'!$A$6:$A$505,"client",'أرقام التواصل'!$B$6:$B$505,A458,'أرقام التواصل'!$I$6:$I$505,"TRUE")+COUNTIFS('أرقام التواصل'!$A$6:$A$505,"client",'أرقام التواصل'!$B$6:$B$505,A458,'أرقام التواصل'!$C$6:$C$505,1))=0),"REVIEW","READY"))))</f>
        <v/>
      </c>
      <c r="BA458" s="16" t="str">
        <f>IF(AZ458="","",IF(OR(AZ458="READY",AZ458="TO_PROPOSED"),"",IF(AZ458="SKIP","Skipped by decision",TRIM(IF(B458="","missing import_action; ","")&amp;IF(A458="","missing migration_customer_key; ","")&amp;IF(AND(A458&lt;&gt;"",COUNTIF($A$6:$A$505,A458)&gt;1),"duplicate migration_customer_key; ","")&amp;IF(AND(NOT(OR(B458="to_candidate",AV458="proposed_name")),E458=""),"missing branch_id; ","")&amp;IF(AND(NOT(OR(B458="to_candidate",AV458="proposed_name")),G458=""),"missing first_name; ","")&amp;IF(AND(NOT(OR(B458="to_candidate",AV458="proposed_name")),I458=""),"missing last_name; ","")&amp;IF(AND(NOT(OR(B458="to_candidate",AV458="proposed_name")),U458=""),"missing final_geo_unit_id; ","")&amp;IF(AV458="","missing final_destination; ","")&amp;IF(AND(NOT(OR(B458="to_candidate",AV458="proposed_name")),(COUNTIFS('أرقام التواصل'!$A$6:$A$505,"client",'أرقام التواصل'!$B$6:$B$505,A458,'أرقام التواصل'!$I$6:$I$505,"TRUE")+COUNTIFS('أرقام التواصل'!$A$6:$A$505,"client",'أرقام التواصل'!$B$6:$B$505,A458,'أرقام التواصل'!$C$6:$C$505,1))=0),"missing primary contact in أرقام التواصل; ","")&amp;IF(OR(B458="to_candidate",AV458="proposed_name"),IF(AW458="","missing proposed_move_reason; ","")&amp;IF(AX458="","missing proposed_name_key; ",""),"")))))</f>
        <v/>
      </c>
    </row>
    <row r="459" spans="1:53">
      <c r="A459" s="11"/>
      <c r="B459" s="12"/>
      <c r="C459" s="13"/>
      <c r="D459" s="12"/>
      <c r="E459" s="12"/>
      <c r="F459" s="12"/>
      <c r="G459" s="12"/>
      <c r="H459" s="12"/>
      <c r="I459" s="12"/>
      <c r="J459" s="12"/>
      <c r="K459" s="12" t="str">
        <f t="shared" si="13"/>
        <v/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 t="str">
        <f t="shared" si="14"/>
        <v/>
      </c>
      <c r="V459" s="12"/>
      <c r="W459" s="14"/>
      <c r="X459" s="14"/>
      <c r="Y459" s="13"/>
      <c r="Z459" s="12"/>
      <c r="AA459" s="12"/>
      <c r="AB459" s="12"/>
      <c r="AC459" s="12"/>
      <c r="AD459" s="15"/>
      <c r="AE459" s="12"/>
      <c r="AF459" s="13"/>
      <c r="AG459" s="12"/>
      <c r="AH459" s="12"/>
      <c r="AI459" s="15"/>
      <c r="AJ459" s="12"/>
      <c r="AK459" s="12"/>
      <c r="AL459" s="12"/>
      <c r="AM459" s="12"/>
      <c r="AN459" s="12"/>
      <c r="AO459" s="12"/>
      <c r="AP459" s="12"/>
      <c r="AQ459" s="15"/>
      <c r="AR459" s="12"/>
      <c r="AS459" s="12"/>
      <c r="AT459" s="12"/>
      <c r="AU459" s="12"/>
      <c r="AV459" s="12"/>
      <c r="AW459" s="12"/>
      <c r="AX459" s="13"/>
      <c r="AY459" s="12"/>
      <c r="AZ459" s="12" t="str">
        <f>IF(AND(A459="",B459="",E459="",G459="",I459="",AV459="",AX459=""),"",IF(OR(B459="skip",AV459="skip"),"SKIP",IF(OR(B459="to_candidate",AV459="proposed_name"),IF(OR(A459="",AW459="",AX459="",COUNTIF($A$6:$A$505,A459)&gt;1),"REVIEW","TO_PROPOSED"),IF(OR(B459="",A459="",E459="",G459="",I459="",U459="",AV459="",COUNTIF($A$6:$A$505,A459)&gt;1,(COUNTIFS('أرقام التواصل'!$A$6:$A$505,"client",'أرقام التواصل'!$B$6:$B$505,A459,'أرقام التواصل'!$I$6:$I$505,"TRUE")+COUNTIFS('أرقام التواصل'!$A$6:$A$505,"client",'أرقام التواصل'!$B$6:$B$505,A459,'أرقام التواصل'!$C$6:$C$505,1))=0),"REVIEW","READY"))))</f>
        <v/>
      </c>
      <c r="BA459" s="16" t="str">
        <f>IF(AZ459="","",IF(OR(AZ459="READY",AZ459="TO_PROPOSED"),"",IF(AZ459="SKIP","Skipped by decision",TRIM(IF(B459="","missing import_action; ","")&amp;IF(A459="","missing migration_customer_key; ","")&amp;IF(AND(A459&lt;&gt;"",COUNTIF($A$6:$A$505,A459)&gt;1),"duplicate migration_customer_key; ","")&amp;IF(AND(NOT(OR(B459="to_candidate",AV459="proposed_name")),E459=""),"missing branch_id; ","")&amp;IF(AND(NOT(OR(B459="to_candidate",AV459="proposed_name")),G459=""),"missing first_name; ","")&amp;IF(AND(NOT(OR(B459="to_candidate",AV459="proposed_name")),I459=""),"missing last_name; ","")&amp;IF(AND(NOT(OR(B459="to_candidate",AV459="proposed_name")),U459=""),"missing final_geo_unit_id; ","")&amp;IF(AV459="","missing final_destination; ","")&amp;IF(AND(NOT(OR(B459="to_candidate",AV459="proposed_name")),(COUNTIFS('أرقام التواصل'!$A$6:$A$505,"client",'أرقام التواصل'!$B$6:$B$505,A459,'أرقام التواصل'!$I$6:$I$505,"TRUE")+COUNTIFS('أرقام التواصل'!$A$6:$A$505,"client",'أرقام التواصل'!$B$6:$B$505,A459,'أرقام التواصل'!$C$6:$C$505,1))=0),"missing primary contact in أرقام التواصل; ","")&amp;IF(OR(B459="to_candidate",AV459="proposed_name"),IF(AW459="","missing proposed_move_reason; ","")&amp;IF(AX459="","missing proposed_name_key; ",""),"")))))</f>
        <v/>
      </c>
    </row>
    <row r="460" spans="1:53">
      <c r="A460" s="11"/>
      <c r="B460" s="12"/>
      <c r="C460" s="13"/>
      <c r="D460" s="12"/>
      <c r="E460" s="12"/>
      <c r="F460" s="12"/>
      <c r="G460" s="12"/>
      <c r="H460" s="12"/>
      <c r="I460" s="12"/>
      <c r="J460" s="12"/>
      <c r="K460" s="12" t="str">
        <f t="shared" si="13"/>
        <v/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 t="str">
        <f t="shared" si="14"/>
        <v/>
      </c>
      <c r="V460" s="12"/>
      <c r="W460" s="14"/>
      <c r="X460" s="14"/>
      <c r="Y460" s="13"/>
      <c r="Z460" s="12"/>
      <c r="AA460" s="12"/>
      <c r="AB460" s="12"/>
      <c r="AC460" s="12"/>
      <c r="AD460" s="15"/>
      <c r="AE460" s="12"/>
      <c r="AF460" s="13"/>
      <c r="AG460" s="12"/>
      <c r="AH460" s="12"/>
      <c r="AI460" s="15"/>
      <c r="AJ460" s="12"/>
      <c r="AK460" s="12"/>
      <c r="AL460" s="12"/>
      <c r="AM460" s="12"/>
      <c r="AN460" s="12"/>
      <c r="AO460" s="12"/>
      <c r="AP460" s="12"/>
      <c r="AQ460" s="15"/>
      <c r="AR460" s="12"/>
      <c r="AS460" s="12"/>
      <c r="AT460" s="12"/>
      <c r="AU460" s="12"/>
      <c r="AV460" s="12"/>
      <c r="AW460" s="12"/>
      <c r="AX460" s="13"/>
      <c r="AY460" s="12"/>
      <c r="AZ460" s="12" t="str">
        <f>IF(AND(A460="",B460="",E460="",G460="",I460="",AV460="",AX460=""),"",IF(OR(B460="skip",AV460="skip"),"SKIP",IF(OR(B460="to_candidate",AV460="proposed_name"),IF(OR(A460="",AW460="",AX460="",COUNTIF($A$6:$A$505,A460)&gt;1),"REVIEW","TO_PROPOSED"),IF(OR(B460="",A460="",E460="",G460="",I460="",U460="",AV460="",COUNTIF($A$6:$A$505,A460)&gt;1,(COUNTIFS('أرقام التواصل'!$A$6:$A$505,"client",'أرقام التواصل'!$B$6:$B$505,A460,'أرقام التواصل'!$I$6:$I$505,"TRUE")+COUNTIFS('أرقام التواصل'!$A$6:$A$505,"client",'أرقام التواصل'!$B$6:$B$505,A460,'أرقام التواصل'!$C$6:$C$505,1))=0),"REVIEW","READY"))))</f>
        <v/>
      </c>
      <c r="BA460" s="16" t="str">
        <f>IF(AZ460="","",IF(OR(AZ460="READY",AZ460="TO_PROPOSED"),"",IF(AZ460="SKIP","Skipped by decision",TRIM(IF(B460="","missing import_action; ","")&amp;IF(A460="","missing migration_customer_key; ","")&amp;IF(AND(A460&lt;&gt;"",COUNTIF($A$6:$A$505,A460)&gt;1),"duplicate migration_customer_key; ","")&amp;IF(AND(NOT(OR(B460="to_candidate",AV460="proposed_name")),E460=""),"missing branch_id; ","")&amp;IF(AND(NOT(OR(B460="to_candidate",AV460="proposed_name")),G460=""),"missing first_name; ","")&amp;IF(AND(NOT(OR(B460="to_candidate",AV460="proposed_name")),I460=""),"missing last_name; ","")&amp;IF(AND(NOT(OR(B460="to_candidate",AV460="proposed_name")),U460=""),"missing final_geo_unit_id; ","")&amp;IF(AV460="","missing final_destination; ","")&amp;IF(AND(NOT(OR(B460="to_candidate",AV460="proposed_name")),(COUNTIFS('أرقام التواصل'!$A$6:$A$505,"client",'أرقام التواصل'!$B$6:$B$505,A460,'أرقام التواصل'!$I$6:$I$505,"TRUE")+COUNTIFS('أرقام التواصل'!$A$6:$A$505,"client",'أرقام التواصل'!$B$6:$B$505,A460,'أرقام التواصل'!$C$6:$C$505,1))=0),"missing primary contact in أرقام التواصل; ","")&amp;IF(OR(B460="to_candidate",AV460="proposed_name"),IF(AW460="","missing proposed_move_reason; ","")&amp;IF(AX460="","missing proposed_name_key; ",""),"")))))</f>
        <v/>
      </c>
    </row>
    <row r="461" spans="1:53">
      <c r="A461" s="11"/>
      <c r="B461" s="12"/>
      <c r="C461" s="13"/>
      <c r="D461" s="12"/>
      <c r="E461" s="12"/>
      <c r="F461" s="12"/>
      <c r="G461" s="12"/>
      <c r="H461" s="12"/>
      <c r="I461" s="12"/>
      <c r="J461" s="12"/>
      <c r="K461" s="12" t="str">
        <f t="shared" si="13"/>
        <v/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 t="str">
        <f t="shared" si="14"/>
        <v/>
      </c>
      <c r="V461" s="12"/>
      <c r="W461" s="14"/>
      <c r="X461" s="14"/>
      <c r="Y461" s="13"/>
      <c r="Z461" s="12"/>
      <c r="AA461" s="12"/>
      <c r="AB461" s="12"/>
      <c r="AC461" s="12"/>
      <c r="AD461" s="15"/>
      <c r="AE461" s="12"/>
      <c r="AF461" s="13"/>
      <c r="AG461" s="12"/>
      <c r="AH461" s="12"/>
      <c r="AI461" s="15"/>
      <c r="AJ461" s="12"/>
      <c r="AK461" s="12"/>
      <c r="AL461" s="12"/>
      <c r="AM461" s="12"/>
      <c r="AN461" s="12"/>
      <c r="AO461" s="12"/>
      <c r="AP461" s="12"/>
      <c r="AQ461" s="15"/>
      <c r="AR461" s="12"/>
      <c r="AS461" s="12"/>
      <c r="AT461" s="12"/>
      <c r="AU461" s="12"/>
      <c r="AV461" s="12"/>
      <c r="AW461" s="12"/>
      <c r="AX461" s="13"/>
      <c r="AY461" s="12"/>
      <c r="AZ461" s="12" t="str">
        <f>IF(AND(A461="",B461="",E461="",G461="",I461="",AV461="",AX461=""),"",IF(OR(B461="skip",AV461="skip"),"SKIP",IF(OR(B461="to_candidate",AV461="proposed_name"),IF(OR(A461="",AW461="",AX461="",COUNTIF($A$6:$A$505,A461)&gt;1),"REVIEW","TO_PROPOSED"),IF(OR(B461="",A461="",E461="",G461="",I461="",U461="",AV461="",COUNTIF($A$6:$A$505,A461)&gt;1,(COUNTIFS('أرقام التواصل'!$A$6:$A$505,"client",'أرقام التواصل'!$B$6:$B$505,A461,'أرقام التواصل'!$I$6:$I$505,"TRUE")+COUNTIFS('أرقام التواصل'!$A$6:$A$505,"client",'أرقام التواصل'!$B$6:$B$505,A461,'أرقام التواصل'!$C$6:$C$505,1))=0),"REVIEW","READY"))))</f>
        <v/>
      </c>
      <c r="BA461" s="16" t="str">
        <f>IF(AZ461="","",IF(OR(AZ461="READY",AZ461="TO_PROPOSED"),"",IF(AZ461="SKIP","Skipped by decision",TRIM(IF(B461="","missing import_action; ","")&amp;IF(A461="","missing migration_customer_key; ","")&amp;IF(AND(A461&lt;&gt;"",COUNTIF($A$6:$A$505,A461)&gt;1),"duplicate migration_customer_key; ","")&amp;IF(AND(NOT(OR(B461="to_candidate",AV461="proposed_name")),E461=""),"missing branch_id; ","")&amp;IF(AND(NOT(OR(B461="to_candidate",AV461="proposed_name")),G461=""),"missing first_name; ","")&amp;IF(AND(NOT(OR(B461="to_candidate",AV461="proposed_name")),I461=""),"missing last_name; ","")&amp;IF(AND(NOT(OR(B461="to_candidate",AV461="proposed_name")),U461=""),"missing final_geo_unit_id; ","")&amp;IF(AV461="","missing final_destination; ","")&amp;IF(AND(NOT(OR(B461="to_candidate",AV461="proposed_name")),(COUNTIFS('أرقام التواصل'!$A$6:$A$505,"client",'أرقام التواصل'!$B$6:$B$505,A461,'أرقام التواصل'!$I$6:$I$505,"TRUE")+COUNTIFS('أرقام التواصل'!$A$6:$A$505,"client",'أرقام التواصل'!$B$6:$B$505,A461,'أرقام التواصل'!$C$6:$C$505,1))=0),"missing primary contact in أرقام التواصل; ","")&amp;IF(OR(B461="to_candidate",AV461="proposed_name"),IF(AW461="","missing proposed_move_reason; ","")&amp;IF(AX461="","missing proposed_name_key; ",""),"")))))</f>
        <v/>
      </c>
    </row>
    <row r="462" spans="1:53">
      <c r="A462" s="11"/>
      <c r="B462" s="12"/>
      <c r="C462" s="13"/>
      <c r="D462" s="12"/>
      <c r="E462" s="12"/>
      <c r="F462" s="12"/>
      <c r="G462" s="12"/>
      <c r="H462" s="12"/>
      <c r="I462" s="12"/>
      <c r="J462" s="12"/>
      <c r="K462" s="12" t="str">
        <f t="shared" si="13"/>
        <v/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 t="str">
        <f t="shared" si="14"/>
        <v/>
      </c>
      <c r="V462" s="12"/>
      <c r="W462" s="14"/>
      <c r="X462" s="14"/>
      <c r="Y462" s="13"/>
      <c r="Z462" s="12"/>
      <c r="AA462" s="12"/>
      <c r="AB462" s="12"/>
      <c r="AC462" s="12"/>
      <c r="AD462" s="15"/>
      <c r="AE462" s="12"/>
      <c r="AF462" s="13"/>
      <c r="AG462" s="12"/>
      <c r="AH462" s="12"/>
      <c r="AI462" s="15"/>
      <c r="AJ462" s="12"/>
      <c r="AK462" s="12"/>
      <c r="AL462" s="12"/>
      <c r="AM462" s="12"/>
      <c r="AN462" s="12"/>
      <c r="AO462" s="12"/>
      <c r="AP462" s="12"/>
      <c r="AQ462" s="15"/>
      <c r="AR462" s="12"/>
      <c r="AS462" s="12"/>
      <c r="AT462" s="12"/>
      <c r="AU462" s="12"/>
      <c r="AV462" s="12"/>
      <c r="AW462" s="12"/>
      <c r="AX462" s="13"/>
      <c r="AY462" s="12"/>
      <c r="AZ462" s="12" t="str">
        <f>IF(AND(A462="",B462="",E462="",G462="",I462="",AV462="",AX462=""),"",IF(OR(B462="skip",AV462="skip"),"SKIP",IF(OR(B462="to_candidate",AV462="proposed_name"),IF(OR(A462="",AW462="",AX462="",COUNTIF($A$6:$A$505,A462)&gt;1),"REVIEW","TO_PROPOSED"),IF(OR(B462="",A462="",E462="",G462="",I462="",U462="",AV462="",COUNTIF($A$6:$A$505,A462)&gt;1,(COUNTIFS('أرقام التواصل'!$A$6:$A$505,"client",'أرقام التواصل'!$B$6:$B$505,A462,'أرقام التواصل'!$I$6:$I$505,"TRUE")+COUNTIFS('أرقام التواصل'!$A$6:$A$505,"client",'أرقام التواصل'!$B$6:$B$505,A462,'أرقام التواصل'!$C$6:$C$505,1))=0),"REVIEW","READY"))))</f>
        <v/>
      </c>
      <c r="BA462" s="16" t="str">
        <f>IF(AZ462="","",IF(OR(AZ462="READY",AZ462="TO_PROPOSED"),"",IF(AZ462="SKIP","Skipped by decision",TRIM(IF(B462="","missing import_action; ","")&amp;IF(A462="","missing migration_customer_key; ","")&amp;IF(AND(A462&lt;&gt;"",COUNTIF($A$6:$A$505,A462)&gt;1),"duplicate migration_customer_key; ","")&amp;IF(AND(NOT(OR(B462="to_candidate",AV462="proposed_name")),E462=""),"missing branch_id; ","")&amp;IF(AND(NOT(OR(B462="to_candidate",AV462="proposed_name")),G462=""),"missing first_name; ","")&amp;IF(AND(NOT(OR(B462="to_candidate",AV462="proposed_name")),I462=""),"missing last_name; ","")&amp;IF(AND(NOT(OR(B462="to_candidate",AV462="proposed_name")),U462=""),"missing final_geo_unit_id; ","")&amp;IF(AV462="","missing final_destination; ","")&amp;IF(AND(NOT(OR(B462="to_candidate",AV462="proposed_name")),(COUNTIFS('أرقام التواصل'!$A$6:$A$505,"client",'أرقام التواصل'!$B$6:$B$505,A462,'أرقام التواصل'!$I$6:$I$505,"TRUE")+COUNTIFS('أرقام التواصل'!$A$6:$A$505,"client",'أرقام التواصل'!$B$6:$B$505,A462,'أرقام التواصل'!$C$6:$C$505,1))=0),"missing primary contact in أرقام التواصل; ","")&amp;IF(OR(B462="to_candidate",AV462="proposed_name"),IF(AW462="","missing proposed_move_reason; ","")&amp;IF(AX462="","missing proposed_name_key; ",""),"")))))</f>
        <v/>
      </c>
    </row>
    <row r="463" spans="1:53">
      <c r="A463" s="11"/>
      <c r="B463" s="12"/>
      <c r="C463" s="13"/>
      <c r="D463" s="12"/>
      <c r="E463" s="12"/>
      <c r="F463" s="12"/>
      <c r="G463" s="12"/>
      <c r="H463" s="12"/>
      <c r="I463" s="12"/>
      <c r="J463" s="12"/>
      <c r="K463" s="12" t="str">
        <f t="shared" si="13"/>
        <v/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 t="str">
        <f t="shared" si="14"/>
        <v/>
      </c>
      <c r="V463" s="12"/>
      <c r="W463" s="14"/>
      <c r="X463" s="14"/>
      <c r="Y463" s="13"/>
      <c r="Z463" s="12"/>
      <c r="AA463" s="12"/>
      <c r="AB463" s="12"/>
      <c r="AC463" s="12"/>
      <c r="AD463" s="15"/>
      <c r="AE463" s="12"/>
      <c r="AF463" s="13"/>
      <c r="AG463" s="12"/>
      <c r="AH463" s="12"/>
      <c r="AI463" s="15"/>
      <c r="AJ463" s="12"/>
      <c r="AK463" s="12"/>
      <c r="AL463" s="12"/>
      <c r="AM463" s="12"/>
      <c r="AN463" s="12"/>
      <c r="AO463" s="12"/>
      <c r="AP463" s="12"/>
      <c r="AQ463" s="15"/>
      <c r="AR463" s="12"/>
      <c r="AS463" s="12"/>
      <c r="AT463" s="12"/>
      <c r="AU463" s="12"/>
      <c r="AV463" s="12"/>
      <c r="AW463" s="12"/>
      <c r="AX463" s="13"/>
      <c r="AY463" s="12"/>
      <c r="AZ463" s="12" t="str">
        <f>IF(AND(A463="",B463="",E463="",G463="",I463="",AV463="",AX463=""),"",IF(OR(B463="skip",AV463="skip"),"SKIP",IF(OR(B463="to_candidate",AV463="proposed_name"),IF(OR(A463="",AW463="",AX463="",COUNTIF($A$6:$A$505,A463)&gt;1),"REVIEW","TO_PROPOSED"),IF(OR(B463="",A463="",E463="",G463="",I463="",U463="",AV463="",COUNTIF($A$6:$A$505,A463)&gt;1,(COUNTIFS('أرقام التواصل'!$A$6:$A$505,"client",'أرقام التواصل'!$B$6:$B$505,A463,'أرقام التواصل'!$I$6:$I$505,"TRUE")+COUNTIFS('أرقام التواصل'!$A$6:$A$505,"client",'أرقام التواصل'!$B$6:$B$505,A463,'أرقام التواصل'!$C$6:$C$505,1))=0),"REVIEW","READY"))))</f>
        <v/>
      </c>
      <c r="BA463" s="16" t="str">
        <f>IF(AZ463="","",IF(OR(AZ463="READY",AZ463="TO_PROPOSED"),"",IF(AZ463="SKIP","Skipped by decision",TRIM(IF(B463="","missing import_action; ","")&amp;IF(A463="","missing migration_customer_key; ","")&amp;IF(AND(A463&lt;&gt;"",COUNTIF($A$6:$A$505,A463)&gt;1),"duplicate migration_customer_key; ","")&amp;IF(AND(NOT(OR(B463="to_candidate",AV463="proposed_name")),E463=""),"missing branch_id; ","")&amp;IF(AND(NOT(OR(B463="to_candidate",AV463="proposed_name")),G463=""),"missing first_name; ","")&amp;IF(AND(NOT(OR(B463="to_candidate",AV463="proposed_name")),I463=""),"missing last_name; ","")&amp;IF(AND(NOT(OR(B463="to_candidate",AV463="proposed_name")),U463=""),"missing final_geo_unit_id; ","")&amp;IF(AV463="","missing final_destination; ","")&amp;IF(AND(NOT(OR(B463="to_candidate",AV463="proposed_name")),(COUNTIFS('أرقام التواصل'!$A$6:$A$505,"client",'أرقام التواصل'!$B$6:$B$505,A463,'أرقام التواصل'!$I$6:$I$505,"TRUE")+COUNTIFS('أرقام التواصل'!$A$6:$A$505,"client",'أرقام التواصل'!$B$6:$B$505,A463,'أرقام التواصل'!$C$6:$C$505,1))=0),"missing primary contact in أرقام التواصل; ","")&amp;IF(OR(B463="to_candidate",AV463="proposed_name"),IF(AW463="","missing proposed_move_reason; ","")&amp;IF(AX463="","missing proposed_name_key; ",""),"")))))</f>
        <v/>
      </c>
    </row>
    <row r="464" spans="1:53">
      <c r="A464" s="11"/>
      <c r="B464" s="12"/>
      <c r="C464" s="13"/>
      <c r="D464" s="12"/>
      <c r="E464" s="12"/>
      <c r="F464" s="12"/>
      <c r="G464" s="12"/>
      <c r="H464" s="12"/>
      <c r="I464" s="12"/>
      <c r="J464" s="12"/>
      <c r="K464" s="12" t="str">
        <f t="shared" si="13"/>
        <v/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 t="str">
        <f t="shared" si="14"/>
        <v/>
      </c>
      <c r="V464" s="12"/>
      <c r="W464" s="14"/>
      <c r="X464" s="14"/>
      <c r="Y464" s="13"/>
      <c r="Z464" s="12"/>
      <c r="AA464" s="12"/>
      <c r="AB464" s="12"/>
      <c r="AC464" s="12"/>
      <c r="AD464" s="15"/>
      <c r="AE464" s="12"/>
      <c r="AF464" s="13"/>
      <c r="AG464" s="12"/>
      <c r="AH464" s="12"/>
      <c r="AI464" s="15"/>
      <c r="AJ464" s="12"/>
      <c r="AK464" s="12"/>
      <c r="AL464" s="12"/>
      <c r="AM464" s="12"/>
      <c r="AN464" s="12"/>
      <c r="AO464" s="12"/>
      <c r="AP464" s="12"/>
      <c r="AQ464" s="15"/>
      <c r="AR464" s="12"/>
      <c r="AS464" s="12"/>
      <c r="AT464" s="12"/>
      <c r="AU464" s="12"/>
      <c r="AV464" s="12"/>
      <c r="AW464" s="12"/>
      <c r="AX464" s="13"/>
      <c r="AY464" s="12"/>
      <c r="AZ464" s="12" t="str">
        <f>IF(AND(A464="",B464="",E464="",G464="",I464="",AV464="",AX464=""),"",IF(OR(B464="skip",AV464="skip"),"SKIP",IF(OR(B464="to_candidate",AV464="proposed_name"),IF(OR(A464="",AW464="",AX464="",COUNTIF($A$6:$A$505,A464)&gt;1),"REVIEW","TO_PROPOSED"),IF(OR(B464="",A464="",E464="",G464="",I464="",U464="",AV464="",COUNTIF($A$6:$A$505,A464)&gt;1,(COUNTIFS('أرقام التواصل'!$A$6:$A$505,"client",'أرقام التواصل'!$B$6:$B$505,A464,'أرقام التواصل'!$I$6:$I$505,"TRUE")+COUNTIFS('أرقام التواصل'!$A$6:$A$505,"client",'أرقام التواصل'!$B$6:$B$505,A464,'أرقام التواصل'!$C$6:$C$505,1))=0),"REVIEW","READY"))))</f>
        <v/>
      </c>
      <c r="BA464" s="16" t="str">
        <f>IF(AZ464="","",IF(OR(AZ464="READY",AZ464="TO_PROPOSED"),"",IF(AZ464="SKIP","Skipped by decision",TRIM(IF(B464="","missing import_action; ","")&amp;IF(A464="","missing migration_customer_key; ","")&amp;IF(AND(A464&lt;&gt;"",COUNTIF($A$6:$A$505,A464)&gt;1),"duplicate migration_customer_key; ","")&amp;IF(AND(NOT(OR(B464="to_candidate",AV464="proposed_name")),E464=""),"missing branch_id; ","")&amp;IF(AND(NOT(OR(B464="to_candidate",AV464="proposed_name")),G464=""),"missing first_name; ","")&amp;IF(AND(NOT(OR(B464="to_candidate",AV464="proposed_name")),I464=""),"missing last_name; ","")&amp;IF(AND(NOT(OR(B464="to_candidate",AV464="proposed_name")),U464=""),"missing final_geo_unit_id; ","")&amp;IF(AV464="","missing final_destination; ","")&amp;IF(AND(NOT(OR(B464="to_candidate",AV464="proposed_name")),(COUNTIFS('أرقام التواصل'!$A$6:$A$505,"client",'أرقام التواصل'!$B$6:$B$505,A464,'أرقام التواصل'!$I$6:$I$505,"TRUE")+COUNTIFS('أرقام التواصل'!$A$6:$A$505,"client",'أرقام التواصل'!$B$6:$B$505,A464,'أرقام التواصل'!$C$6:$C$505,1))=0),"missing primary contact in أرقام التواصل; ","")&amp;IF(OR(B464="to_candidate",AV464="proposed_name"),IF(AW464="","missing proposed_move_reason; ","")&amp;IF(AX464="","missing proposed_name_key; ",""),"")))))</f>
        <v/>
      </c>
    </row>
    <row r="465" spans="1:53">
      <c r="A465" s="11"/>
      <c r="B465" s="12"/>
      <c r="C465" s="13"/>
      <c r="D465" s="12"/>
      <c r="E465" s="12"/>
      <c r="F465" s="12"/>
      <c r="G465" s="12"/>
      <c r="H465" s="12"/>
      <c r="I465" s="12"/>
      <c r="J465" s="12"/>
      <c r="K465" s="12" t="str">
        <f t="shared" si="13"/>
        <v/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 t="str">
        <f t="shared" si="14"/>
        <v/>
      </c>
      <c r="V465" s="12"/>
      <c r="W465" s="14"/>
      <c r="X465" s="14"/>
      <c r="Y465" s="13"/>
      <c r="Z465" s="12"/>
      <c r="AA465" s="12"/>
      <c r="AB465" s="12"/>
      <c r="AC465" s="12"/>
      <c r="AD465" s="15"/>
      <c r="AE465" s="12"/>
      <c r="AF465" s="13"/>
      <c r="AG465" s="12"/>
      <c r="AH465" s="12"/>
      <c r="AI465" s="15"/>
      <c r="AJ465" s="12"/>
      <c r="AK465" s="12"/>
      <c r="AL465" s="12"/>
      <c r="AM465" s="12"/>
      <c r="AN465" s="12"/>
      <c r="AO465" s="12"/>
      <c r="AP465" s="12"/>
      <c r="AQ465" s="15"/>
      <c r="AR465" s="12"/>
      <c r="AS465" s="12"/>
      <c r="AT465" s="12"/>
      <c r="AU465" s="12"/>
      <c r="AV465" s="12"/>
      <c r="AW465" s="12"/>
      <c r="AX465" s="13"/>
      <c r="AY465" s="12"/>
      <c r="AZ465" s="12" t="str">
        <f>IF(AND(A465="",B465="",E465="",G465="",I465="",AV465="",AX465=""),"",IF(OR(B465="skip",AV465="skip"),"SKIP",IF(OR(B465="to_candidate",AV465="proposed_name"),IF(OR(A465="",AW465="",AX465="",COUNTIF($A$6:$A$505,A465)&gt;1),"REVIEW","TO_PROPOSED"),IF(OR(B465="",A465="",E465="",G465="",I465="",U465="",AV465="",COUNTIF($A$6:$A$505,A465)&gt;1,(COUNTIFS('أرقام التواصل'!$A$6:$A$505,"client",'أرقام التواصل'!$B$6:$B$505,A465,'أرقام التواصل'!$I$6:$I$505,"TRUE")+COUNTIFS('أرقام التواصل'!$A$6:$A$505,"client",'أرقام التواصل'!$B$6:$B$505,A465,'أرقام التواصل'!$C$6:$C$505,1))=0),"REVIEW","READY"))))</f>
        <v/>
      </c>
      <c r="BA465" s="16" t="str">
        <f>IF(AZ465="","",IF(OR(AZ465="READY",AZ465="TO_PROPOSED"),"",IF(AZ465="SKIP","Skipped by decision",TRIM(IF(B465="","missing import_action; ","")&amp;IF(A465="","missing migration_customer_key; ","")&amp;IF(AND(A465&lt;&gt;"",COUNTIF($A$6:$A$505,A465)&gt;1),"duplicate migration_customer_key; ","")&amp;IF(AND(NOT(OR(B465="to_candidate",AV465="proposed_name")),E465=""),"missing branch_id; ","")&amp;IF(AND(NOT(OR(B465="to_candidate",AV465="proposed_name")),G465=""),"missing first_name; ","")&amp;IF(AND(NOT(OR(B465="to_candidate",AV465="proposed_name")),I465=""),"missing last_name; ","")&amp;IF(AND(NOT(OR(B465="to_candidate",AV465="proposed_name")),U465=""),"missing final_geo_unit_id; ","")&amp;IF(AV465="","missing final_destination; ","")&amp;IF(AND(NOT(OR(B465="to_candidate",AV465="proposed_name")),(COUNTIFS('أرقام التواصل'!$A$6:$A$505,"client",'أرقام التواصل'!$B$6:$B$505,A465,'أرقام التواصل'!$I$6:$I$505,"TRUE")+COUNTIFS('أرقام التواصل'!$A$6:$A$505,"client",'أرقام التواصل'!$B$6:$B$505,A465,'أرقام التواصل'!$C$6:$C$505,1))=0),"missing primary contact in أرقام التواصل; ","")&amp;IF(OR(B465="to_candidate",AV465="proposed_name"),IF(AW465="","missing proposed_move_reason; ","")&amp;IF(AX465="","missing proposed_name_key; ",""),"")))))</f>
        <v/>
      </c>
    </row>
    <row r="466" spans="1:53">
      <c r="A466" s="11"/>
      <c r="B466" s="12"/>
      <c r="C466" s="13"/>
      <c r="D466" s="12"/>
      <c r="E466" s="12"/>
      <c r="F466" s="12"/>
      <c r="G466" s="12"/>
      <c r="H466" s="12"/>
      <c r="I466" s="12"/>
      <c r="J466" s="12"/>
      <c r="K466" s="12" t="str">
        <f t="shared" si="13"/>
        <v/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 t="str">
        <f t="shared" si="14"/>
        <v/>
      </c>
      <c r="V466" s="12"/>
      <c r="W466" s="14"/>
      <c r="X466" s="14"/>
      <c r="Y466" s="13"/>
      <c r="Z466" s="12"/>
      <c r="AA466" s="12"/>
      <c r="AB466" s="12"/>
      <c r="AC466" s="12"/>
      <c r="AD466" s="15"/>
      <c r="AE466" s="12"/>
      <c r="AF466" s="13"/>
      <c r="AG466" s="12"/>
      <c r="AH466" s="12"/>
      <c r="AI466" s="15"/>
      <c r="AJ466" s="12"/>
      <c r="AK466" s="12"/>
      <c r="AL466" s="12"/>
      <c r="AM466" s="12"/>
      <c r="AN466" s="12"/>
      <c r="AO466" s="12"/>
      <c r="AP466" s="12"/>
      <c r="AQ466" s="15"/>
      <c r="AR466" s="12"/>
      <c r="AS466" s="12"/>
      <c r="AT466" s="12"/>
      <c r="AU466" s="12"/>
      <c r="AV466" s="12"/>
      <c r="AW466" s="12"/>
      <c r="AX466" s="13"/>
      <c r="AY466" s="12"/>
      <c r="AZ466" s="12" t="str">
        <f>IF(AND(A466="",B466="",E466="",G466="",I466="",AV466="",AX466=""),"",IF(OR(B466="skip",AV466="skip"),"SKIP",IF(OR(B466="to_candidate",AV466="proposed_name"),IF(OR(A466="",AW466="",AX466="",COUNTIF($A$6:$A$505,A466)&gt;1),"REVIEW","TO_PROPOSED"),IF(OR(B466="",A466="",E466="",G466="",I466="",U466="",AV466="",COUNTIF($A$6:$A$505,A466)&gt;1,(COUNTIFS('أرقام التواصل'!$A$6:$A$505,"client",'أرقام التواصل'!$B$6:$B$505,A466,'أرقام التواصل'!$I$6:$I$505,"TRUE")+COUNTIFS('أرقام التواصل'!$A$6:$A$505,"client",'أرقام التواصل'!$B$6:$B$505,A466,'أرقام التواصل'!$C$6:$C$505,1))=0),"REVIEW","READY"))))</f>
        <v/>
      </c>
      <c r="BA466" s="16" t="str">
        <f>IF(AZ466="","",IF(OR(AZ466="READY",AZ466="TO_PROPOSED"),"",IF(AZ466="SKIP","Skipped by decision",TRIM(IF(B466="","missing import_action; ","")&amp;IF(A466="","missing migration_customer_key; ","")&amp;IF(AND(A466&lt;&gt;"",COUNTIF($A$6:$A$505,A466)&gt;1),"duplicate migration_customer_key; ","")&amp;IF(AND(NOT(OR(B466="to_candidate",AV466="proposed_name")),E466=""),"missing branch_id; ","")&amp;IF(AND(NOT(OR(B466="to_candidate",AV466="proposed_name")),G466=""),"missing first_name; ","")&amp;IF(AND(NOT(OR(B466="to_candidate",AV466="proposed_name")),I466=""),"missing last_name; ","")&amp;IF(AND(NOT(OR(B466="to_candidate",AV466="proposed_name")),U466=""),"missing final_geo_unit_id; ","")&amp;IF(AV466="","missing final_destination; ","")&amp;IF(AND(NOT(OR(B466="to_candidate",AV466="proposed_name")),(COUNTIFS('أرقام التواصل'!$A$6:$A$505,"client",'أرقام التواصل'!$B$6:$B$505,A466,'أرقام التواصل'!$I$6:$I$505,"TRUE")+COUNTIFS('أرقام التواصل'!$A$6:$A$505,"client",'أرقام التواصل'!$B$6:$B$505,A466,'أرقام التواصل'!$C$6:$C$505,1))=0),"missing primary contact in أرقام التواصل; ","")&amp;IF(OR(B466="to_candidate",AV466="proposed_name"),IF(AW466="","missing proposed_move_reason; ","")&amp;IF(AX466="","missing proposed_name_key; ",""),"")))))</f>
        <v/>
      </c>
    </row>
    <row r="467" spans="1:53">
      <c r="A467" s="11"/>
      <c r="B467" s="12"/>
      <c r="C467" s="13"/>
      <c r="D467" s="12"/>
      <c r="E467" s="12"/>
      <c r="F467" s="12"/>
      <c r="G467" s="12"/>
      <c r="H467" s="12"/>
      <c r="I467" s="12"/>
      <c r="J467" s="12"/>
      <c r="K467" s="12" t="str">
        <f t="shared" si="13"/>
        <v/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 t="str">
        <f t="shared" si="14"/>
        <v/>
      </c>
      <c r="V467" s="12"/>
      <c r="W467" s="14"/>
      <c r="X467" s="14"/>
      <c r="Y467" s="13"/>
      <c r="Z467" s="12"/>
      <c r="AA467" s="12"/>
      <c r="AB467" s="12"/>
      <c r="AC467" s="12"/>
      <c r="AD467" s="15"/>
      <c r="AE467" s="12"/>
      <c r="AF467" s="13"/>
      <c r="AG467" s="12"/>
      <c r="AH467" s="12"/>
      <c r="AI467" s="15"/>
      <c r="AJ467" s="12"/>
      <c r="AK467" s="12"/>
      <c r="AL467" s="12"/>
      <c r="AM467" s="12"/>
      <c r="AN467" s="12"/>
      <c r="AO467" s="12"/>
      <c r="AP467" s="12"/>
      <c r="AQ467" s="15"/>
      <c r="AR467" s="12"/>
      <c r="AS467" s="12"/>
      <c r="AT467" s="12"/>
      <c r="AU467" s="12"/>
      <c r="AV467" s="12"/>
      <c r="AW467" s="12"/>
      <c r="AX467" s="13"/>
      <c r="AY467" s="12"/>
      <c r="AZ467" s="12" t="str">
        <f>IF(AND(A467="",B467="",E467="",G467="",I467="",AV467="",AX467=""),"",IF(OR(B467="skip",AV467="skip"),"SKIP",IF(OR(B467="to_candidate",AV467="proposed_name"),IF(OR(A467="",AW467="",AX467="",COUNTIF($A$6:$A$505,A467)&gt;1),"REVIEW","TO_PROPOSED"),IF(OR(B467="",A467="",E467="",G467="",I467="",U467="",AV467="",COUNTIF($A$6:$A$505,A467)&gt;1,(COUNTIFS('أرقام التواصل'!$A$6:$A$505,"client",'أرقام التواصل'!$B$6:$B$505,A467,'أرقام التواصل'!$I$6:$I$505,"TRUE")+COUNTIFS('أرقام التواصل'!$A$6:$A$505,"client",'أرقام التواصل'!$B$6:$B$505,A467,'أرقام التواصل'!$C$6:$C$505,1))=0),"REVIEW","READY"))))</f>
        <v/>
      </c>
      <c r="BA467" s="16" t="str">
        <f>IF(AZ467="","",IF(OR(AZ467="READY",AZ467="TO_PROPOSED"),"",IF(AZ467="SKIP","Skipped by decision",TRIM(IF(B467="","missing import_action; ","")&amp;IF(A467="","missing migration_customer_key; ","")&amp;IF(AND(A467&lt;&gt;"",COUNTIF($A$6:$A$505,A467)&gt;1),"duplicate migration_customer_key; ","")&amp;IF(AND(NOT(OR(B467="to_candidate",AV467="proposed_name")),E467=""),"missing branch_id; ","")&amp;IF(AND(NOT(OR(B467="to_candidate",AV467="proposed_name")),G467=""),"missing first_name; ","")&amp;IF(AND(NOT(OR(B467="to_candidate",AV467="proposed_name")),I467=""),"missing last_name; ","")&amp;IF(AND(NOT(OR(B467="to_candidate",AV467="proposed_name")),U467=""),"missing final_geo_unit_id; ","")&amp;IF(AV467="","missing final_destination; ","")&amp;IF(AND(NOT(OR(B467="to_candidate",AV467="proposed_name")),(COUNTIFS('أرقام التواصل'!$A$6:$A$505,"client",'أرقام التواصل'!$B$6:$B$505,A467,'أرقام التواصل'!$I$6:$I$505,"TRUE")+COUNTIFS('أرقام التواصل'!$A$6:$A$505,"client",'أرقام التواصل'!$B$6:$B$505,A467,'أرقام التواصل'!$C$6:$C$505,1))=0),"missing primary contact in أرقام التواصل; ","")&amp;IF(OR(B467="to_candidate",AV467="proposed_name"),IF(AW467="","missing proposed_move_reason; ","")&amp;IF(AX467="","missing proposed_name_key; ",""),"")))))</f>
        <v/>
      </c>
    </row>
    <row r="468" spans="1:53">
      <c r="A468" s="11"/>
      <c r="B468" s="12"/>
      <c r="C468" s="13"/>
      <c r="D468" s="12"/>
      <c r="E468" s="12"/>
      <c r="F468" s="12"/>
      <c r="G468" s="12"/>
      <c r="H468" s="12"/>
      <c r="I468" s="12"/>
      <c r="J468" s="12"/>
      <c r="K468" s="12" t="str">
        <f t="shared" si="13"/>
        <v/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 t="str">
        <f t="shared" si="14"/>
        <v/>
      </c>
      <c r="V468" s="12"/>
      <c r="W468" s="14"/>
      <c r="X468" s="14"/>
      <c r="Y468" s="13"/>
      <c r="Z468" s="12"/>
      <c r="AA468" s="12"/>
      <c r="AB468" s="12"/>
      <c r="AC468" s="12"/>
      <c r="AD468" s="15"/>
      <c r="AE468" s="12"/>
      <c r="AF468" s="13"/>
      <c r="AG468" s="12"/>
      <c r="AH468" s="12"/>
      <c r="AI468" s="15"/>
      <c r="AJ468" s="12"/>
      <c r="AK468" s="12"/>
      <c r="AL468" s="12"/>
      <c r="AM468" s="12"/>
      <c r="AN468" s="12"/>
      <c r="AO468" s="12"/>
      <c r="AP468" s="12"/>
      <c r="AQ468" s="15"/>
      <c r="AR468" s="12"/>
      <c r="AS468" s="12"/>
      <c r="AT468" s="12"/>
      <c r="AU468" s="12"/>
      <c r="AV468" s="12"/>
      <c r="AW468" s="12"/>
      <c r="AX468" s="13"/>
      <c r="AY468" s="12"/>
      <c r="AZ468" s="12" t="str">
        <f>IF(AND(A468="",B468="",E468="",G468="",I468="",AV468="",AX468=""),"",IF(OR(B468="skip",AV468="skip"),"SKIP",IF(OR(B468="to_candidate",AV468="proposed_name"),IF(OR(A468="",AW468="",AX468="",COUNTIF($A$6:$A$505,A468)&gt;1),"REVIEW","TO_PROPOSED"),IF(OR(B468="",A468="",E468="",G468="",I468="",U468="",AV468="",COUNTIF($A$6:$A$505,A468)&gt;1,(COUNTIFS('أرقام التواصل'!$A$6:$A$505,"client",'أرقام التواصل'!$B$6:$B$505,A468,'أرقام التواصل'!$I$6:$I$505,"TRUE")+COUNTIFS('أرقام التواصل'!$A$6:$A$505,"client",'أرقام التواصل'!$B$6:$B$505,A468,'أرقام التواصل'!$C$6:$C$505,1))=0),"REVIEW","READY"))))</f>
        <v/>
      </c>
      <c r="BA468" s="16" t="str">
        <f>IF(AZ468="","",IF(OR(AZ468="READY",AZ468="TO_PROPOSED"),"",IF(AZ468="SKIP","Skipped by decision",TRIM(IF(B468="","missing import_action; ","")&amp;IF(A468="","missing migration_customer_key; ","")&amp;IF(AND(A468&lt;&gt;"",COUNTIF($A$6:$A$505,A468)&gt;1),"duplicate migration_customer_key; ","")&amp;IF(AND(NOT(OR(B468="to_candidate",AV468="proposed_name")),E468=""),"missing branch_id; ","")&amp;IF(AND(NOT(OR(B468="to_candidate",AV468="proposed_name")),G468=""),"missing first_name; ","")&amp;IF(AND(NOT(OR(B468="to_candidate",AV468="proposed_name")),I468=""),"missing last_name; ","")&amp;IF(AND(NOT(OR(B468="to_candidate",AV468="proposed_name")),U468=""),"missing final_geo_unit_id; ","")&amp;IF(AV468="","missing final_destination; ","")&amp;IF(AND(NOT(OR(B468="to_candidate",AV468="proposed_name")),(COUNTIFS('أرقام التواصل'!$A$6:$A$505,"client",'أرقام التواصل'!$B$6:$B$505,A468,'أرقام التواصل'!$I$6:$I$505,"TRUE")+COUNTIFS('أرقام التواصل'!$A$6:$A$505,"client",'أرقام التواصل'!$B$6:$B$505,A468,'أرقام التواصل'!$C$6:$C$505,1))=0),"missing primary contact in أرقام التواصل; ","")&amp;IF(OR(B468="to_candidate",AV468="proposed_name"),IF(AW468="","missing proposed_move_reason; ","")&amp;IF(AX468="","missing proposed_name_key; ",""),"")))))</f>
        <v/>
      </c>
    </row>
    <row r="469" spans="1:53">
      <c r="A469" s="11"/>
      <c r="B469" s="12"/>
      <c r="C469" s="13"/>
      <c r="D469" s="12"/>
      <c r="E469" s="12"/>
      <c r="F469" s="12"/>
      <c r="G469" s="12"/>
      <c r="H469" s="12"/>
      <c r="I469" s="12"/>
      <c r="J469" s="12"/>
      <c r="K469" s="12" t="str">
        <f t="shared" si="13"/>
        <v/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 t="str">
        <f t="shared" si="14"/>
        <v/>
      </c>
      <c r="V469" s="12"/>
      <c r="W469" s="14"/>
      <c r="X469" s="14"/>
      <c r="Y469" s="13"/>
      <c r="Z469" s="12"/>
      <c r="AA469" s="12"/>
      <c r="AB469" s="12"/>
      <c r="AC469" s="12"/>
      <c r="AD469" s="15"/>
      <c r="AE469" s="12"/>
      <c r="AF469" s="13"/>
      <c r="AG469" s="12"/>
      <c r="AH469" s="12"/>
      <c r="AI469" s="15"/>
      <c r="AJ469" s="12"/>
      <c r="AK469" s="12"/>
      <c r="AL469" s="12"/>
      <c r="AM469" s="12"/>
      <c r="AN469" s="12"/>
      <c r="AO469" s="12"/>
      <c r="AP469" s="12"/>
      <c r="AQ469" s="15"/>
      <c r="AR469" s="12"/>
      <c r="AS469" s="12"/>
      <c r="AT469" s="12"/>
      <c r="AU469" s="12"/>
      <c r="AV469" s="12"/>
      <c r="AW469" s="12"/>
      <c r="AX469" s="13"/>
      <c r="AY469" s="12"/>
      <c r="AZ469" s="12" t="str">
        <f>IF(AND(A469="",B469="",E469="",G469="",I469="",AV469="",AX469=""),"",IF(OR(B469="skip",AV469="skip"),"SKIP",IF(OR(B469="to_candidate",AV469="proposed_name"),IF(OR(A469="",AW469="",AX469="",COUNTIF($A$6:$A$505,A469)&gt;1),"REVIEW","TO_PROPOSED"),IF(OR(B469="",A469="",E469="",G469="",I469="",U469="",AV469="",COUNTIF($A$6:$A$505,A469)&gt;1,(COUNTIFS('أرقام التواصل'!$A$6:$A$505,"client",'أرقام التواصل'!$B$6:$B$505,A469,'أرقام التواصل'!$I$6:$I$505,"TRUE")+COUNTIFS('أرقام التواصل'!$A$6:$A$505,"client",'أرقام التواصل'!$B$6:$B$505,A469,'أرقام التواصل'!$C$6:$C$505,1))=0),"REVIEW","READY"))))</f>
        <v/>
      </c>
      <c r="BA469" s="16" t="str">
        <f>IF(AZ469="","",IF(OR(AZ469="READY",AZ469="TO_PROPOSED"),"",IF(AZ469="SKIP","Skipped by decision",TRIM(IF(B469="","missing import_action; ","")&amp;IF(A469="","missing migration_customer_key; ","")&amp;IF(AND(A469&lt;&gt;"",COUNTIF($A$6:$A$505,A469)&gt;1),"duplicate migration_customer_key; ","")&amp;IF(AND(NOT(OR(B469="to_candidate",AV469="proposed_name")),E469=""),"missing branch_id; ","")&amp;IF(AND(NOT(OR(B469="to_candidate",AV469="proposed_name")),G469=""),"missing first_name; ","")&amp;IF(AND(NOT(OR(B469="to_candidate",AV469="proposed_name")),I469=""),"missing last_name; ","")&amp;IF(AND(NOT(OR(B469="to_candidate",AV469="proposed_name")),U469=""),"missing final_geo_unit_id; ","")&amp;IF(AV469="","missing final_destination; ","")&amp;IF(AND(NOT(OR(B469="to_candidate",AV469="proposed_name")),(COUNTIFS('أرقام التواصل'!$A$6:$A$505,"client",'أرقام التواصل'!$B$6:$B$505,A469,'أرقام التواصل'!$I$6:$I$505,"TRUE")+COUNTIFS('أرقام التواصل'!$A$6:$A$505,"client",'أرقام التواصل'!$B$6:$B$505,A469,'أرقام التواصل'!$C$6:$C$505,1))=0),"missing primary contact in أرقام التواصل; ","")&amp;IF(OR(B469="to_candidate",AV469="proposed_name"),IF(AW469="","missing proposed_move_reason; ","")&amp;IF(AX469="","missing proposed_name_key; ",""),"")))))</f>
        <v/>
      </c>
    </row>
    <row r="470" spans="1:53">
      <c r="A470" s="11"/>
      <c r="B470" s="12"/>
      <c r="C470" s="13"/>
      <c r="D470" s="12"/>
      <c r="E470" s="12"/>
      <c r="F470" s="12"/>
      <c r="G470" s="12"/>
      <c r="H470" s="12"/>
      <c r="I470" s="12"/>
      <c r="J470" s="12"/>
      <c r="K470" s="12" t="str">
        <f t="shared" si="13"/>
        <v/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 t="str">
        <f t="shared" si="14"/>
        <v/>
      </c>
      <c r="V470" s="12"/>
      <c r="W470" s="14"/>
      <c r="X470" s="14"/>
      <c r="Y470" s="13"/>
      <c r="Z470" s="12"/>
      <c r="AA470" s="12"/>
      <c r="AB470" s="12"/>
      <c r="AC470" s="12"/>
      <c r="AD470" s="15"/>
      <c r="AE470" s="12"/>
      <c r="AF470" s="13"/>
      <c r="AG470" s="12"/>
      <c r="AH470" s="12"/>
      <c r="AI470" s="15"/>
      <c r="AJ470" s="12"/>
      <c r="AK470" s="12"/>
      <c r="AL470" s="12"/>
      <c r="AM470" s="12"/>
      <c r="AN470" s="12"/>
      <c r="AO470" s="12"/>
      <c r="AP470" s="12"/>
      <c r="AQ470" s="15"/>
      <c r="AR470" s="12"/>
      <c r="AS470" s="12"/>
      <c r="AT470" s="12"/>
      <c r="AU470" s="12"/>
      <c r="AV470" s="12"/>
      <c r="AW470" s="12"/>
      <c r="AX470" s="13"/>
      <c r="AY470" s="12"/>
      <c r="AZ470" s="12" t="str">
        <f>IF(AND(A470="",B470="",E470="",G470="",I470="",AV470="",AX470=""),"",IF(OR(B470="skip",AV470="skip"),"SKIP",IF(OR(B470="to_candidate",AV470="proposed_name"),IF(OR(A470="",AW470="",AX470="",COUNTIF($A$6:$A$505,A470)&gt;1),"REVIEW","TO_PROPOSED"),IF(OR(B470="",A470="",E470="",G470="",I470="",U470="",AV470="",COUNTIF($A$6:$A$505,A470)&gt;1,(COUNTIFS('أرقام التواصل'!$A$6:$A$505,"client",'أرقام التواصل'!$B$6:$B$505,A470,'أرقام التواصل'!$I$6:$I$505,"TRUE")+COUNTIFS('أرقام التواصل'!$A$6:$A$505,"client",'أرقام التواصل'!$B$6:$B$505,A470,'أرقام التواصل'!$C$6:$C$505,1))=0),"REVIEW","READY"))))</f>
        <v/>
      </c>
      <c r="BA470" s="16" t="str">
        <f>IF(AZ470="","",IF(OR(AZ470="READY",AZ470="TO_PROPOSED"),"",IF(AZ470="SKIP","Skipped by decision",TRIM(IF(B470="","missing import_action; ","")&amp;IF(A470="","missing migration_customer_key; ","")&amp;IF(AND(A470&lt;&gt;"",COUNTIF($A$6:$A$505,A470)&gt;1),"duplicate migration_customer_key; ","")&amp;IF(AND(NOT(OR(B470="to_candidate",AV470="proposed_name")),E470=""),"missing branch_id; ","")&amp;IF(AND(NOT(OR(B470="to_candidate",AV470="proposed_name")),G470=""),"missing first_name; ","")&amp;IF(AND(NOT(OR(B470="to_candidate",AV470="proposed_name")),I470=""),"missing last_name; ","")&amp;IF(AND(NOT(OR(B470="to_candidate",AV470="proposed_name")),U470=""),"missing final_geo_unit_id; ","")&amp;IF(AV470="","missing final_destination; ","")&amp;IF(AND(NOT(OR(B470="to_candidate",AV470="proposed_name")),(COUNTIFS('أرقام التواصل'!$A$6:$A$505,"client",'أرقام التواصل'!$B$6:$B$505,A470,'أرقام التواصل'!$I$6:$I$505,"TRUE")+COUNTIFS('أرقام التواصل'!$A$6:$A$505,"client",'أرقام التواصل'!$B$6:$B$505,A470,'أرقام التواصل'!$C$6:$C$505,1))=0),"missing primary contact in أرقام التواصل; ","")&amp;IF(OR(B470="to_candidate",AV470="proposed_name"),IF(AW470="","missing proposed_move_reason; ","")&amp;IF(AX470="","missing proposed_name_key; ",""),"")))))</f>
        <v/>
      </c>
    </row>
    <row r="471" spans="1:53">
      <c r="A471" s="11"/>
      <c r="B471" s="12"/>
      <c r="C471" s="13"/>
      <c r="D471" s="12"/>
      <c r="E471" s="12"/>
      <c r="F471" s="12"/>
      <c r="G471" s="12"/>
      <c r="H471" s="12"/>
      <c r="I471" s="12"/>
      <c r="J471" s="12"/>
      <c r="K471" s="12" t="str">
        <f t="shared" si="13"/>
        <v/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 t="str">
        <f t="shared" si="14"/>
        <v/>
      </c>
      <c r="V471" s="12"/>
      <c r="W471" s="14"/>
      <c r="X471" s="14"/>
      <c r="Y471" s="13"/>
      <c r="Z471" s="12"/>
      <c r="AA471" s="12"/>
      <c r="AB471" s="12"/>
      <c r="AC471" s="12"/>
      <c r="AD471" s="15"/>
      <c r="AE471" s="12"/>
      <c r="AF471" s="13"/>
      <c r="AG471" s="12"/>
      <c r="AH471" s="12"/>
      <c r="AI471" s="15"/>
      <c r="AJ471" s="12"/>
      <c r="AK471" s="12"/>
      <c r="AL471" s="12"/>
      <c r="AM471" s="12"/>
      <c r="AN471" s="12"/>
      <c r="AO471" s="12"/>
      <c r="AP471" s="12"/>
      <c r="AQ471" s="15"/>
      <c r="AR471" s="12"/>
      <c r="AS471" s="12"/>
      <c r="AT471" s="12"/>
      <c r="AU471" s="12"/>
      <c r="AV471" s="12"/>
      <c r="AW471" s="12"/>
      <c r="AX471" s="13"/>
      <c r="AY471" s="12"/>
      <c r="AZ471" s="12" t="str">
        <f>IF(AND(A471="",B471="",E471="",G471="",I471="",AV471="",AX471=""),"",IF(OR(B471="skip",AV471="skip"),"SKIP",IF(OR(B471="to_candidate",AV471="proposed_name"),IF(OR(A471="",AW471="",AX471="",COUNTIF($A$6:$A$505,A471)&gt;1),"REVIEW","TO_PROPOSED"),IF(OR(B471="",A471="",E471="",G471="",I471="",U471="",AV471="",COUNTIF($A$6:$A$505,A471)&gt;1,(COUNTIFS('أرقام التواصل'!$A$6:$A$505,"client",'أرقام التواصل'!$B$6:$B$505,A471,'أرقام التواصل'!$I$6:$I$505,"TRUE")+COUNTIFS('أرقام التواصل'!$A$6:$A$505,"client",'أرقام التواصل'!$B$6:$B$505,A471,'أرقام التواصل'!$C$6:$C$505,1))=0),"REVIEW","READY"))))</f>
        <v/>
      </c>
      <c r="BA471" s="16" t="str">
        <f>IF(AZ471="","",IF(OR(AZ471="READY",AZ471="TO_PROPOSED"),"",IF(AZ471="SKIP","Skipped by decision",TRIM(IF(B471="","missing import_action; ","")&amp;IF(A471="","missing migration_customer_key; ","")&amp;IF(AND(A471&lt;&gt;"",COUNTIF($A$6:$A$505,A471)&gt;1),"duplicate migration_customer_key; ","")&amp;IF(AND(NOT(OR(B471="to_candidate",AV471="proposed_name")),E471=""),"missing branch_id; ","")&amp;IF(AND(NOT(OR(B471="to_candidate",AV471="proposed_name")),G471=""),"missing first_name; ","")&amp;IF(AND(NOT(OR(B471="to_candidate",AV471="proposed_name")),I471=""),"missing last_name; ","")&amp;IF(AND(NOT(OR(B471="to_candidate",AV471="proposed_name")),U471=""),"missing final_geo_unit_id; ","")&amp;IF(AV471="","missing final_destination; ","")&amp;IF(AND(NOT(OR(B471="to_candidate",AV471="proposed_name")),(COUNTIFS('أرقام التواصل'!$A$6:$A$505,"client",'أرقام التواصل'!$B$6:$B$505,A471,'أرقام التواصل'!$I$6:$I$505,"TRUE")+COUNTIFS('أرقام التواصل'!$A$6:$A$505,"client",'أرقام التواصل'!$B$6:$B$505,A471,'أرقام التواصل'!$C$6:$C$505,1))=0),"missing primary contact in أرقام التواصل; ","")&amp;IF(OR(B471="to_candidate",AV471="proposed_name"),IF(AW471="","missing proposed_move_reason; ","")&amp;IF(AX471="","missing proposed_name_key; ",""),"")))))</f>
        <v/>
      </c>
    </row>
    <row r="472" spans="1:53">
      <c r="A472" s="11"/>
      <c r="B472" s="12"/>
      <c r="C472" s="13"/>
      <c r="D472" s="12"/>
      <c r="E472" s="12"/>
      <c r="F472" s="12"/>
      <c r="G472" s="12"/>
      <c r="H472" s="12"/>
      <c r="I472" s="12"/>
      <c r="J472" s="12"/>
      <c r="K472" s="12" t="str">
        <f t="shared" si="13"/>
        <v/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 t="str">
        <f t="shared" si="14"/>
        <v/>
      </c>
      <c r="V472" s="12"/>
      <c r="W472" s="14"/>
      <c r="X472" s="14"/>
      <c r="Y472" s="13"/>
      <c r="Z472" s="12"/>
      <c r="AA472" s="12"/>
      <c r="AB472" s="12"/>
      <c r="AC472" s="12"/>
      <c r="AD472" s="15"/>
      <c r="AE472" s="12"/>
      <c r="AF472" s="13"/>
      <c r="AG472" s="12"/>
      <c r="AH472" s="12"/>
      <c r="AI472" s="15"/>
      <c r="AJ472" s="12"/>
      <c r="AK472" s="12"/>
      <c r="AL472" s="12"/>
      <c r="AM472" s="12"/>
      <c r="AN472" s="12"/>
      <c r="AO472" s="12"/>
      <c r="AP472" s="12"/>
      <c r="AQ472" s="15"/>
      <c r="AR472" s="12"/>
      <c r="AS472" s="12"/>
      <c r="AT472" s="12"/>
      <c r="AU472" s="12"/>
      <c r="AV472" s="12"/>
      <c r="AW472" s="12"/>
      <c r="AX472" s="13"/>
      <c r="AY472" s="12"/>
      <c r="AZ472" s="12" t="str">
        <f>IF(AND(A472="",B472="",E472="",G472="",I472="",AV472="",AX472=""),"",IF(OR(B472="skip",AV472="skip"),"SKIP",IF(OR(B472="to_candidate",AV472="proposed_name"),IF(OR(A472="",AW472="",AX472="",COUNTIF($A$6:$A$505,A472)&gt;1),"REVIEW","TO_PROPOSED"),IF(OR(B472="",A472="",E472="",G472="",I472="",U472="",AV472="",COUNTIF($A$6:$A$505,A472)&gt;1,(COUNTIFS('أرقام التواصل'!$A$6:$A$505,"client",'أرقام التواصل'!$B$6:$B$505,A472,'أرقام التواصل'!$I$6:$I$505,"TRUE")+COUNTIFS('أرقام التواصل'!$A$6:$A$505,"client",'أرقام التواصل'!$B$6:$B$505,A472,'أرقام التواصل'!$C$6:$C$505,1))=0),"REVIEW","READY"))))</f>
        <v/>
      </c>
      <c r="BA472" s="16" t="str">
        <f>IF(AZ472="","",IF(OR(AZ472="READY",AZ472="TO_PROPOSED"),"",IF(AZ472="SKIP","Skipped by decision",TRIM(IF(B472="","missing import_action; ","")&amp;IF(A472="","missing migration_customer_key; ","")&amp;IF(AND(A472&lt;&gt;"",COUNTIF($A$6:$A$505,A472)&gt;1),"duplicate migration_customer_key; ","")&amp;IF(AND(NOT(OR(B472="to_candidate",AV472="proposed_name")),E472=""),"missing branch_id; ","")&amp;IF(AND(NOT(OR(B472="to_candidate",AV472="proposed_name")),G472=""),"missing first_name; ","")&amp;IF(AND(NOT(OR(B472="to_candidate",AV472="proposed_name")),I472=""),"missing last_name; ","")&amp;IF(AND(NOT(OR(B472="to_candidate",AV472="proposed_name")),U472=""),"missing final_geo_unit_id; ","")&amp;IF(AV472="","missing final_destination; ","")&amp;IF(AND(NOT(OR(B472="to_candidate",AV472="proposed_name")),(COUNTIFS('أرقام التواصل'!$A$6:$A$505,"client",'أرقام التواصل'!$B$6:$B$505,A472,'أرقام التواصل'!$I$6:$I$505,"TRUE")+COUNTIFS('أرقام التواصل'!$A$6:$A$505,"client",'أرقام التواصل'!$B$6:$B$505,A472,'أرقام التواصل'!$C$6:$C$505,1))=0),"missing primary contact in أرقام التواصل; ","")&amp;IF(OR(B472="to_candidate",AV472="proposed_name"),IF(AW472="","missing proposed_move_reason; ","")&amp;IF(AX472="","missing proposed_name_key; ",""),"")))))</f>
        <v/>
      </c>
    </row>
    <row r="473" spans="1:53">
      <c r="A473" s="11"/>
      <c r="B473" s="12"/>
      <c r="C473" s="13"/>
      <c r="D473" s="12"/>
      <c r="E473" s="12"/>
      <c r="F473" s="12"/>
      <c r="G473" s="12"/>
      <c r="H473" s="12"/>
      <c r="I473" s="12"/>
      <c r="J473" s="12"/>
      <c r="K473" s="12" t="str">
        <f t="shared" si="13"/>
        <v/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 t="str">
        <f t="shared" si="14"/>
        <v/>
      </c>
      <c r="V473" s="12"/>
      <c r="W473" s="14"/>
      <c r="X473" s="14"/>
      <c r="Y473" s="13"/>
      <c r="Z473" s="12"/>
      <c r="AA473" s="12"/>
      <c r="AB473" s="12"/>
      <c r="AC473" s="12"/>
      <c r="AD473" s="15"/>
      <c r="AE473" s="12"/>
      <c r="AF473" s="13"/>
      <c r="AG473" s="12"/>
      <c r="AH473" s="12"/>
      <c r="AI473" s="15"/>
      <c r="AJ473" s="12"/>
      <c r="AK473" s="12"/>
      <c r="AL473" s="12"/>
      <c r="AM473" s="12"/>
      <c r="AN473" s="12"/>
      <c r="AO473" s="12"/>
      <c r="AP473" s="12"/>
      <c r="AQ473" s="15"/>
      <c r="AR473" s="12"/>
      <c r="AS473" s="12"/>
      <c r="AT473" s="12"/>
      <c r="AU473" s="12"/>
      <c r="AV473" s="12"/>
      <c r="AW473" s="12"/>
      <c r="AX473" s="13"/>
      <c r="AY473" s="12"/>
      <c r="AZ473" s="12" t="str">
        <f>IF(AND(A473="",B473="",E473="",G473="",I473="",AV473="",AX473=""),"",IF(OR(B473="skip",AV473="skip"),"SKIP",IF(OR(B473="to_candidate",AV473="proposed_name"),IF(OR(A473="",AW473="",AX473="",COUNTIF($A$6:$A$505,A473)&gt;1),"REVIEW","TO_PROPOSED"),IF(OR(B473="",A473="",E473="",G473="",I473="",U473="",AV473="",COUNTIF($A$6:$A$505,A473)&gt;1,(COUNTIFS('أرقام التواصل'!$A$6:$A$505,"client",'أرقام التواصل'!$B$6:$B$505,A473,'أرقام التواصل'!$I$6:$I$505,"TRUE")+COUNTIFS('أرقام التواصل'!$A$6:$A$505,"client",'أرقام التواصل'!$B$6:$B$505,A473,'أرقام التواصل'!$C$6:$C$505,1))=0),"REVIEW","READY"))))</f>
        <v/>
      </c>
      <c r="BA473" s="16" t="str">
        <f>IF(AZ473="","",IF(OR(AZ473="READY",AZ473="TO_PROPOSED"),"",IF(AZ473="SKIP","Skipped by decision",TRIM(IF(B473="","missing import_action; ","")&amp;IF(A473="","missing migration_customer_key; ","")&amp;IF(AND(A473&lt;&gt;"",COUNTIF($A$6:$A$505,A473)&gt;1),"duplicate migration_customer_key; ","")&amp;IF(AND(NOT(OR(B473="to_candidate",AV473="proposed_name")),E473=""),"missing branch_id; ","")&amp;IF(AND(NOT(OR(B473="to_candidate",AV473="proposed_name")),G473=""),"missing first_name; ","")&amp;IF(AND(NOT(OR(B473="to_candidate",AV473="proposed_name")),I473=""),"missing last_name; ","")&amp;IF(AND(NOT(OR(B473="to_candidate",AV473="proposed_name")),U473=""),"missing final_geo_unit_id; ","")&amp;IF(AV473="","missing final_destination; ","")&amp;IF(AND(NOT(OR(B473="to_candidate",AV473="proposed_name")),(COUNTIFS('أرقام التواصل'!$A$6:$A$505,"client",'أرقام التواصل'!$B$6:$B$505,A473,'أرقام التواصل'!$I$6:$I$505,"TRUE")+COUNTIFS('أرقام التواصل'!$A$6:$A$505,"client",'أرقام التواصل'!$B$6:$B$505,A473,'أرقام التواصل'!$C$6:$C$505,1))=0),"missing primary contact in أرقام التواصل; ","")&amp;IF(OR(B473="to_candidate",AV473="proposed_name"),IF(AW473="","missing proposed_move_reason; ","")&amp;IF(AX473="","missing proposed_name_key; ",""),"")))))</f>
        <v/>
      </c>
    </row>
    <row r="474" spans="1:53">
      <c r="A474" s="11"/>
      <c r="B474" s="12"/>
      <c r="C474" s="13"/>
      <c r="D474" s="12"/>
      <c r="E474" s="12"/>
      <c r="F474" s="12"/>
      <c r="G474" s="12"/>
      <c r="H474" s="12"/>
      <c r="I474" s="12"/>
      <c r="J474" s="12"/>
      <c r="K474" s="12" t="str">
        <f t="shared" si="13"/>
        <v/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 t="str">
        <f t="shared" si="14"/>
        <v/>
      </c>
      <c r="V474" s="12"/>
      <c r="W474" s="14"/>
      <c r="X474" s="14"/>
      <c r="Y474" s="13"/>
      <c r="Z474" s="12"/>
      <c r="AA474" s="12"/>
      <c r="AB474" s="12"/>
      <c r="AC474" s="12"/>
      <c r="AD474" s="15"/>
      <c r="AE474" s="12"/>
      <c r="AF474" s="13"/>
      <c r="AG474" s="12"/>
      <c r="AH474" s="12"/>
      <c r="AI474" s="15"/>
      <c r="AJ474" s="12"/>
      <c r="AK474" s="12"/>
      <c r="AL474" s="12"/>
      <c r="AM474" s="12"/>
      <c r="AN474" s="12"/>
      <c r="AO474" s="12"/>
      <c r="AP474" s="12"/>
      <c r="AQ474" s="15"/>
      <c r="AR474" s="12"/>
      <c r="AS474" s="12"/>
      <c r="AT474" s="12"/>
      <c r="AU474" s="12"/>
      <c r="AV474" s="12"/>
      <c r="AW474" s="12"/>
      <c r="AX474" s="13"/>
      <c r="AY474" s="12"/>
      <c r="AZ474" s="12" t="str">
        <f>IF(AND(A474="",B474="",E474="",G474="",I474="",AV474="",AX474=""),"",IF(OR(B474="skip",AV474="skip"),"SKIP",IF(OR(B474="to_candidate",AV474="proposed_name"),IF(OR(A474="",AW474="",AX474="",COUNTIF($A$6:$A$505,A474)&gt;1),"REVIEW","TO_PROPOSED"),IF(OR(B474="",A474="",E474="",G474="",I474="",U474="",AV474="",COUNTIF($A$6:$A$505,A474)&gt;1,(COUNTIFS('أرقام التواصل'!$A$6:$A$505,"client",'أرقام التواصل'!$B$6:$B$505,A474,'أرقام التواصل'!$I$6:$I$505,"TRUE")+COUNTIFS('أرقام التواصل'!$A$6:$A$505,"client",'أرقام التواصل'!$B$6:$B$505,A474,'أرقام التواصل'!$C$6:$C$505,1))=0),"REVIEW","READY"))))</f>
        <v/>
      </c>
      <c r="BA474" s="16" t="str">
        <f>IF(AZ474="","",IF(OR(AZ474="READY",AZ474="TO_PROPOSED"),"",IF(AZ474="SKIP","Skipped by decision",TRIM(IF(B474="","missing import_action; ","")&amp;IF(A474="","missing migration_customer_key; ","")&amp;IF(AND(A474&lt;&gt;"",COUNTIF($A$6:$A$505,A474)&gt;1),"duplicate migration_customer_key; ","")&amp;IF(AND(NOT(OR(B474="to_candidate",AV474="proposed_name")),E474=""),"missing branch_id; ","")&amp;IF(AND(NOT(OR(B474="to_candidate",AV474="proposed_name")),G474=""),"missing first_name; ","")&amp;IF(AND(NOT(OR(B474="to_candidate",AV474="proposed_name")),I474=""),"missing last_name; ","")&amp;IF(AND(NOT(OR(B474="to_candidate",AV474="proposed_name")),U474=""),"missing final_geo_unit_id; ","")&amp;IF(AV474="","missing final_destination; ","")&amp;IF(AND(NOT(OR(B474="to_candidate",AV474="proposed_name")),(COUNTIFS('أرقام التواصل'!$A$6:$A$505,"client",'أرقام التواصل'!$B$6:$B$505,A474,'أرقام التواصل'!$I$6:$I$505,"TRUE")+COUNTIFS('أرقام التواصل'!$A$6:$A$505,"client",'أرقام التواصل'!$B$6:$B$505,A474,'أرقام التواصل'!$C$6:$C$505,1))=0),"missing primary contact in أرقام التواصل; ","")&amp;IF(OR(B474="to_candidate",AV474="proposed_name"),IF(AW474="","missing proposed_move_reason; ","")&amp;IF(AX474="","missing proposed_name_key; ",""),"")))))</f>
        <v/>
      </c>
    </row>
    <row r="475" spans="1:53">
      <c r="A475" s="11"/>
      <c r="B475" s="12"/>
      <c r="C475" s="13"/>
      <c r="D475" s="12"/>
      <c r="E475" s="12"/>
      <c r="F475" s="12"/>
      <c r="G475" s="12"/>
      <c r="H475" s="12"/>
      <c r="I475" s="12"/>
      <c r="J475" s="12"/>
      <c r="K475" s="12" t="str">
        <f t="shared" si="13"/>
        <v/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 t="str">
        <f t="shared" si="14"/>
        <v/>
      </c>
      <c r="V475" s="12"/>
      <c r="W475" s="14"/>
      <c r="X475" s="14"/>
      <c r="Y475" s="13"/>
      <c r="Z475" s="12"/>
      <c r="AA475" s="12"/>
      <c r="AB475" s="12"/>
      <c r="AC475" s="12"/>
      <c r="AD475" s="15"/>
      <c r="AE475" s="12"/>
      <c r="AF475" s="13"/>
      <c r="AG475" s="12"/>
      <c r="AH475" s="12"/>
      <c r="AI475" s="15"/>
      <c r="AJ475" s="12"/>
      <c r="AK475" s="12"/>
      <c r="AL475" s="12"/>
      <c r="AM475" s="12"/>
      <c r="AN475" s="12"/>
      <c r="AO475" s="12"/>
      <c r="AP475" s="12"/>
      <c r="AQ475" s="15"/>
      <c r="AR475" s="12"/>
      <c r="AS475" s="12"/>
      <c r="AT475" s="12"/>
      <c r="AU475" s="12"/>
      <c r="AV475" s="12"/>
      <c r="AW475" s="12"/>
      <c r="AX475" s="13"/>
      <c r="AY475" s="12"/>
      <c r="AZ475" s="12" t="str">
        <f>IF(AND(A475="",B475="",E475="",G475="",I475="",AV475="",AX475=""),"",IF(OR(B475="skip",AV475="skip"),"SKIP",IF(OR(B475="to_candidate",AV475="proposed_name"),IF(OR(A475="",AW475="",AX475="",COUNTIF($A$6:$A$505,A475)&gt;1),"REVIEW","TO_PROPOSED"),IF(OR(B475="",A475="",E475="",G475="",I475="",U475="",AV475="",COUNTIF($A$6:$A$505,A475)&gt;1,(COUNTIFS('أرقام التواصل'!$A$6:$A$505,"client",'أرقام التواصل'!$B$6:$B$505,A475,'أرقام التواصل'!$I$6:$I$505,"TRUE")+COUNTIFS('أرقام التواصل'!$A$6:$A$505,"client",'أرقام التواصل'!$B$6:$B$505,A475,'أرقام التواصل'!$C$6:$C$505,1))=0),"REVIEW","READY"))))</f>
        <v/>
      </c>
      <c r="BA475" s="16" t="str">
        <f>IF(AZ475="","",IF(OR(AZ475="READY",AZ475="TO_PROPOSED"),"",IF(AZ475="SKIP","Skipped by decision",TRIM(IF(B475="","missing import_action; ","")&amp;IF(A475="","missing migration_customer_key; ","")&amp;IF(AND(A475&lt;&gt;"",COUNTIF($A$6:$A$505,A475)&gt;1),"duplicate migration_customer_key; ","")&amp;IF(AND(NOT(OR(B475="to_candidate",AV475="proposed_name")),E475=""),"missing branch_id; ","")&amp;IF(AND(NOT(OR(B475="to_candidate",AV475="proposed_name")),G475=""),"missing first_name; ","")&amp;IF(AND(NOT(OR(B475="to_candidate",AV475="proposed_name")),I475=""),"missing last_name; ","")&amp;IF(AND(NOT(OR(B475="to_candidate",AV475="proposed_name")),U475=""),"missing final_geo_unit_id; ","")&amp;IF(AV475="","missing final_destination; ","")&amp;IF(AND(NOT(OR(B475="to_candidate",AV475="proposed_name")),(COUNTIFS('أرقام التواصل'!$A$6:$A$505,"client",'أرقام التواصل'!$B$6:$B$505,A475,'أرقام التواصل'!$I$6:$I$505,"TRUE")+COUNTIFS('أرقام التواصل'!$A$6:$A$505,"client",'أرقام التواصل'!$B$6:$B$505,A475,'أرقام التواصل'!$C$6:$C$505,1))=0),"missing primary contact in أرقام التواصل; ","")&amp;IF(OR(B475="to_candidate",AV475="proposed_name"),IF(AW475="","missing proposed_move_reason; ","")&amp;IF(AX475="","missing proposed_name_key; ",""),"")))))</f>
        <v/>
      </c>
    </row>
    <row r="476" spans="1:53">
      <c r="A476" s="11"/>
      <c r="B476" s="12"/>
      <c r="C476" s="13"/>
      <c r="D476" s="12"/>
      <c r="E476" s="12"/>
      <c r="F476" s="12"/>
      <c r="G476" s="12"/>
      <c r="H476" s="12"/>
      <c r="I476" s="12"/>
      <c r="J476" s="12"/>
      <c r="K476" s="12" t="str">
        <f t="shared" si="13"/>
        <v/>
      </c>
      <c r="L476" s="12"/>
      <c r="M476" s="12"/>
      <c r="N476" s="12"/>
      <c r="O476" s="12"/>
      <c r="P476" s="12"/>
      <c r="Q476" s="12"/>
      <c r="R476" s="12"/>
      <c r="S476" s="12"/>
      <c r="T476" s="12"/>
      <c r="U476" s="12" t="str">
        <f t="shared" si="14"/>
        <v/>
      </c>
      <c r="V476" s="12"/>
      <c r="W476" s="14"/>
      <c r="X476" s="14"/>
      <c r="Y476" s="13"/>
      <c r="Z476" s="12"/>
      <c r="AA476" s="12"/>
      <c r="AB476" s="12"/>
      <c r="AC476" s="12"/>
      <c r="AD476" s="15"/>
      <c r="AE476" s="12"/>
      <c r="AF476" s="13"/>
      <c r="AG476" s="12"/>
      <c r="AH476" s="12"/>
      <c r="AI476" s="15"/>
      <c r="AJ476" s="12"/>
      <c r="AK476" s="12"/>
      <c r="AL476" s="12"/>
      <c r="AM476" s="12"/>
      <c r="AN476" s="12"/>
      <c r="AO476" s="12"/>
      <c r="AP476" s="12"/>
      <c r="AQ476" s="15"/>
      <c r="AR476" s="12"/>
      <c r="AS476" s="12"/>
      <c r="AT476" s="12"/>
      <c r="AU476" s="12"/>
      <c r="AV476" s="12"/>
      <c r="AW476" s="12"/>
      <c r="AX476" s="13"/>
      <c r="AY476" s="12"/>
      <c r="AZ476" s="12" t="str">
        <f>IF(AND(A476="",B476="",E476="",G476="",I476="",AV476="",AX476=""),"",IF(OR(B476="skip",AV476="skip"),"SKIP",IF(OR(B476="to_candidate",AV476="proposed_name"),IF(OR(A476="",AW476="",AX476="",COUNTIF($A$6:$A$505,A476)&gt;1),"REVIEW","TO_PROPOSED"),IF(OR(B476="",A476="",E476="",G476="",I476="",U476="",AV476="",COUNTIF($A$6:$A$505,A476)&gt;1,(COUNTIFS('أرقام التواصل'!$A$6:$A$505,"client",'أرقام التواصل'!$B$6:$B$505,A476,'أرقام التواصل'!$I$6:$I$505,"TRUE")+COUNTIFS('أرقام التواصل'!$A$6:$A$505,"client",'أرقام التواصل'!$B$6:$B$505,A476,'أرقام التواصل'!$C$6:$C$505,1))=0),"REVIEW","READY"))))</f>
        <v/>
      </c>
      <c r="BA476" s="16" t="str">
        <f>IF(AZ476="","",IF(OR(AZ476="READY",AZ476="TO_PROPOSED"),"",IF(AZ476="SKIP","Skipped by decision",TRIM(IF(B476="","missing import_action; ","")&amp;IF(A476="","missing migration_customer_key; ","")&amp;IF(AND(A476&lt;&gt;"",COUNTIF($A$6:$A$505,A476)&gt;1),"duplicate migration_customer_key; ","")&amp;IF(AND(NOT(OR(B476="to_candidate",AV476="proposed_name")),E476=""),"missing branch_id; ","")&amp;IF(AND(NOT(OR(B476="to_candidate",AV476="proposed_name")),G476=""),"missing first_name; ","")&amp;IF(AND(NOT(OR(B476="to_candidate",AV476="proposed_name")),I476=""),"missing last_name; ","")&amp;IF(AND(NOT(OR(B476="to_candidate",AV476="proposed_name")),U476=""),"missing final_geo_unit_id; ","")&amp;IF(AV476="","missing final_destination; ","")&amp;IF(AND(NOT(OR(B476="to_candidate",AV476="proposed_name")),(COUNTIFS('أرقام التواصل'!$A$6:$A$505,"client",'أرقام التواصل'!$B$6:$B$505,A476,'أرقام التواصل'!$I$6:$I$505,"TRUE")+COUNTIFS('أرقام التواصل'!$A$6:$A$505,"client",'أرقام التواصل'!$B$6:$B$505,A476,'أرقام التواصل'!$C$6:$C$505,1))=0),"missing primary contact in أرقام التواصل; ","")&amp;IF(OR(B476="to_candidate",AV476="proposed_name"),IF(AW476="","missing proposed_move_reason; ","")&amp;IF(AX476="","missing proposed_name_key; ",""),"")))))</f>
        <v/>
      </c>
    </row>
    <row r="477" spans="1:53">
      <c r="A477" s="11"/>
      <c r="B477" s="12"/>
      <c r="C477" s="13"/>
      <c r="D477" s="12"/>
      <c r="E477" s="12"/>
      <c r="F477" s="12"/>
      <c r="G477" s="12"/>
      <c r="H477" s="12"/>
      <c r="I477" s="12"/>
      <c r="J477" s="12"/>
      <c r="K477" s="12" t="str">
        <f t="shared" si="13"/>
        <v/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 t="str">
        <f t="shared" si="14"/>
        <v/>
      </c>
      <c r="V477" s="12"/>
      <c r="W477" s="14"/>
      <c r="X477" s="14"/>
      <c r="Y477" s="13"/>
      <c r="Z477" s="12"/>
      <c r="AA477" s="12"/>
      <c r="AB477" s="12"/>
      <c r="AC477" s="12"/>
      <c r="AD477" s="15"/>
      <c r="AE477" s="12"/>
      <c r="AF477" s="13"/>
      <c r="AG477" s="12"/>
      <c r="AH477" s="12"/>
      <c r="AI477" s="15"/>
      <c r="AJ477" s="12"/>
      <c r="AK477" s="12"/>
      <c r="AL477" s="12"/>
      <c r="AM477" s="12"/>
      <c r="AN477" s="12"/>
      <c r="AO477" s="12"/>
      <c r="AP477" s="12"/>
      <c r="AQ477" s="15"/>
      <c r="AR477" s="12"/>
      <c r="AS477" s="12"/>
      <c r="AT477" s="12"/>
      <c r="AU477" s="12"/>
      <c r="AV477" s="12"/>
      <c r="AW477" s="12"/>
      <c r="AX477" s="13"/>
      <c r="AY477" s="12"/>
      <c r="AZ477" s="12" t="str">
        <f>IF(AND(A477="",B477="",E477="",G477="",I477="",AV477="",AX477=""),"",IF(OR(B477="skip",AV477="skip"),"SKIP",IF(OR(B477="to_candidate",AV477="proposed_name"),IF(OR(A477="",AW477="",AX477="",COUNTIF($A$6:$A$505,A477)&gt;1),"REVIEW","TO_PROPOSED"),IF(OR(B477="",A477="",E477="",G477="",I477="",U477="",AV477="",COUNTIF($A$6:$A$505,A477)&gt;1,(COUNTIFS('أرقام التواصل'!$A$6:$A$505,"client",'أرقام التواصل'!$B$6:$B$505,A477,'أرقام التواصل'!$I$6:$I$505,"TRUE")+COUNTIFS('أرقام التواصل'!$A$6:$A$505,"client",'أرقام التواصل'!$B$6:$B$505,A477,'أرقام التواصل'!$C$6:$C$505,1))=0),"REVIEW","READY"))))</f>
        <v/>
      </c>
      <c r="BA477" s="16" t="str">
        <f>IF(AZ477="","",IF(OR(AZ477="READY",AZ477="TO_PROPOSED"),"",IF(AZ477="SKIP","Skipped by decision",TRIM(IF(B477="","missing import_action; ","")&amp;IF(A477="","missing migration_customer_key; ","")&amp;IF(AND(A477&lt;&gt;"",COUNTIF($A$6:$A$505,A477)&gt;1),"duplicate migration_customer_key; ","")&amp;IF(AND(NOT(OR(B477="to_candidate",AV477="proposed_name")),E477=""),"missing branch_id; ","")&amp;IF(AND(NOT(OR(B477="to_candidate",AV477="proposed_name")),G477=""),"missing first_name; ","")&amp;IF(AND(NOT(OR(B477="to_candidate",AV477="proposed_name")),I477=""),"missing last_name; ","")&amp;IF(AND(NOT(OR(B477="to_candidate",AV477="proposed_name")),U477=""),"missing final_geo_unit_id; ","")&amp;IF(AV477="","missing final_destination; ","")&amp;IF(AND(NOT(OR(B477="to_candidate",AV477="proposed_name")),(COUNTIFS('أرقام التواصل'!$A$6:$A$505,"client",'أرقام التواصل'!$B$6:$B$505,A477,'أرقام التواصل'!$I$6:$I$505,"TRUE")+COUNTIFS('أرقام التواصل'!$A$6:$A$505,"client",'أرقام التواصل'!$B$6:$B$505,A477,'أرقام التواصل'!$C$6:$C$505,1))=0),"missing primary contact in أرقام التواصل; ","")&amp;IF(OR(B477="to_candidate",AV477="proposed_name"),IF(AW477="","missing proposed_move_reason; ","")&amp;IF(AX477="","missing proposed_name_key; ",""),"")))))</f>
        <v/>
      </c>
    </row>
    <row r="478" spans="1:53">
      <c r="A478" s="11"/>
      <c r="B478" s="12"/>
      <c r="C478" s="13"/>
      <c r="D478" s="12"/>
      <c r="E478" s="12"/>
      <c r="F478" s="12"/>
      <c r="G478" s="12"/>
      <c r="H478" s="12"/>
      <c r="I478" s="12"/>
      <c r="J478" s="12"/>
      <c r="K478" s="12" t="str">
        <f t="shared" si="13"/>
        <v/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 t="str">
        <f t="shared" si="14"/>
        <v/>
      </c>
      <c r="V478" s="12"/>
      <c r="W478" s="14"/>
      <c r="X478" s="14"/>
      <c r="Y478" s="13"/>
      <c r="Z478" s="12"/>
      <c r="AA478" s="12"/>
      <c r="AB478" s="12"/>
      <c r="AC478" s="12"/>
      <c r="AD478" s="15"/>
      <c r="AE478" s="12"/>
      <c r="AF478" s="13"/>
      <c r="AG478" s="12"/>
      <c r="AH478" s="12"/>
      <c r="AI478" s="15"/>
      <c r="AJ478" s="12"/>
      <c r="AK478" s="12"/>
      <c r="AL478" s="12"/>
      <c r="AM478" s="12"/>
      <c r="AN478" s="12"/>
      <c r="AO478" s="12"/>
      <c r="AP478" s="12"/>
      <c r="AQ478" s="15"/>
      <c r="AR478" s="12"/>
      <c r="AS478" s="12"/>
      <c r="AT478" s="12"/>
      <c r="AU478" s="12"/>
      <c r="AV478" s="12"/>
      <c r="AW478" s="12"/>
      <c r="AX478" s="13"/>
      <c r="AY478" s="12"/>
      <c r="AZ478" s="12" t="str">
        <f>IF(AND(A478="",B478="",E478="",G478="",I478="",AV478="",AX478=""),"",IF(OR(B478="skip",AV478="skip"),"SKIP",IF(OR(B478="to_candidate",AV478="proposed_name"),IF(OR(A478="",AW478="",AX478="",COUNTIF($A$6:$A$505,A478)&gt;1),"REVIEW","TO_PROPOSED"),IF(OR(B478="",A478="",E478="",G478="",I478="",U478="",AV478="",COUNTIF($A$6:$A$505,A478)&gt;1,(COUNTIFS('أرقام التواصل'!$A$6:$A$505,"client",'أرقام التواصل'!$B$6:$B$505,A478,'أرقام التواصل'!$I$6:$I$505,"TRUE")+COUNTIFS('أرقام التواصل'!$A$6:$A$505,"client",'أرقام التواصل'!$B$6:$B$505,A478,'أرقام التواصل'!$C$6:$C$505,1))=0),"REVIEW","READY"))))</f>
        <v/>
      </c>
      <c r="BA478" s="16" t="str">
        <f>IF(AZ478="","",IF(OR(AZ478="READY",AZ478="TO_PROPOSED"),"",IF(AZ478="SKIP","Skipped by decision",TRIM(IF(B478="","missing import_action; ","")&amp;IF(A478="","missing migration_customer_key; ","")&amp;IF(AND(A478&lt;&gt;"",COUNTIF($A$6:$A$505,A478)&gt;1),"duplicate migration_customer_key; ","")&amp;IF(AND(NOT(OR(B478="to_candidate",AV478="proposed_name")),E478=""),"missing branch_id; ","")&amp;IF(AND(NOT(OR(B478="to_candidate",AV478="proposed_name")),G478=""),"missing first_name; ","")&amp;IF(AND(NOT(OR(B478="to_candidate",AV478="proposed_name")),I478=""),"missing last_name; ","")&amp;IF(AND(NOT(OR(B478="to_candidate",AV478="proposed_name")),U478=""),"missing final_geo_unit_id; ","")&amp;IF(AV478="","missing final_destination; ","")&amp;IF(AND(NOT(OR(B478="to_candidate",AV478="proposed_name")),(COUNTIFS('أرقام التواصل'!$A$6:$A$505,"client",'أرقام التواصل'!$B$6:$B$505,A478,'أرقام التواصل'!$I$6:$I$505,"TRUE")+COUNTIFS('أرقام التواصل'!$A$6:$A$505,"client",'أرقام التواصل'!$B$6:$B$505,A478,'أرقام التواصل'!$C$6:$C$505,1))=0),"missing primary contact in أرقام التواصل; ","")&amp;IF(OR(B478="to_candidate",AV478="proposed_name"),IF(AW478="","missing proposed_move_reason; ","")&amp;IF(AX478="","missing proposed_name_key; ",""),"")))))</f>
        <v/>
      </c>
    </row>
    <row r="479" spans="1:53">
      <c r="A479" s="11"/>
      <c r="B479" s="12"/>
      <c r="C479" s="13"/>
      <c r="D479" s="12"/>
      <c r="E479" s="12"/>
      <c r="F479" s="12"/>
      <c r="G479" s="12"/>
      <c r="H479" s="12"/>
      <c r="I479" s="12"/>
      <c r="J479" s="12"/>
      <c r="K479" s="12" t="str">
        <f t="shared" si="13"/>
        <v/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 t="str">
        <f t="shared" si="14"/>
        <v/>
      </c>
      <c r="V479" s="12"/>
      <c r="W479" s="14"/>
      <c r="X479" s="14"/>
      <c r="Y479" s="13"/>
      <c r="Z479" s="12"/>
      <c r="AA479" s="12"/>
      <c r="AB479" s="12"/>
      <c r="AC479" s="12"/>
      <c r="AD479" s="15"/>
      <c r="AE479" s="12"/>
      <c r="AF479" s="13"/>
      <c r="AG479" s="12"/>
      <c r="AH479" s="12"/>
      <c r="AI479" s="15"/>
      <c r="AJ479" s="12"/>
      <c r="AK479" s="12"/>
      <c r="AL479" s="12"/>
      <c r="AM479" s="12"/>
      <c r="AN479" s="12"/>
      <c r="AO479" s="12"/>
      <c r="AP479" s="12"/>
      <c r="AQ479" s="15"/>
      <c r="AR479" s="12"/>
      <c r="AS479" s="12"/>
      <c r="AT479" s="12"/>
      <c r="AU479" s="12"/>
      <c r="AV479" s="12"/>
      <c r="AW479" s="12"/>
      <c r="AX479" s="13"/>
      <c r="AY479" s="12"/>
      <c r="AZ479" s="12" t="str">
        <f>IF(AND(A479="",B479="",E479="",G479="",I479="",AV479="",AX479=""),"",IF(OR(B479="skip",AV479="skip"),"SKIP",IF(OR(B479="to_candidate",AV479="proposed_name"),IF(OR(A479="",AW479="",AX479="",COUNTIF($A$6:$A$505,A479)&gt;1),"REVIEW","TO_PROPOSED"),IF(OR(B479="",A479="",E479="",G479="",I479="",U479="",AV479="",COUNTIF($A$6:$A$505,A479)&gt;1,(COUNTIFS('أرقام التواصل'!$A$6:$A$505,"client",'أرقام التواصل'!$B$6:$B$505,A479,'أرقام التواصل'!$I$6:$I$505,"TRUE")+COUNTIFS('أرقام التواصل'!$A$6:$A$505,"client",'أرقام التواصل'!$B$6:$B$505,A479,'أرقام التواصل'!$C$6:$C$505,1))=0),"REVIEW","READY"))))</f>
        <v/>
      </c>
      <c r="BA479" s="16" t="str">
        <f>IF(AZ479="","",IF(OR(AZ479="READY",AZ479="TO_PROPOSED"),"",IF(AZ479="SKIP","Skipped by decision",TRIM(IF(B479="","missing import_action; ","")&amp;IF(A479="","missing migration_customer_key; ","")&amp;IF(AND(A479&lt;&gt;"",COUNTIF($A$6:$A$505,A479)&gt;1),"duplicate migration_customer_key; ","")&amp;IF(AND(NOT(OR(B479="to_candidate",AV479="proposed_name")),E479=""),"missing branch_id; ","")&amp;IF(AND(NOT(OR(B479="to_candidate",AV479="proposed_name")),G479=""),"missing first_name; ","")&amp;IF(AND(NOT(OR(B479="to_candidate",AV479="proposed_name")),I479=""),"missing last_name; ","")&amp;IF(AND(NOT(OR(B479="to_candidate",AV479="proposed_name")),U479=""),"missing final_geo_unit_id; ","")&amp;IF(AV479="","missing final_destination; ","")&amp;IF(AND(NOT(OR(B479="to_candidate",AV479="proposed_name")),(COUNTIFS('أرقام التواصل'!$A$6:$A$505,"client",'أرقام التواصل'!$B$6:$B$505,A479,'أرقام التواصل'!$I$6:$I$505,"TRUE")+COUNTIFS('أرقام التواصل'!$A$6:$A$505,"client",'أرقام التواصل'!$B$6:$B$505,A479,'أرقام التواصل'!$C$6:$C$505,1))=0),"missing primary contact in أرقام التواصل; ","")&amp;IF(OR(B479="to_candidate",AV479="proposed_name"),IF(AW479="","missing proposed_move_reason; ","")&amp;IF(AX479="","missing proposed_name_key; ",""),"")))))</f>
        <v/>
      </c>
    </row>
    <row r="480" spans="1:53">
      <c r="A480" s="11"/>
      <c r="B480" s="12"/>
      <c r="C480" s="13"/>
      <c r="D480" s="12"/>
      <c r="E480" s="12"/>
      <c r="F480" s="12"/>
      <c r="G480" s="12"/>
      <c r="H480" s="12"/>
      <c r="I480" s="12"/>
      <c r="J480" s="12"/>
      <c r="K480" s="12" t="str">
        <f t="shared" si="13"/>
        <v/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 t="str">
        <f t="shared" si="14"/>
        <v/>
      </c>
      <c r="V480" s="12"/>
      <c r="W480" s="14"/>
      <c r="X480" s="14"/>
      <c r="Y480" s="13"/>
      <c r="Z480" s="12"/>
      <c r="AA480" s="12"/>
      <c r="AB480" s="12"/>
      <c r="AC480" s="12"/>
      <c r="AD480" s="15"/>
      <c r="AE480" s="12"/>
      <c r="AF480" s="13"/>
      <c r="AG480" s="12"/>
      <c r="AH480" s="12"/>
      <c r="AI480" s="15"/>
      <c r="AJ480" s="12"/>
      <c r="AK480" s="12"/>
      <c r="AL480" s="12"/>
      <c r="AM480" s="12"/>
      <c r="AN480" s="12"/>
      <c r="AO480" s="12"/>
      <c r="AP480" s="12"/>
      <c r="AQ480" s="15"/>
      <c r="AR480" s="12"/>
      <c r="AS480" s="12"/>
      <c r="AT480" s="12"/>
      <c r="AU480" s="12"/>
      <c r="AV480" s="12"/>
      <c r="AW480" s="12"/>
      <c r="AX480" s="13"/>
      <c r="AY480" s="12"/>
      <c r="AZ480" s="12" t="str">
        <f>IF(AND(A480="",B480="",E480="",G480="",I480="",AV480="",AX480=""),"",IF(OR(B480="skip",AV480="skip"),"SKIP",IF(OR(B480="to_candidate",AV480="proposed_name"),IF(OR(A480="",AW480="",AX480="",COUNTIF($A$6:$A$505,A480)&gt;1),"REVIEW","TO_PROPOSED"),IF(OR(B480="",A480="",E480="",G480="",I480="",U480="",AV480="",COUNTIF($A$6:$A$505,A480)&gt;1,(COUNTIFS('أرقام التواصل'!$A$6:$A$505,"client",'أرقام التواصل'!$B$6:$B$505,A480,'أرقام التواصل'!$I$6:$I$505,"TRUE")+COUNTIFS('أرقام التواصل'!$A$6:$A$505,"client",'أرقام التواصل'!$B$6:$B$505,A480,'أرقام التواصل'!$C$6:$C$505,1))=0),"REVIEW","READY"))))</f>
        <v/>
      </c>
      <c r="BA480" s="16" t="str">
        <f>IF(AZ480="","",IF(OR(AZ480="READY",AZ480="TO_PROPOSED"),"",IF(AZ480="SKIP","Skipped by decision",TRIM(IF(B480="","missing import_action; ","")&amp;IF(A480="","missing migration_customer_key; ","")&amp;IF(AND(A480&lt;&gt;"",COUNTIF($A$6:$A$505,A480)&gt;1),"duplicate migration_customer_key; ","")&amp;IF(AND(NOT(OR(B480="to_candidate",AV480="proposed_name")),E480=""),"missing branch_id; ","")&amp;IF(AND(NOT(OR(B480="to_candidate",AV480="proposed_name")),G480=""),"missing first_name; ","")&amp;IF(AND(NOT(OR(B480="to_candidate",AV480="proposed_name")),I480=""),"missing last_name; ","")&amp;IF(AND(NOT(OR(B480="to_candidate",AV480="proposed_name")),U480=""),"missing final_geo_unit_id; ","")&amp;IF(AV480="","missing final_destination; ","")&amp;IF(AND(NOT(OR(B480="to_candidate",AV480="proposed_name")),(COUNTIFS('أرقام التواصل'!$A$6:$A$505,"client",'أرقام التواصل'!$B$6:$B$505,A480,'أرقام التواصل'!$I$6:$I$505,"TRUE")+COUNTIFS('أرقام التواصل'!$A$6:$A$505,"client",'أرقام التواصل'!$B$6:$B$505,A480,'أرقام التواصل'!$C$6:$C$505,1))=0),"missing primary contact in أرقام التواصل; ","")&amp;IF(OR(B480="to_candidate",AV480="proposed_name"),IF(AW480="","missing proposed_move_reason; ","")&amp;IF(AX480="","missing proposed_name_key; ",""),"")))))</f>
        <v/>
      </c>
    </row>
    <row r="481" spans="1:53">
      <c r="A481" s="11"/>
      <c r="B481" s="12"/>
      <c r="C481" s="13"/>
      <c r="D481" s="12"/>
      <c r="E481" s="12"/>
      <c r="F481" s="12"/>
      <c r="G481" s="12"/>
      <c r="H481" s="12"/>
      <c r="I481" s="12"/>
      <c r="J481" s="12"/>
      <c r="K481" s="12" t="str">
        <f t="shared" si="13"/>
        <v/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 t="str">
        <f t="shared" si="14"/>
        <v/>
      </c>
      <c r="V481" s="12"/>
      <c r="W481" s="14"/>
      <c r="X481" s="14"/>
      <c r="Y481" s="13"/>
      <c r="Z481" s="12"/>
      <c r="AA481" s="12"/>
      <c r="AB481" s="12"/>
      <c r="AC481" s="12"/>
      <c r="AD481" s="15"/>
      <c r="AE481" s="12"/>
      <c r="AF481" s="13"/>
      <c r="AG481" s="12"/>
      <c r="AH481" s="12"/>
      <c r="AI481" s="15"/>
      <c r="AJ481" s="12"/>
      <c r="AK481" s="12"/>
      <c r="AL481" s="12"/>
      <c r="AM481" s="12"/>
      <c r="AN481" s="12"/>
      <c r="AO481" s="12"/>
      <c r="AP481" s="12"/>
      <c r="AQ481" s="15"/>
      <c r="AR481" s="12"/>
      <c r="AS481" s="12"/>
      <c r="AT481" s="12"/>
      <c r="AU481" s="12"/>
      <c r="AV481" s="12"/>
      <c r="AW481" s="12"/>
      <c r="AX481" s="13"/>
      <c r="AY481" s="12"/>
      <c r="AZ481" s="12" t="str">
        <f>IF(AND(A481="",B481="",E481="",G481="",I481="",AV481="",AX481=""),"",IF(OR(B481="skip",AV481="skip"),"SKIP",IF(OR(B481="to_candidate",AV481="proposed_name"),IF(OR(A481="",AW481="",AX481="",COUNTIF($A$6:$A$505,A481)&gt;1),"REVIEW","TO_PROPOSED"),IF(OR(B481="",A481="",E481="",G481="",I481="",U481="",AV481="",COUNTIF($A$6:$A$505,A481)&gt;1,(COUNTIFS('أرقام التواصل'!$A$6:$A$505,"client",'أرقام التواصل'!$B$6:$B$505,A481,'أرقام التواصل'!$I$6:$I$505,"TRUE")+COUNTIFS('أرقام التواصل'!$A$6:$A$505,"client",'أرقام التواصل'!$B$6:$B$505,A481,'أرقام التواصل'!$C$6:$C$505,1))=0),"REVIEW","READY"))))</f>
        <v/>
      </c>
      <c r="BA481" s="16" t="str">
        <f>IF(AZ481="","",IF(OR(AZ481="READY",AZ481="TO_PROPOSED"),"",IF(AZ481="SKIP","Skipped by decision",TRIM(IF(B481="","missing import_action; ","")&amp;IF(A481="","missing migration_customer_key; ","")&amp;IF(AND(A481&lt;&gt;"",COUNTIF($A$6:$A$505,A481)&gt;1),"duplicate migration_customer_key; ","")&amp;IF(AND(NOT(OR(B481="to_candidate",AV481="proposed_name")),E481=""),"missing branch_id; ","")&amp;IF(AND(NOT(OR(B481="to_candidate",AV481="proposed_name")),G481=""),"missing first_name; ","")&amp;IF(AND(NOT(OR(B481="to_candidate",AV481="proposed_name")),I481=""),"missing last_name; ","")&amp;IF(AND(NOT(OR(B481="to_candidate",AV481="proposed_name")),U481=""),"missing final_geo_unit_id; ","")&amp;IF(AV481="","missing final_destination; ","")&amp;IF(AND(NOT(OR(B481="to_candidate",AV481="proposed_name")),(COUNTIFS('أرقام التواصل'!$A$6:$A$505,"client",'أرقام التواصل'!$B$6:$B$505,A481,'أرقام التواصل'!$I$6:$I$505,"TRUE")+COUNTIFS('أرقام التواصل'!$A$6:$A$505,"client",'أرقام التواصل'!$B$6:$B$505,A481,'أرقام التواصل'!$C$6:$C$505,1))=0),"missing primary contact in أرقام التواصل; ","")&amp;IF(OR(B481="to_candidate",AV481="proposed_name"),IF(AW481="","missing proposed_move_reason; ","")&amp;IF(AX481="","missing proposed_name_key; ",""),"")))))</f>
        <v/>
      </c>
    </row>
    <row r="482" spans="1:53">
      <c r="A482" s="11"/>
      <c r="B482" s="12"/>
      <c r="C482" s="13"/>
      <c r="D482" s="12"/>
      <c r="E482" s="12"/>
      <c r="F482" s="12"/>
      <c r="G482" s="12"/>
      <c r="H482" s="12"/>
      <c r="I482" s="12"/>
      <c r="J482" s="12"/>
      <c r="K482" s="12" t="str">
        <f t="shared" si="13"/>
        <v/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 t="str">
        <f t="shared" si="14"/>
        <v/>
      </c>
      <c r="V482" s="12"/>
      <c r="W482" s="14"/>
      <c r="X482" s="14"/>
      <c r="Y482" s="13"/>
      <c r="Z482" s="12"/>
      <c r="AA482" s="12"/>
      <c r="AB482" s="12"/>
      <c r="AC482" s="12"/>
      <c r="AD482" s="15"/>
      <c r="AE482" s="12"/>
      <c r="AF482" s="13"/>
      <c r="AG482" s="12"/>
      <c r="AH482" s="12"/>
      <c r="AI482" s="15"/>
      <c r="AJ482" s="12"/>
      <c r="AK482" s="12"/>
      <c r="AL482" s="12"/>
      <c r="AM482" s="12"/>
      <c r="AN482" s="12"/>
      <c r="AO482" s="12"/>
      <c r="AP482" s="12"/>
      <c r="AQ482" s="15"/>
      <c r="AR482" s="12"/>
      <c r="AS482" s="12"/>
      <c r="AT482" s="12"/>
      <c r="AU482" s="12"/>
      <c r="AV482" s="12"/>
      <c r="AW482" s="12"/>
      <c r="AX482" s="13"/>
      <c r="AY482" s="12"/>
      <c r="AZ482" s="12" t="str">
        <f>IF(AND(A482="",B482="",E482="",G482="",I482="",AV482="",AX482=""),"",IF(OR(B482="skip",AV482="skip"),"SKIP",IF(OR(B482="to_candidate",AV482="proposed_name"),IF(OR(A482="",AW482="",AX482="",COUNTIF($A$6:$A$505,A482)&gt;1),"REVIEW","TO_PROPOSED"),IF(OR(B482="",A482="",E482="",G482="",I482="",U482="",AV482="",COUNTIF($A$6:$A$505,A482)&gt;1,(COUNTIFS('أرقام التواصل'!$A$6:$A$505,"client",'أرقام التواصل'!$B$6:$B$505,A482,'أرقام التواصل'!$I$6:$I$505,"TRUE")+COUNTIFS('أرقام التواصل'!$A$6:$A$505,"client",'أرقام التواصل'!$B$6:$B$505,A482,'أرقام التواصل'!$C$6:$C$505,1))=0),"REVIEW","READY"))))</f>
        <v/>
      </c>
      <c r="BA482" s="16" t="str">
        <f>IF(AZ482="","",IF(OR(AZ482="READY",AZ482="TO_PROPOSED"),"",IF(AZ482="SKIP","Skipped by decision",TRIM(IF(B482="","missing import_action; ","")&amp;IF(A482="","missing migration_customer_key; ","")&amp;IF(AND(A482&lt;&gt;"",COUNTIF($A$6:$A$505,A482)&gt;1),"duplicate migration_customer_key; ","")&amp;IF(AND(NOT(OR(B482="to_candidate",AV482="proposed_name")),E482=""),"missing branch_id; ","")&amp;IF(AND(NOT(OR(B482="to_candidate",AV482="proposed_name")),G482=""),"missing first_name; ","")&amp;IF(AND(NOT(OR(B482="to_candidate",AV482="proposed_name")),I482=""),"missing last_name; ","")&amp;IF(AND(NOT(OR(B482="to_candidate",AV482="proposed_name")),U482=""),"missing final_geo_unit_id; ","")&amp;IF(AV482="","missing final_destination; ","")&amp;IF(AND(NOT(OR(B482="to_candidate",AV482="proposed_name")),(COUNTIFS('أرقام التواصل'!$A$6:$A$505,"client",'أرقام التواصل'!$B$6:$B$505,A482,'أرقام التواصل'!$I$6:$I$505,"TRUE")+COUNTIFS('أرقام التواصل'!$A$6:$A$505,"client",'أرقام التواصل'!$B$6:$B$505,A482,'أرقام التواصل'!$C$6:$C$505,1))=0),"missing primary contact in أرقام التواصل; ","")&amp;IF(OR(B482="to_candidate",AV482="proposed_name"),IF(AW482="","missing proposed_move_reason; ","")&amp;IF(AX482="","missing proposed_name_key; ",""),"")))))</f>
        <v/>
      </c>
    </row>
    <row r="483" spans="1:53">
      <c r="A483" s="11"/>
      <c r="B483" s="12"/>
      <c r="C483" s="13"/>
      <c r="D483" s="12"/>
      <c r="E483" s="12"/>
      <c r="F483" s="12"/>
      <c r="G483" s="12"/>
      <c r="H483" s="12"/>
      <c r="I483" s="12"/>
      <c r="J483" s="12"/>
      <c r="K483" s="12" t="str">
        <f t="shared" si="13"/>
        <v/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 t="str">
        <f t="shared" si="14"/>
        <v/>
      </c>
      <c r="V483" s="12"/>
      <c r="W483" s="14"/>
      <c r="X483" s="14"/>
      <c r="Y483" s="13"/>
      <c r="Z483" s="12"/>
      <c r="AA483" s="12"/>
      <c r="AB483" s="12"/>
      <c r="AC483" s="12"/>
      <c r="AD483" s="15"/>
      <c r="AE483" s="12"/>
      <c r="AF483" s="13"/>
      <c r="AG483" s="12"/>
      <c r="AH483" s="12"/>
      <c r="AI483" s="15"/>
      <c r="AJ483" s="12"/>
      <c r="AK483" s="12"/>
      <c r="AL483" s="12"/>
      <c r="AM483" s="12"/>
      <c r="AN483" s="12"/>
      <c r="AO483" s="12"/>
      <c r="AP483" s="12"/>
      <c r="AQ483" s="15"/>
      <c r="AR483" s="12"/>
      <c r="AS483" s="12"/>
      <c r="AT483" s="12"/>
      <c r="AU483" s="12"/>
      <c r="AV483" s="12"/>
      <c r="AW483" s="12"/>
      <c r="AX483" s="13"/>
      <c r="AY483" s="12"/>
      <c r="AZ483" s="12" t="str">
        <f>IF(AND(A483="",B483="",E483="",G483="",I483="",AV483="",AX483=""),"",IF(OR(B483="skip",AV483="skip"),"SKIP",IF(OR(B483="to_candidate",AV483="proposed_name"),IF(OR(A483="",AW483="",AX483="",COUNTIF($A$6:$A$505,A483)&gt;1),"REVIEW","TO_PROPOSED"),IF(OR(B483="",A483="",E483="",G483="",I483="",U483="",AV483="",COUNTIF($A$6:$A$505,A483)&gt;1,(COUNTIFS('أرقام التواصل'!$A$6:$A$505,"client",'أرقام التواصل'!$B$6:$B$505,A483,'أرقام التواصل'!$I$6:$I$505,"TRUE")+COUNTIFS('أرقام التواصل'!$A$6:$A$505,"client",'أرقام التواصل'!$B$6:$B$505,A483,'أرقام التواصل'!$C$6:$C$505,1))=0),"REVIEW","READY"))))</f>
        <v/>
      </c>
      <c r="BA483" s="16" t="str">
        <f>IF(AZ483="","",IF(OR(AZ483="READY",AZ483="TO_PROPOSED"),"",IF(AZ483="SKIP","Skipped by decision",TRIM(IF(B483="","missing import_action; ","")&amp;IF(A483="","missing migration_customer_key; ","")&amp;IF(AND(A483&lt;&gt;"",COUNTIF($A$6:$A$505,A483)&gt;1),"duplicate migration_customer_key; ","")&amp;IF(AND(NOT(OR(B483="to_candidate",AV483="proposed_name")),E483=""),"missing branch_id; ","")&amp;IF(AND(NOT(OR(B483="to_candidate",AV483="proposed_name")),G483=""),"missing first_name; ","")&amp;IF(AND(NOT(OR(B483="to_candidate",AV483="proposed_name")),I483=""),"missing last_name; ","")&amp;IF(AND(NOT(OR(B483="to_candidate",AV483="proposed_name")),U483=""),"missing final_geo_unit_id; ","")&amp;IF(AV483="","missing final_destination; ","")&amp;IF(AND(NOT(OR(B483="to_candidate",AV483="proposed_name")),(COUNTIFS('أرقام التواصل'!$A$6:$A$505,"client",'أرقام التواصل'!$B$6:$B$505,A483,'أرقام التواصل'!$I$6:$I$505,"TRUE")+COUNTIFS('أرقام التواصل'!$A$6:$A$505,"client",'أرقام التواصل'!$B$6:$B$505,A483,'أرقام التواصل'!$C$6:$C$505,1))=0),"missing primary contact in أرقام التواصل; ","")&amp;IF(OR(B483="to_candidate",AV483="proposed_name"),IF(AW483="","missing proposed_move_reason; ","")&amp;IF(AX483="","missing proposed_name_key; ",""),"")))))</f>
        <v/>
      </c>
    </row>
    <row r="484" spans="1:53">
      <c r="A484" s="11"/>
      <c r="B484" s="12"/>
      <c r="C484" s="13"/>
      <c r="D484" s="12"/>
      <c r="E484" s="12"/>
      <c r="F484" s="12"/>
      <c r="G484" s="12"/>
      <c r="H484" s="12"/>
      <c r="I484" s="12"/>
      <c r="J484" s="12"/>
      <c r="K484" s="12" t="str">
        <f t="shared" si="13"/>
        <v/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 t="str">
        <f t="shared" si="14"/>
        <v/>
      </c>
      <c r="V484" s="12"/>
      <c r="W484" s="14"/>
      <c r="X484" s="14"/>
      <c r="Y484" s="13"/>
      <c r="Z484" s="12"/>
      <c r="AA484" s="12"/>
      <c r="AB484" s="12"/>
      <c r="AC484" s="12"/>
      <c r="AD484" s="15"/>
      <c r="AE484" s="12"/>
      <c r="AF484" s="13"/>
      <c r="AG484" s="12"/>
      <c r="AH484" s="12"/>
      <c r="AI484" s="15"/>
      <c r="AJ484" s="12"/>
      <c r="AK484" s="12"/>
      <c r="AL484" s="12"/>
      <c r="AM484" s="12"/>
      <c r="AN484" s="12"/>
      <c r="AO484" s="12"/>
      <c r="AP484" s="12"/>
      <c r="AQ484" s="15"/>
      <c r="AR484" s="12"/>
      <c r="AS484" s="12"/>
      <c r="AT484" s="12"/>
      <c r="AU484" s="12"/>
      <c r="AV484" s="12"/>
      <c r="AW484" s="12"/>
      <c r="AX484" s="13"/>
      <c r="AY484" s="12"/>
      <c r="AZ484" s="12" t="str">
        <f>IF(AND(A484="",B484="",E484="",G484="",I484="",AV484="",AX484=""),"",IF(OR(B484="skip",AV484="skip"),"SKIP",IF(OR(B484="to_candidate",AV484="proposed_name"),IF(OR(A484="",AW484="",AX484="",COUNTIF($A$6:$A$505,A484)&gt;1),"REVIEW","TO_PROPOSED"),IF(OR(B484="",A484="",E484="",G484="",I484="",U484="",AV484="",COUNTIF($A$6:$A$505,A484)&gt;1,(COUNTIFS('أرقام التواصل'!$A$6:$A$505,"client",'أرقام التواصل'!$B$6:$B$505,A484,'أرقام التواصل'!$I$6:$I$505,"TRUE")+COUNTIFS('أرقام التواصل'!$A$6:$A$505,"client",'أرقام التواصل'!$B$6:$B$505,A484,'أرقام التواصل'!$C$6:$C$505,1))=0),"REVIEW","READY"))))</f>
        <v/>
      </c>
      <c r="BA484" s="16" t="str">
        <f>IF(AZ484="","",IF(OR(AZ484="READY",AZ484="TO_PROPOSED"),"",IF(AZ484="SKIP","Skipped by decision",TRIM(IF(B484="","missing import_action; ","")&amp;IF(A484="","missing migration_customer_key; ","")&amp;IF(AND(A484&lt;&gt;"",COUNTIF($A$6:$A$505,A484)&gt;1),"duplicate migration_customer_key; ","")&amp;IF(AND(NOT(OR(B484="to_candidate",AV484="proposed_name")),E484=""),"missing branch_id; ","")&amp;IF(AND(NOT(OR(B484="to_candidate",AV484="proposed_name")),G484=""),"missing first_name; ","")&amp;IF(AND(NOT(OR(B484="to_candidate",AV484="proposed_name")),I484=""),"missing last_name; ","")&amp;IF(AND(NOT(OR(B484="to_candidate",AV484="proposed_name")),U484=""),"missing final_geo_unit_id; ","")&amp;IF(AV484="","missing final_destination; ","")&amp;IF(AND(NOT(OR(B484="to_candidate",AV484="proposed_name")),(COUNTIFS('أرقام التواصل'!$A$6:$A$505,"client",'أرقام التواصل'!$B$6:$B$505,A484,'أرقام التواصل'!$I$6:$I$505,"TRUE")+COUNTIFS('أرقام التواصل'!$A$6:$A$505,"client",'أرقام التواصل'!$B$6:$B$505,A484,'أرقام التواصل'!$C$6:$C$505,1))=0),"missing primary contact in أرقام التواصل; ","")&amp;IF(OR(B484="to_candidate",AV484="proposed_name"),IF(AW484="","missing proposed_move_reason; ","")&amp;IF(AX484="","missing proposed_name_key; ",""),"")))))</f>
        <v/>
      </c>
    </row>
    <row r="485" spans="1:53">
      <c r="A485" s="11"/>
      <c r="B485" s="12"/>
      <c r="C485" s="13"/>
      <c r="D485" s="12"/>
      <c r="E485" s="12"/>
      <c r="F485" s="12"/>
      <c r="G485" s="12"/>
      <c r="H485" s="12"/>
      <c r="I485" s="12"/>
      <c r="J485" s="12"/>
      <c r="K485" s="12" t="str">
        <f t="shared" si="13"/>
        <v/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 t="str">
        <f t="shared" si="14"/>
        <v/>
      </c>
      <c r="V485" s="12"/>
      <c r="W485" s="14"/>
      <c r="X485" s="14"/>
      <c r="Y485" s="13"/>
      <c r="Z485" s="12"/>
      <c r="AA485" s="12"/>
      <c r="AB485" s="12"/>
      <c r="AC485" s="12"/>
      <c r="AD485" s="15"/>
      <c r="AE485" s="12"/>
      <c r="AF485" s="13"/>
      <c r="AG485" s="12"/>
      <c r="AH485" s="12"/>
      <c r="AI485" s="15"/>
      <c r="AJ485" s="12"/>
      <c r="AK485" s="12"/>
      <c r="AL485" s="12"/>
      <c r="AM485" s="12"/>
      <c r="AN485" s="12"/>
      <c r="AO485" s="12"/>
      <c r="AP485" s="12"/>
      <c r="AQ485" s="15"/>
      <c r="AR485" s="12"/>
      <c r="AS485" s="12"/>
      <c r="AT485" s="12"/>
      <c r="AU485" s="12"/>
      <c r="AV485" s="12"/>
      <c r="AW485" s="12"/>
      <c r="AX485" s="13"/>
      <c r="AY485" s="12"/>
      <c r="AZ485" s="12" t="str">
        <f>IF(AND(A485="",B485="",E485="",G485="",I485="",AV485="",AX485=""),"",IF(OR(B485="skip",AV485="skip"),"SKIP",IF(OR(B485="to_candidate",AV485="proposed_name"),IF(OR(A485="",AW485="",AX485="",COUNTIF($A$6:$A$505,A485)&gt;1),"REVIEW","TO_PROPOSED"),IF(OR(B485="",A485="",E485="",G485="",I485="",U485="",AV485="",COUNTIF($A$6:$A$505,A485)&gt;1,(COUNTIFS('أرقام التواصل'!$A$6:$A$505,"client",'أرقام التواصل'!$B$6:$B$505,A485,'أرقام التواصل'!$I$6:$I$505,"TRUE")+COUNTIFS('أرقام التواصل'!$A$6:$A$505,"client",'أرقام التواصل'!$B$6:$B$505,A485,'أرقام التواصل'!$C$6:$C$505,1))=0),"REVIEW","READY"))))</f>
        <v/>
      </c>
      <c r="BA485" s="16" t="str">
        <f>IF(AZ485="","",IF(OR(AZ485="READY",AZ485="TO_PROPOSED"),"",IF(AZ485="SKIP","Skipped by decision",TRIM(IF(B485="","missing import_action; ","")&amp;IF(A485="","missing migration_customer_key; ","")&amp;IF(AND(A485&lt;&gt;"",COUNTIF($A$6:$A$505,A485)&gt;1),"duplicate migration_customer_key; ","")&amp;IF(AND(NOT(OR(B485="to_candidate",AV485="proposed_name")),E485=""),"missing branch_id; ","")&amp;IF(AND(NOT(OR(B485="to_candidate",AV485="proposed_name")),G485=""),"missing first_name; ","")&amp;IF(AND(NOT(OR(B485="to_candidate",AV485="proposed_name")),I485=""),"missing last_name; ","")&amp;IF(AND(NOT(OR(B485="to_candidate",AV485="proposed_name")),U485=""),"missing final_geo_unit_id; ","")&amp;IF(AV485="","missing final_destination; ","")&amp;IF(AND(NOT(OR(B485="to_candidate",AV485="proposed_name")),(COUNTIFS('أرقام التواصل'!$A$6:$A$505,"client",'أرقام التواصل'!$B$6:$B$505,A485,'أرقام التواصل'!$I$6:$I$505,"TRUE")+COUNTIFS('أرقام التواصل'!$A$6:$A$505,"client",'أرقام التواصل'!$B$6:$B$505,A485,'أرقام التواصل'!$C$6:$C$505,1))=0),"missing primary contact in أرقام التواصل; ","")&amp;IF(OR(B485="to_candidate",AV485="proposed_name"),IF(AW485="","missing proposed_move_reason; ","")&amp;IF(AX485="","missing proposed_name_key; ",""),"")))))</f>
        <v/>
      </c>
    </row>
    <row r="486" spans="1:53">
      <c r="A486" s="11"/>
      <c r="B486" s="12"/>
      <c r="C486" s="13"/>
      <c r="D486" s="12"/>
      <c r="E486" s="12"/>
      <c r="F486" s="12"/>
      <c r="G486" s="12"/>
      <c r="H486" s="12"/>
      <c r="I486" s="12"/>
      <c r="J486" s="12"/>
      <c r="K486" s="12" t="str">
        <f t="shared" si="13"/>
        <v/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 t="str">
        <f t="shared" si="14"/>
        <v/>
      </c>
      <c r="V486" s="12"/>
      <c r="W486" s="14"/>
      <c r="X486" s="14"/>
      <c r="Y486" s="13"/>
      <c r="Z486" s="12"/>
      <c r="AA486" s="12"/>
      <c r="AB486" s="12"/>
      <c r="AC486" s="12"/>
      <c r="AD486" s="15"/>
      <c r="AE486" s="12"/>
      <c r="AF486" s="13"/>
      <c r="AG486" s="12"/>
      <c r="AH486" s="12"/>
      <c r="AI486" s="15"/>
      <c r="AJ486" s="12"/>
      <c r="AK486" s="12"/>
      <c r="AL486" s="12"/>
      <c r="AM486" s="12"/>
      <c r="AN486" s="12"/>
      <c r="AO486" s="12"/>
      <c r="AP486" s="12"/>
      <c r="AQ486" s="15"/>
      <c r="AR486" s="12"/>
      <c r="AS486" s="12"/>
      <c r="AT486" s="12"/>
      <c r="AU486" s="12"/>
      <c r="AV486" s="12"/>
      <c r="AW486" s="12"/>
      <c r="AX486" s="13"/>
      <c r="AY486" s="12"/>
      <c r="AZ486" s="12" t="str">
        <f>IF(AND(A486="",B486="",E486="",G486="",I486="",AV486="",AX486=""),"",IF(OR(B486="skip",AV486="skip"),"SKIP",IF(OR(B486="to_candidate",AV486="proposed_name"),IF(OR(A486="",AW486="",AX486="",COUNTIF($A$6:$A$505,A486)&gt;1),"REVIEW","TO_PROPOSED"),IF(OR(B486="",A486="",E486="",G486="",I486="",U486="",AV486="",COUNTIF($A$6:$A$505,A486)&gt;1,(COUNTIFS('أرقام التواصل'!$A$6:$A$505,"client",'أرقام التواصل'!$B$6:$B$505,A486,'أرقام التواصل'!$I$6:$I$505,"TRUE")+COUNTIFS('أرقام التواصل'!$A$6:$A$505,"client",'أرقام التواصل'!$B$6:$B$505,A486,'أرقام التواصل'!$C$6:$C$505,1))=0),"REVIEW","READY"))))</f>
        <v/>
      </c>
      <c r="BA486" s="16" t="str">
        <f>IF(AZ486="","",IF(OR(AZ486="READY",AZ486="TO_PROPOSED"),"",IF(AZ486="SKIP","Skipped by decision",TRIM(IF(B486="","missing import_action; ","")&amp;IF(A486="","missing migration_customer_key; ","")&amp;IF(AND(A486&lt;&gt;"",COUNTIF($A$6:$A$505,A486)&gt;1),"duplicate migration_customer_key; ","")&amp;IF(AND(NOT(OR(B486="to_candidate",AV486="proposed_name")),E486=""),"missing branch_id; ","")&amp;IF(AND(NOT(OR(B486="to_candidate",AV486="proposed_name")),G486=""),"missing first_name; ","")&amp;IF(AND(NOT(OR(B486="to_candidate",AV486="proposed_name")),I486=""),"missing last_name; ","")&amp;IF(AND(NOT(OR(B486="to_candidate",AV486="proposed_name")),U486=""),"missing final_geo_unit_id; ","")&amp;IF(AV486="","missing final_destination; ","")&amp;IF(AND(NOT(OR(B486="to_candidate",AV486="proposed_name")),(COUNTIFS('أرقام التواصل'!$A$6:$A$505,"client",'أرقام التواصل'!$B$6:$B$505,A486,'أرقام التواصل'!$I$6:$I$505,"TRUE")+COUNTIFS('أرقام التواصل'!$A$6:$A$505,"client",'أرقام التواصل'!$B$6:$B$505,A486,'أرقام التواصل'!$C$6:$C$505,1))=0),"missing primary contact in أرقام التواصل; ","")&amp;IF(OR(B486="to_candidate",AV486="proposed_name"),IF(AW486="","missing proposed_move_reason; ","")&amp;IF(AX486="","missing proposed_name_key; ",""),"")))))</f>
        <v/>
      </c>
    </row>
    <row r="487" spans="1:53">
      <c r="A487" s="11"/>
      <c r="B487" s="12"/>
      <c r="C487" s="13"/>
      <c r="D487" s="12"/>
      <c r="E487" s="12"/>
      <c r="F487" s="12"/>
      <c r="G487" s="12"/>
      <c r="H487" s="12"/>
      <c r="I487" s="12"/>
      <c r="J487" s="12"/>
      <c r="K487" s="12" t="str">
        <f t="shared" si="13"/>
        <v/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 t="str">
        <f t="shared" si="14"/>
        <v/>
      </c>
      <c r="V487" s="12"/>
      <c r="W487" s="14"/>
      <c r="X487" s="14"/>
      <c r="Y487" s="13"/>
      <c r="Z487" s="12"/>
      <c r="AA487" s="12"/>
      <c r="AB487" s="12"/>
      <c r="AC487" s="12"/>
      <c r="AD487" s="15"/>
      <c r="AE487" s="12"/>
      <c r="AF487" s="13"/>
      <c r="AG487" s="12"/>
      <c r="AH487" s="12"/>
      <c r="AI487" s="15"/>
      <c r="AJ487" s="12"/>
      <c r="AK487" s="12"/>
      <c r="AL487" s="12"/>
      <c r="AM487" s="12"/>
      <c r="AN487" s="12"/>
      <c r="AO487" s="12"/>
      <c r="AP487" s="12"/>
      <c r="AQ487" s="15"/>
      <c r="AR487" s="12"/>
      <c r="AS487" s="12"/>
      <c r="AT487" s="12"/>
      <c r="AU487" s="12"/>
      <c r="AV487" s="12"/>
      <c r="AW487" s="12"/>
      <c r="AX487" s="13"/>
      <c r="AY487" s="12"/>
      <c r="AZ487" s="12" t="str">
        <f>IF(AND(A487="",B487="",E487="",G487="",I487="",AV487="",AX487=""),"",IF(OR(B487="skip",AV487="skip"),"SKIP",IF(OR(B487="to_candidate",AV487="proposed_name"),IF(OR(A487="",AW487="",AX487="",COUNTIF($A$6:$A$505,A487)&gt;1),"REVIEW","TO_PROPOSED"),IF(OR(B487="",A487="",E487="",G487="",I487="",U487="",AV487="",COUNTIF($A$6:$A$505,A487)&gt;1,(COUNTIFS('أرقام التواصل'!$A$6:$A$505,"client",'أرقام التواصل'!$B$6:$B$505,A487,'أرقام التواصل'!$I$6:$I$505,"TRUE")+COUNTIFS('أرقام التواصل'!$A$6:$A$505,"client",'أرقام التواصل'!$B$6:$B$505,A487,'أرقام التواصل'!$C$6:$C$505,1))=0),"REVIEW","READY"))))</f>
        <v/>
      </c>
      <c r="BA487" s="16" t="str">
        <f>IF(AZ487="","",IF(OR(AZ487="READY",AZ487="TO_PROPOSED"),"",IF(AZ487="SKIP","Skipped by decision",TRIM(IF(B487="","missing import_action; ","")&amp;IF(A487="","missing migration_customer_key; ","")&amp;IF(AND(A487&lt;&gt;"",COUNTIF($A$6:$A$505,A487)&gt;1),"duplicate migration_customer_key; ","")&amp;IF(AND(NOT(OR(B487="to_candidate",AV487="proposed_name")),E487=""),"missing branch_id; ","")&amp;IF(AND(NOT(OR(B487="to_candidate",AV487="proposed_name")),G487=""),"missing first_name; ","")&amp;IF(AND(NOT(OR(B487="to_candidate",AV487="proposed_name")),I487=""),"missing last_name; ","")&amp;IF(AND(NOT(OR(B487="to_candidate",AV487="proposed_name")),U487=""),"missing final_geo_unit_id; ","")&amp;IF(AV487="","missing final_destination; ","")&amp;IF(AND(NOT(OR(B487="to_candidate",AV487="proposed_name")),(COUNTIFS('أرقام التواصل'!$A$6:$A$505,"client",'أرقام التواصل'!$B$6:$B$505,A487,'أرقام التواصل'!$I$6:$I$505,"TRUE")+COUNTIFS('أرقام التواصل'!$A$6:$A$505,"client",'أرقام التواصل'!$B$6:$B$505,A487,'أرقام التواصل'!$C$6:$C$505,1))=0),"missing primary contact in أرقام التواصل; ","")&amp;IF(OR(B487="to_candidate",AV487="proposed_name"),IF(AW487="","missing proposed_move_reason; ","")&amp;IF(AX487="","missing proposed_name_key; ",""),"")))))</f>
        <v/>
      </c>
    </row>
    <row r="488" spans="1:53">
      <c r="A488" s="11"/>
      <c r="B488" s="12"/>
      <c r="C488" s="13"/>
      <c r="D488" s="12"/>
      <c r="E488" s="12"/>
      <c r="F488" s="12"/>
      <c r="G488" s="12"/>
      <c r="H488" s="12"/>
      <c r="I488" s="12"/>
      <c r="J488" s="12"/>
      <c r="K488" s="12" t="str">
        <f t="shared" si="13"/>
        <v/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 t="str">
        <f t="shared" si="14"/>
        <v/>
      </c>
      <c r="V488" s="12"/>
      <c r="W488" s="14"/>
      <c r="X488" s="14"/>
      <c r="Y488" s="13"/>
      <c r="Z488" s="12"/>
      <c r="AA488" s="12"/>
      <c r="AB488" s="12"/>
      <c r="AC488" s="12"/>
      <c r="AD488" s="15"/>
      <c r="AE488" s="12"/>
      <c r="AF488" s="13"/>
      <c r="AG488" s="12"/>
      <c r="AH488" s="12"/>
      <c r="AI488" s="15"/>
      <c r="AJ488" s="12"/>
      <c r="AK488" s="12"/>
      <c r="AL488" s="12"/>
      <c r="AM488" s="12"/>
      <c r="AN488" s="12"/>
      <c r="AO488" s="12"/>
      <c r="AP488" s="12"/>
      <c r="AQ488" s="15"/>
      <c r="AR488" s="12"/>
      <c r="AS488" s="12"/>
      <c r="AT488" s="12"/>
      <c r="AU488" s="12"/>
      <c r="AV488" s="12"/>
      <c r="AW488" s="12"/>
      <c r="AX488" s="13"/>
      <c r="AY488" s="12"/>
      <c r="AZ488" s="12" t="str">
        <f>IF(AND(A488="",B488="",E488="",G488="",I488="",AV488="",AX488=""),"",IF(OR(B488="skip",AV488="skip"),"SKIP",IF(OR(B488="to_candidate",AV488="proposed_name"),IF(OR(A488="",AW488="",AX488="",COUNTIF($A$6:$A$505,A488)&gt;1),"REVIEW","TO_PROPOSED"),IF(OR(B488="",A488="",E488="",G488="",I488="",U488="",AV488="",COUNTIF($A$6:$A$505,A488)&gt;1,(COUNTIFS('أرقام التواصل'!$A$6:$A$505,"client",'أرقام التواصل'!$B$6:$B$505,A488,'أرقام التواصل'!$I$6:$I$505,"TRUE")+COUNTIFS('أرقام التواصل'!$A$6:$A$505,"client",'أرقام التواصل'!$B$6:$B$505,A488,'أرقام التواصل'!$C$6:$C$505,1))=0),"REVIEW","READY"))))</f>
        <v/>
      </c>
      <c r="BA488" s="16" t="str">
        <f>IF(AZ488="","",IF(OR(AZ488="READY",AZ488="TO_PROPOSED"),"",IF(AZ488="SKIP","Skipped by decision",TRIM(IF(B488="","missing import_action; ","")&amp;IF(A488="","missing migration_customer_key; ","")&amp;IF(AND(A488&lt;&gt;"",COUNTIF($A$6:$A$505,A488)&gt;1),"duplicate migration_customer_key; ","")&amp;IF(AND(NOT(OR(B488="to_candidate",AV488="proposed_name")),E488=""),"missing branch_id; ","")&amp;IF(AND(NOT(OR(B488="to_candidate",AV488="proposed_name")),G488=""),"missing first_name; ","")&amp;IF(AND(NOT(OR(B488="to_candidate",AV488="proposed_name")),I488=""),"missing last_name; ","")&amp;IF(AND(NOT(OR(B488="to_candidate",AV488="proposed_name")),U488=""),"missing final_geo_unit_id; ","")&amp;IF(AV488="","missing final_destination; ","")&amp;IF(AND(NOT(OR(B488="to_candidate",AV488="proposed_name")),(COUNTIFS('أرقام التواصل'!$A$6:$A$505,"client",'أرقام التواصل'!$B$6:$B$505,A488,'أرقام التواصل'!$I$6:$I$505,"TRUE")+COUNTIFS('أرقام التواصل'!$A$6:$A$505,"client",'أرقام التواصل'!$B$6:$B$505,A488,'أرقام التواصل'!$C$6:$C$505,1))=0),"missing primary contact in أرقام التواصل; ","")&amp;IF(OR(B488="to_candidate",AV488="proposed_name"),IF(AW488="","missing proposed_move_reason; ","")&amp;IF(AX488="","missing proposed_name_key; ",""),"")))))</f>
        <v/>
      </c>
    </row>
    <row r="489" spans="1:53">
      <c r="A489" s="11"/>
      <c r="B489" s="12"/>
      <c r="C489" s="13"/>
      <c r="D489" s="12"/>
      <c r="E489" s="12"/>
      <c r="F489" s="12"/>
      <c r="G489" s="12"/>
      <c r="H489" s="12"/>
      <c r="I489" s="12"/>
      <c r="J489" s="12"/>
      <c r="K489" s="12" t="str">
        <f t="shared" si="13"/>
        <v/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 t="str">
        <f t="shared" si="14"/>
        <v/>
      </c>
      <c r="V489" s="12"/>
      <c r="W489" s="14"/>
      <c r="X489" s="14"/>
      <c r="Y489" s="13"/>
      <c r="Z489" s="12"/>
      <c r="AA489" s="12"/>
      <c r="AB489" s="12"/>
      <c r="AC489" s="12"/>
      <c r="AD489" s="15"/>
      <c r="AE489" s="12"/>
      <c r="AF489" s="13"/>
      <c r="AG489" s="12"/>
      <c r="AH489" s="12"/>
      <c r="AI489" s="15"/>
      <c r="AJ489" s="12"/>
      <c r="AK489" s="12"/>
      <c r="AL489" s="12"/>
      <c r="AM489" s="12"/>
      <c r="AN489" s="12"/>
      <c r="AO489" s="12"/>
      <c r="AP489" s="12"/>
      <c r="AQ489" s="15"/>
      <c r="AR489" s="12"/>
      <c r="AS489" s="12"/>
      <c r="AT489" s="12"/>
      <c r="AU489" s="12"/>
      <c r="AV489" s="12"/>
      <c r="AW489" s="12"/>
      <c r="AX489" s="13"/>
      <c r="AY489" s="12"/>
      <c r="AZ489" s="12" t="str">
        <f>IF(AND(A489="",B489="",E489="",G489="",I489="",AV489="",AX489=""),"",IF(OR(B489="skip",AV489="skip"),"SKIP",IF(OR(B489="to_candidate",AV489="proposed_name"),IF(OR(A489="",AW489="",AX489="",COUNTIF($A$6:$A$505,A489)&gt;1),"REVIEW","TO_PROPOSED"),IF(OR(B489="",A489="",E489="",G489="",I489="",U489="",AV489="",COUNTIF($A$6:$A$505,A489)&gt;1,(COUNTIFS('أرقام التواصل'!$A$6:$A$505,"client",'أرقام التواصل'!$B$6:$B$505,A489,'أرقام التواصل'!$I$6:$I$505,"TRUE")+COUNTIFS('أرقام التواصل'!$A$6:$A$505,"client",'أرقام التواصل'!$B$6:$B$505,A489,'أرقام التواصل'!$C$6:$C$505,1))=0),"REVIEW","READY"))))</f>
        <v/>
      </c>
      <c r="BA489" s="16" t="str">
        <f>IF(AZ489="","",IF(OR(AZ489="READY",AZ489="TO_PROPOSED"),"",IF(AZ489="SKIP","Skipped by decision",TRIM(IF(B489="","missing import_action; ","")&amp;IF(A489="","missing migration_customer_key; ","")&amp;IF(AND(A489&lt;&gt;"",COUNTIF($A$6:$A$505,A489)&gt;1),"duplicate migration_customer_key; ","")&amp;IF(AND(NOT(OR(B489="to_candidate",AV489="proposed_name")),E489=""),"missing branch_id; ","")&amp;IF(AND(NOT(OR(B489="to_candidate",AV489="proposed_name")),G489=""),"missing first_name; ","")&amp;IF(AND(NOT(OR(B489="to_candidate",AV489="proposed_name")),I489=""),"missing last_name; ","")&amp;IF(AND(NOT(OR(B489="to_candidate",AV489="proposed_name")),U489=""),"missing final_geo_unit_id; ","")&amp;IF(AV489="","missing final_destination; ","")&amp;IF(AND(NOT(OR(B489="to_candidate",AV489="proposed_name")),(COUNTIFS('أرقام التواصل'!$A$6:$A$505,"client",'أرقام التواصل'!$B$6:$B$505,A489,'أرقام التواصل'!$I$6:$I$505,"TRUE")+COUNTIFS('أرقام التواصل'!$A$6:$A$505,"client",'أرقام التواصل'!$B$6:$B$505,A489,'أرقام التواصل'!$C$6:$C$505,1))=0),"missing primary contact in أرقام التواصل; ","")&amp;IF(OR(B489="to_candidate",AV489="proposed_name"),IF(AW489="","missing proposed_move_reason; ","")&amp;IF(AX489="","missing proposed_name_key; ",""),"")))))</f>
        <v/>
      </c>
    </row>
    <row r="490" spans="1:53">
      <c r="A490" s="11"/>
      <c r="B490" s="12"/>
      <c r="C490" s="13"/>
      <c r="D490" s="12"/>
      <c r="E490" s="12"/>
      <c r="F490" s="12"/>
      <c r="G490" s="12"/>
      <c r="H490" s="12"/>
      <c r="I490" s="12"/>
      <c r="J490" s="12"/>
      <c r="K490" s="12" t="str">
        <f t="shared" si="13"/>
        <v/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 t="str">
        <f t="shared" si="14"/>
        <v/>
      </c>
      <c r="V490" s="12"/>
      <c r="W490" s="14"/>
      <c r="X490" s="14"/>
      <c r="Y490" s="13"/>
      <c r="Z490" s="12"/>
      <c r="AA490" s="12"/>
      <c r="AB490" s="12"/>
      <c r="AC490" s="12"/>
      <c r="AD490" s="15"/>
      <c r="AE490" s="12"/>
      <c r="AF490" s="13"/>
      <c r="AG490" s="12"/>
      <c r="AH490" s="12"/>
      <c r="AI490" s="15"/>
      <c r="AJ490" s="12"/>
      <c r="AK490" s="12"/>
      <c r="AL490" s="12"/>
      <c r="AM490" s="12"/>
      <c r="AN490" s="12"/>
      <c r="AO490" s="12"/>
      <c r="AP490" s="12"/>
      <c r="AQ490" s="15"/>
      <c r="AR490" s="12"/>
      <c r="AS490" s="12"/>
      <c r="AT490" s="12"/>
      <c r="AU490" s="12"/>
      <c r="AV490" s="12"/>
      <c r="AW490" s="12"/>
      <c r="AX490" s="13"/>
      <c r="AY490" s="12"/>
      <c r="AZ490" s="12" t="str">
        <f>IF(AND(A490="",B490="",E490="",G490="",I490="",AV490="",AX490=""),"",IF(OR(B490="skip",AV490="skip"),"SKIP",IF(OR(B490="to_candidate",AV490="proposed_name"),IF(OR(A490="",AW490="",AX490="",COUNTIF($A$6:$A$505,A490)&gt;1),"REVIEW","TO_PROPOSED"),IF(OR(B490="",A490="",E490="",G490="",I490="",U490="",AV490="",COUNTIF($A$6:$A$505,A490)&gt;1,(COUNTIFS('أرقام التواصل'!$A$6:$A$505,"client",'أرقام التواصل'!$B$6:$B$505,A490,'أرقام التواصل'!$I$6:$I$505,"TRUE")+COUNTIFS('أرقام التواصل'!$A$6:$A$505,"client",'أرقام التواصل'!$B$6:$B$505,A490,'أرقام التواصل'!$C$6:$C$505,1))=0),"REVIEW","READY"))))</f>
        <v/>
      </c>
      <c r="BA490" s="16" t="str">
        <f>IF(AZ490="","",IF(OR(AZ490="READY",AZ490="TO_PROPOSED"),"",IF(AZ490="SKIP","Skipped by decision",TRIM(IF(B490="","missing import_action; ","")&amp;IF(A490="","missing migration_customer_key; ","")&amp;IF(AND(A490&lt;&gt;"",COUNTIF($A$6:$A$505,A490)&gt;1),"duplicate migration_customer_key; ","")&amp;IF(AND(NOT(OR(B490="to_candidate",AV490="proposed_name")),E490=""),"missing branch_id; ","")&amp;IF(AND(NOT(OR(B490="to_candidate",AV490="proposed_name")),G490=""),"missing first_name; ","")&amp;IF(AND(NOT(OR(B490="to_candidate",AV490="proposed_name")),I490=""),"missing last_name; ","")&amp;IF(AND(NOT(OR(B490="to_candidate",AV490="proposed_name")),U490=""),"missing final_geo_unit_id; ","")&amp;IF(AV490="","missing final_destination; ","")&amp;IF(AND(NOT(OR(B490="to_candidate",AV490="proposed_name")),(COUNTIFS('أرقام التواصل'!$A$6:$A$505,"client",'أرقام التواصل'!$B$6:$B$505,A490,'أرقام التواصل'!$I$6:$I$505,"TRUE")+COUNTIFS('أرقام التواصل'!$A$6:$A$505,"client",'أرقام التواصل'!$B$6:$B$505,A490,'أرقام التواصل'!$C$6:$C$505,1))=0),"missing primary contact in أرقام التواصل; ","")&amp;IF(OR(B490="to_candidate",AV490="proposed_name"),IF(AW490="","missing proposed_move_reason; ","")&amp;IF(AX490="","missing proposed_name_key; ",""),"")))))</f>
        <v/>
      </c>
    </row>
    <row r="491" spans="1:53">
      <c r="A491" s="11"/>
      <c r="B491" s="12"/>
      <c r="C491" s="13"/>
      <c r="D491" s="12"/>
      <c r="E491" s="12"/>
      <c r="F491" s="12"/>
      <c r="G491" s="12"/>
      <c r="H491" s="12"/>
      <c r="I491" s="12"/>
      <c r="J491" s="12"/>
      <c r="K491" s="12" t="str">
        <f t="shared" si="13"/>
        <v/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 t="str">
        <f t="shared" si="14"/>
        <v/>
      </c>
      <c r="V491" s="12"/>
      <c r="W491" s="14"/>
      <c r="X491" s="14"/>
      <c r="Y491" s="13"/>
      <c r="Z491" s="12"/>
      <c r="AA491" s="12"/>
      <c r="AB491" s="12"/>
      <c r="AC491" s="12"/>
      <c r="AD491" s="15"/>
      <c r="AE491" s="12"/>
      <c r="AF491" s="13"/>
      <c r="AG491" s="12"/>
      <c r="AH491" s="12"/>
      <c r="AI491" s="15"/>
      <c r="AJ491" s="12"/>
      <c r="AK491" s="12"/>
      <c r="AL491" s="12"/>
      <c r="AM491" s="12"/>
      <c r="AN491" s="12"/>
      <c r="AO491" s="12"/>
      <c r="AP491" s="12"/>
      <c r="AQ491" s="15"/>
      <c r="AR491" s="12"/>
      <c r="AS491" s="12"/>
      <c r="AT491" s="12"/>
      <c r="AU491" s="12"/>
      <c r="AV491" s="12"/>
      <c r="AW491" s="12"/>
      <c r="AX491" s="13"/>
      <c r="AY491" s="12"/>
      <c r="AZ491" s="12" t="str">
        <f>IF(AND(A491="",B491="",E491="",G491="",I491="",AV491="",AX491=""),"",IF(OR(B491="skip",AV491="skip"),"SKIP",IF(OR(B491="to_candidate",AV491="proposed_name"),IF(OR(A491="",AW491="",AX491="",COUNTIF($A$6:$A$505,A491)&gt;1),"REVIEW","TO_PROPOSED"),IF(OR(B491="",A491="",E491="",G491="",I491="",U491="",AV491="",COUNTIF($A$6:$A$505,A491)&gt;1,(COUNTIFS('أرقام التواصل'!$A$6:$A$505,"client",'أرقام التواصل'!$B$6:$B$505,A491,'أرقام التواصل'!$I$6:$I$505,"TRUE")+COUNTIFS('أرقام التواصل'!$A$6:$A$505,"client",'أرقام التواصل'!$B$6:$B$505,A491,'أرقام التواصل'!$C$6:$C$505,1))=0),"REVIEW","READY"))))</f>
        <v/>
      </c>
      <c r="BA491" s="16" t="str">
        <f>IF(AZ491="","",IF(OR(AZ491="READY",AZ491="TO_PROPOSED"),"",IF(AZ491="SKIP","Skipped by decision",TRIM(IF(B491="","missing import_action; ","")&amp;IF(A491="","missing migration_customer_key; ","")&amp;IF(AND(A491&lt;&gt;"",COUNTIF($A$6:$A$505,A491)&gt;1),"duplicate migration_customer_key; ","")&amp;IF(AND(NOT(OR(B491="to_candidate",AV491="proposed_name")),E491=""),"missing branch_id; ","")&amp;IF(AND(NOT(OR(B491="to_candidate",AV491="proposed_name")),G491=""),"missing first_name; ","")&amp;IF(AND(NOT(OR(B491="to_candidate",AV491="proposed_name")),I491=""),"missing last_name; ","")&amp;IF(AND(NOT(OR(B491="to_candidate",AV491="proposed_name")),U491=""),"missing final_geo_unit_id; ","")&amp;IF(AV491="","missing final_destination; ","")&amp;IF(AND(NOT(OR(B491="to_candidate",AV491="proposed_name")),(COUNTIFS('أرقام التواصل'!$A$6:$A$505,"client",'أرقام التواصل'!$B$6:$B$505,A491,'أرقام التواصل'!$I$6:$I$505,"TRUE")+COUNTIFS('أرقام التواصل'!$A$6:$A$505,"client",'أرقام التواصل'!$B$6:$B$505,A491,'أرقام التواصل'!$C$6:$C$505,1))=0),"missing primary contact in أرقام التواصل; ","")&amp;IF(OR(B491="to_candidate",AV491="proposed_name"),IF(AW491="","missing proposed_move_reason; ","")&amp;IF(AX491="","missing proposed_name_key; ",""),"")))))</f>
        <v/>
      </c>
    </row>
    <row r="492" spans="1:53">
      <c r="A492" s="11"/>
      <c r="B492" s="12"/>
      <c r="C492" s="13"/>
      <c r="D492" s="12"/>
      <c r="E492" s="12"/>
      <c r="F492" s="12"/>
      <c r="G492" s="12"/>
      <c r="H492" s="12"/>
      <c r="I492" s="12"/>
      <c r="J492" s="12"/>
      <c r="K492" s="12" t="str">
        <f t="shared" si="13"/>
        <v/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 t="str">
        <f t="shared" si="14"/>
        <v/>
      </c>
      <c r="V492" s="12"/>
      <c r="W492" s="14"/>
      <c r="X492" s="14"/>
      <c r="Y492" s="13"/>
      <c r="Z492" s="12"/>
      <c r="AA492" s="12"/>
      <c r="AB492" s="12"/>
      <c r="AC492" s="12"/>
      <c r="AD492" s="15"/>
      <c r="AE492" s="12"/>
      <c r="AF492" s="13"/>
      <c r="AG492" s="12"/>
      <c r="AH492" s="12"/>
      <c r="AI492" s="15"/>
      <c r="AJ492" s="12"/>
      <c r="AK492" s="12"/>
      <c r="AL492" s="12"/>
      <c r="AM492" s="12"/>
      <c r="AN492" s="12"/>
      <c r="AO492" s="12"/>
      <c r="AP492" s="12"/>
      <c r="AQ492" s="15"/>
      <c r="AR492" s="12"/>
      <c r="AS492" s="12"/>
      <c r="AT492" s="12"/>
      <c r="AU492" s="12"/>
      <c r="AV492" s="12"/>
      <c r="AW492" s="12"/>
      <c r="AX492" s="13"/>
      <c r="AY492" s="12"/>
      <c r="AZ492" s="12" t="str">
        <f>IF(AND(A492="",B492="",E492="",G492="",I492="",AV492="",AX492=""),"",IF(OR(B492="skip",AV492="skip"),"SKIP",IF(OR(B492="to_candidate",AV492="proposed_name"),IF(OR(A492="",AW492="",AX492="",COUNTIF($A$6:$A$505,A492)&gt;1),"REVIEW","TO_PROPOSED"),IF(OR(B492="",A492="",E492="",G492="",I492="",U492="",AV492="",COUNTIF($A$6:$A$505,A492)&gt;1,(COUNTIFS('أرقام التواصل'!$A$6:$A$505,"client",'أرقام التواصل'!$B$6:$B$505,A492,'أرقام التواصل'!$I$6:$I$505,"TRUE")+COUNTIFS('أرقام التواصل'!$A$6:$A$505,"client",'أرقام التواصل'!$B$6:$B$505,A492,'أرقام التواصل'!$C$6:$C$505,1))=0),"REVIEW","READY"))))</f>
        <v/>
      </c>
      <c r="BA492" s="16" t="str">
        <f>IF(AZ492="","",IF(OR(AZ492="READY",AZ492="TO_PROPOSED"),"",IF(AZ492="SKIP","Skipped by decision",TRIM(IF(B492="","missing import_action; ","")&amp;IF(A492="","missing migration_customer_key; ","")&amp;IF(AND(A492&lt;&gt;"",COUNTIF($A$6:$A$505,A492)&gt;1),"duplicate migration_customer_key; ","")&amp;IF(AND(NOT(OR(B492="to_candidate",AV492="proposed_name")),E492=""),"missing branch_id; ","")&amp;IF(AND(NOT(OR(B492="to_candidate",AV492="proposed_name")),G492=""),"missing first_name; ","")&amp;IF(AND(NOT(OR(B492="to_candidate",AV492="proposed_name")),I492=""),"missing last_name; ","")&amp;IF(AND(NOT(OR(B492="to_candidate",AV492="proposed_name")),U492=""),"missing final_geo_unit_id; ","")&amp;IF(AV492="","missing final_destination; ","")&amp;IF(AND(NOT(OR(B492="to_candidate",AV492="proposed_name")),(COUNTIFS('أرقام التواصل'!$A$6:$A$505,"client",'أرقام التواصل'!$B$6:$B$505,A492,'أرقام التواصل'!$I$6:$I$505,"TRUE")+COUNTIFS('أرقام التواصل'!$A$6:$A$505,"client",'أرقام التواصل'!$B$6:$B$505,A492,'أرقام التواصل'!$C$6:$C$505,1))=0),"missing primary contact in أرقام التواصل; ","")&amp;IF(OR(B492="to_candidate",AV492="proposed_name"),IF(AW492="","missing proposed_move_reason; ","")&amp;IF(AX492="","missing proposed_name_key; ",""),"")))))</f>
        <v/>
      </c>
    </row>
    <row r="493" spans="1:53">
      <c r="A493" s="11"/>
      <c r="B493" s="12"/>
      <c r="C493" s="13"/>
      <c r="D493" s="12"/>
      <c r="E493" s="12"/>
      <c r="F493" s="12"/>
      <c r="G493" s="12"/>
      <c r="H493" s="12"/>
      <c r="I493" s="12"/>
      <c r="J493" s="12"/>
      <c r="K493" s="12" t="str">
        <f t="shared" si="13"/>
        <v/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 t="str">
        <f t="shared" si="14"/>
        <v/>
      </c>
      <c r="V493" s="12"/>
      <c r="W493" s="14"/>
      <c r="X493" s="14"/>
      <c r="Y493" s="13"/>
      <c r="Z493" s="12"/>
      <c r="AA493" s="12"/>
      <c r="AB493" s="12"/>
      <c r="AC493" s="12"/>
      <c r="AD493" s="15"/>
      <c r="AE493" s="12"/>
      <c r="AF493" s="13"/>
      <c r="AG493" s="12"/>
      <c r="AH493" s="12"/>
      <c r="AI493" s="15"/>
      <c r="AJ493" s="12"/>
      <c r="AK493" s="12"/>
      <c r="AL493" s="12"/>
      <c r="AM493" s="12"/>
      <c r="AN493" s="12"/>
      <c r="AO493" s="12"/>
      <c r="AP493" s="12"/>
      <c r="AQ493" s="15"/>
      <c r="AR493" s="12"/>
      <c r="AS493" s="12"/>
      <c r="AT493" s="12"/>
      <c r="AU493" s="12"/>
      <c r="AV493" s="12"/>
      <c r="AW493" s="12"/>
      <c r="AX493" s="13"/>
      <c r="AY493" s="12"/>
      <c r="AZ493" s="12" t="str">
        <f>IF(AND(A493="",B493="",E493="",G493="",I493="",AV493="",AX493=""),"",IF(OR(B493="skip",AV493="skip"),"SKIP",IF(OR(B493="to_candidate",AV493="proposed_name"),IF(OR(A493="",AW493="",AX493="",COUNTIF($A$6:$A$505,A493)&gt;1),"REVIEW","TO_PROPOSED"),IF(OR(B493="",A493="",E493="",G493="",I493="",U493="",AV493="",COUNTIF($A$6:$A$505,A493)&gt;1,(COUNTIFS('أرقام التواصل'!$A$6:$A$505,"client",'أرقام التواصل'!$B$6:$B$505,A493,'أرقام التواصل'!$I$6:$I$505,"TRUE")+COUNTIFS('أرقام التواصل'!$A$6:$A$505,"client",'أرقام التواصل'!$B$6:$B$505,A493,'أرقام التواصل'!$C$6:$C$505,1))=0),"REVIEW","READY"))))</f>
        <v/>
      </c>
      <c r="BA493" s="16" t="str">
        <f>IF(AZ493="","",IF(OR(AZ493="READY",AZ493="TO_PROPOSED"),"",IF(AZ493="SKIP","Skipped by decision",TRIM(IF(B493="","missing import_action; ","")&amp;IF(A493="","missing migration_customer_key; ","")&amp;IF(AND(A493&lt;&gt;"",COUNTIF($A$6:$A$505,A493)&gt;1),"duplicate migration_customer_key; ","")&amp;IF(AND(NOT(OR(B493="to_candidate",AV493="proposed_name")),E493=""),"missing branch_id; ","")&amp;IF(AND(NOT(OR(B493="to_candidate",AV493="proposed_name")),G493=""),"missing first_name; ","")&amp;IF(AND(NOT(OR(B493="to_candidate",AV493="proposed_name")),I493=""),"missing last_name; ","")&amp;IF(AND(NOT(OR(B493="to_candidate",AV493="proposed_name")),U493=""),"missing final_geo_unit_id; ","")&amp;IF(AV493="","missing final_destination; ","")&amp;IF(AND(NOT(OR(B493="to_candidate",AV493="proposed_name")),(COUNTIFS('أرقام التواصل'!$A$6:$A$505,"client",'أرقام التواصل'!$B$6:$B$505,A493,'أرقام التواصل'!$I$6:$I$505,"TRUE")+COUNTIFS('أرقام التواصل'!$A$6:$A$505,"client",'أرقام التواصل'!$B$6:$B$505,A493,'أرقام التواصل'!$C$6:$C$505,1))=0),"missing primary contact in أرقام التواصل; ","")&amp;IF(OR(B493="to_candidate",AV493="proposed_name"),IF(AW493="","missing proposed_move_reason; ","")&amp;IF(AX493="","missing proposed_name_key; ",""),"")))))</f>
        <v/>
      </c>
    </row>
    <row r="494" spans="1:53">
      <c r="A494" s="11"/>
      <c r="B494" s="12"/>
      <c r="C494" s="13"/>
      <c r="D494" s="12"/>
      <c r="E494" s="12"/>
      <c r="F494" s="12"/>
      <c r="G494" s="12"/>
      <c r="H494" s="12"/>
      <c r="I494" s="12"/>
      <c r="J494" s="12"/>
      <c r="K494" s="12" t="str">
        <f t="shared" si="13"/>
        <v/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 t="str">
        <f t="shared" si="14"/>
        <v/>
      </c>
      <c r="V494" s="12"/>
      <c r="W494" s="14"/>
      <c r="X494" s="14"/>
      <c r="Y494" s="13"/>
      <c r="Z494" s="12"/>
      <c r="AA494" s="12"/>
      <c r="AB494" s="12"/>
      <c r="AC494" s="12"/>
      <c r="AD494" s="15"/>
      <c r="AE494" s="12"/>
      <c r="AF494" s="13"/>
      <c r="AG494" s="12"/>
      <c r="AH494" s="12"/>
      <c r="AI494" s="15"/>
      <c r="AJ494" s="12"/>
      <c r="AK494" s="12"/>
      <c r="AL494" s="12"/>
      <c r="AM494" s="12"/>
      <c r="AN494" s="12"/>
      <c r="AO494" s="12"/>
      <c r="AP494" s="12"/>
      <c r="AQ494" s="15"/>
      <c r="AR494" s="12"/>
      <c r="AS494" s="12"/>
      <c r="AT494" s="12"/>
      <c r="AU494" s="12"/>
      <c r="AV494" s="12"/>
      <c r="AW494" s="12"/>
      <c r="AX494" s="13"/>
      <c r="AY494" s="12"/>
      <c r="AZ494" s="12" t="str">
        <f>IF(AND(A494="",B494="",E494="",G494="",I494="",AV494="",AX494=""),"",IF(OR(B494="skip",AV494="skip"),"SKIP",IF(OR(B494="to_candidate",AV494="proposed_name"),IF(OR(A494="",AW494="",AX494="",COUNTIF($A$6:$A$505,A494)&gt;1),"REVIEW","TO_PROPOSED"),IF(OR(B494="",A494="",E494="",G494="",I494="",U494="",AV494="",COUNTIF($A$6:$A$505,A494)&gt;1,(COUNTIFS('أرقام التواصل'!$A$6:$A$505,"client",'أرقام التواصل'!$B$6:$B$505,A494,'أرقام التواصل'!$I$6:$I$505,"TRUE")+COUNTIFS('أرقام التواصل'!$A$6:$A$505,"client",'أرقام التواصل'!$B$6:$B$505,A494,'أرقام التواصل'!$C$6:$C$505,1))=0),"REVIEW","READY"))))</f>
        <v/>
      </c>
      <c r="BA494" s="16" t="str">
        <f>IF(AZ494="","",IF(OR(AZ494="READY",AZ494="TO_PROPOSED"),"",IF(AZ494="SKIP","Skipped by decision",TRIM(IF(B494="","missing import_action; ","")&amp;IF(A494="","missing migration_customer_key; ","")&amp;IF(AND(A494&lt;&gt;"",COUNTIF($A$6:$A$505,A494)&gt;1),"duplicate migration_customer_key; ","")&amp;IF(AND(NOT(OR(B494="to_candidate",AV494="proposed_name")),E494=""),"missing branch_id; ","")&amp;IF(AND(NOT(OR(B494="to_candidate",AV494="proposed_name")),G494=""),"missing first_name; ","")&amp;IF(AND(NOT(OR(B494="to_candidate",AV494="proposed_name")),I494=""),"missing last_name; ","")&amp;IF(AND(NOT(OR(B494="to_candidate",AV494="proposed_name")),U494=""),"missing final_geo_unit_id; ","")&amp;IF(AV494="","missing final_destination; ","")&amp;IF(AND(NOT(OR(B494="to_candidate",AV494="proposed_name")),(COUNTIFS('أرقام التواصل'!$A$6:$A$505,"client",'أرقام التواصل'!$B$6:$B$505,A494,'أرقام التواصل'!$I$6:$I$505,"TRUE")+COUNTIFS('أرقام التواصل'!$A$6:$A$505,"client",'أرقام التواصل'!$B$6:$B$505,A494,'أرقام التواصل'!$C$6:$C$505,1))=0),"missing primary contact in أرقام التواصل; ","")&amp;IF(OR(B494="to_candidate",AV494="proposed_name"),IF(AW494="","missing proposed_move_reason; ","")&amp;IF(AX494="","missing proposed_name_key; ",""),"")))))</f>
        <v/>
      </c>
    </row>
    <row r="495" spans="1:53">
      <c r="A495" s="11"/>
      <c r="B495" s="12"/>
      <c r="C495" s="13"/>
      <c r="D495" s="12"/>
      <c r="E495" s="12"/>
      <c r="F495" s="12"/>
      <c r="G495" s="12"/>
      <c r="H495" s="12"/>
      <c r="I495" s="12"/>
      <c r="J495" s="12"/>
      <c r="K495" s="12" t="str">
        <f t="shared" si="13"/>
        <v/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 t="str">
        <f t="shared" si="14"/>
        <v/>
      </c>
      <c r="V495" s="12"/>
      <c r="W495" s="14"/>
      <c r="X495" s="14"/>
      <c r="Y495" s="13"/>
      <c r="Z495" s="12"/>
      <c r="AA495" s="12"/>
      <c r="AB495" s="12"/>
      <c r="AC495" s="12"/>
      <c r="AD495" s="15"/>
      <c r="AE495" s="12"/>
      <c r="AF495" s="13"/>
      <c r="AG495" s="12"/>
      <c r="AH495" s="12"/>
      <c r="AI495" s="15"/>
      <c r="AJ495" s="12"/>
      <c r="AK495" s="12"/>
      <c r="AL495" s="12"/>
      <c r="AM495" s="12"/>
      <c r="AN495" s="12"/>
      <c r="AO495" s="12"/>
      <c r="AP495" s="12"/>
      <c r="AQ495" s="15"/>
      <c r="AR495" s="12"/>
      <c r="AS495" s="12"/>
      <c r="AT495" s="12"/>
      <c r="AU495" s="12"/>
      <c r="AV495" s="12"/>
      <c r="AW495" s="12"/>
      <c r="AX495" s="13"/>
      <c r="AY495" s="12"/>
      <c r="AZ495" s="12" t="str">
        <f>IF(AND(A495="",B495="",E495="",G495="",I495="",AV495="",AX495=""),"",IF(OR(B495="skip",AV495="skip"),"SKIP",IF(OR(B495="to_candidate",AV495="proposed_name"),IF(OR(A495="",AW495="",AX495="",COUNTIF($A$6:$A$505,A495)&gt;1),"REVIEW","TO_PROPOSED"),IF(OR(B495="",A495="",E495="",G495="",I495="",U495="",AV495="",COUNTIF($A$6:$A$505,A495)&gt;1,(COUNTIFS('أرقام التواصل'!$A$6:$A$505,"client",'أرقام التواصل'!$B$6:$B$505,A495,'أرقام التواصل'!$I$6:$I$505,"TRUE")+COUNTIFS('أرقام التواصل'!$A$6:$A$505,"client",'أرقام التواصل'!$B$6:$B$505,A495,'أرقام التواصل'!$C$6:$C$505,1))=0),"REVIEW","READY"))))</f>
        <v/>
      </c>
      <c r="BA495" s="16" t="str">
        <f>IF(AZ495="","",IF(OR(AZ495="READY",AZ495="TO_PROPOSED"),"",IF(AZ495="SKIP","Skipped by decision",TRIM(IF(B495="","missing import_action; ","")&amp;IF(A495="","missing migration_customer_key; ","")&amp;IF(AND(A495&lt;&gt;"",COUNTIF($A$6:$A$505,A495)&gt;1),"duplicate migration_customer_key; ","")&amp;IF(AND(NOT(OR(B495="to_candidate",AV495="proposed_name")),E495=""),"missing branch_id; ","")&amp;IF(AND(NOT(OR(B495="to_candidate",AV495="proposed_name")),G495=""),"missing first_name; ","")&amp;IF(AND(NOT(OR(B495="to_candidate",AV495="proposed_name")),I495=""),"missing last_name; ","")&amp;IF(AND(NOT(OR(B495="to_candidate",AV495="proposed_name")),U495=""),"missing final_geo_unit_id; ","")&amp;IF(AV495="","missing final_destination; ","")&amp;IF(AND(NOT(OR(B495="to_candidate",AV495="proposed_name")),(COUNTIFS('أرقام التواصل'!$A$6:$A$505,"client",'أرقام التواصل'!$B$6:$B$505,A495,'أرقام التواصل'!$I$6:$I$505,"TRUE")+COUNTIFS('أرقام التواصل'!$A$6:$A$505,"client",'أرقام التواصل'!$B$6:$B$505,A495,'أرقام التواصل'!$C$6:$C$505,1))=0),"missing primary contact in أرقام التواصل; ","")&amp;IF(OR(B495="to_candidate",AV495="proposed_name"),IF(AW495="","missing proposed_move_reason; ","")&amp;IF(AX495="","missing proposed_name_key; ",""),"")))))</f>
        <v/>
      </c>
    </row>
    <row r="496" spans="1:53">
      <c r="A496" s="11"/>
      <c r="B496" s="12"/>
      <c r="C496" s="13"/>
      <c r="D496" s="12"/>
      <c r="E496" s="12"/>
      <c r="F496" s="12"/>
      <c r="G496" s="12"/>
      <c r="H496" s="12"/>
      <c r="I496" s="12"/>
      <c r="J496" s="12"/>
      <c r="K496" s="12" t="str">
        <f t="shared" si="13"/>
        <v/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 t="str">
        <f t="shared" si="14"/>
        <v/>
      </c>
      <c r="V496" s="12"/>
      <c r="W496" s="14"/>
      <c r="X496" s="14"/>
      <c r="Y496" s="13"/>
      <c r="Z496" s="12"/>
      <c r="AA496" s="12"/>
      <c r="AB496" s="12"/>
      <c r="AC496" s="12"/>
      <c r="AD496" s="15"/>
      <c r="AE496" s="12"/>
      <c r="AF496" s="13"/>
      <c r="AG496" s="12"/>
      <c r="AH496" s="12"/>
      <c r="AI496" s="15"/>
      <c r="AJ496" s="12"/>
      <c r="AK496" s="12"/>
      <c r="AL496" s="12"/>
      <c r="AM496" s="12"/>
      <c r="AN496" s="12"/>
      <c r="AO496" s="12"/>
      <c r="AP496" s="12"/>
      <c r="AQ496" s="15"/>
      <c r="AR496" s="12"/>
      <c r="AS496" s="12"/>
      <c r="AT496" s="12"/>
      <c r="AU496" s="12"/>
      <c r="AV496" s="12"/>
      <c r="AW496" s="12"/>
      <c r="AX496" s="13"/>
      <c r="AY496" s="12"/>
      <c r="AZ496" s="12" t="str">
        <f>IF(AND(A496="",B496="",E496="",G496="",I496="",AV496="",AX496=""),"",IF(OR(B496="skip",AV496="skip"),"SKIP",IF(OR(B496="to_candidate",AV496="proposed_name"),IF(OR(A496="",AW496="",AX496="",COUNTIF($A$6:$A$505,A496)&gt;1),"REVIEW","TO_PROPOSED"),IF(OR(B496="",A496="",E496="",G496="",I496="",U496="",AV496="",COUNTIF($A$6:$A$505,A496)&gt;1,(COUNTIFS('أرقام التواصل'!$A$6:$A$505,"client",'أرقام التواصل'!$B$6:$B$505,A496,'أرقام التواصل'!$I$6:$I$505,"TRUE")+COUNTIFS('أرقام التواصل'!$A$6:$A$505,"client",'أرقام التواصل'!$B$6:$B$505,A496,'أرقام التواصل'!$C$6:$C$505,1))=0),"REVIEW","READY"))))</f>
        <v/>
      </c>
      <c r="BA496" s="16" t="str">
        <f>IF(AZ496="","",IF(OR(AZ496="READY",AZ496="TO_PROPOSED"),"",IF(AZ496="SKIP","Skipped by decision",TRIM(IF(B496="","missing import_action; ","")&amp;IF(A496="","missing migration_customer_key; ","")&amp;IF(AND(A496&lt;&gt;"",COUNTIF($A$6:$A$505,A496)&gt;1),"duplicate migration_customer_key; ","")&amp;IF(AND(NOT(OR(B496="to_candidate",AV496="proposed_name")),E496=""),"missing branch_id; ","")&amp;IF(AND(NOT(OR(B496="to_candidate",AV496="proposed_name")),G496=""),"missing first_name; ","")&amp;IF(AND(NOT(OR(B496="to_candidate",AV496="proposed_name")),I496=""),"missing last_name; ","")&amp;IF(AND(NOT(OR(B496="to_candidate",AV496="proposed_name")),U496=""),"missing final_geo_unit_id; ","")&amp;IF(AV496="","missing final_destination; ","")&amp;IF(AND(NOT(OR(B496="to_candidate",AV496="proposed_name")),(COUNTIFS('أرقام التواصل'!$A$6:$A$505,"client",'أرقام التواصل'!$B$6:$B$505,A496,'أرقام التواصل'!$I$6:$I$505,"TRUE")+COUNTIFS('أرقام التواصل'!$A$6:$A$505,"client",'أرقام التواصل'!$B$6:$B$505,A496,'أرقام التواصل'!$C$6:$C$505,1))=0),"missing primary contact in أرقام التواصل; ","")&amp;IF(OR(B496="to_candidate",AV496="proposed_name"),IF(AW496="","missing proposed_move_reason; ","")&amp;IF(AX496="","missing proposed_name_key; ",""),"")))))</f>
        <v/>
      </c>
    </row>
    <row r="497" spans="1:53">
      <c r="A497" s="11"/>
      <c r="B497" s="12"/>
      <c r="C497" s="13"/>
      <c r="D497" s="12"/>
      <c r="E497" s="12"/>
      <c r="F497" s="12"/>
      <c r="G497" s="12"/>
      <c r="H497" s="12"/>
      <c r="I497" s="12"/>
      <c r="J497" s="12"/>
      <c r="K497" s="12" t="str">
        <f t="shared" si="13"/>
        <v/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 t="str">
        <f t="shared" si="14"/>
        <v/>
      </c>
      <c r="V497" s="12"/>
      <c r="W497" s="14"/>
      <c r="X497" s="14"/>
      <c r="Y497" s="13"/>
      <c r="Z497" s="12"/>
      <c r="AA497" s="12"/>
      <c r="AB497" s="12"/>
      <c r="AC497" s="12"/>
      <c r="AD497" s="15"/>
      <c r="AE497" s="12"/>
      <c r="AF497" s="13"/>
      <c r="AG497" s="12"/>
      <c r="AH497" s="12"/>
      <c r="AI497" s="15"/>
      <c r="AJ497" s="12"/>
      <c r="AK497" s="12"/>
      <c r="AL497" s="12"/>
      <c r="AM497" s="12"/>
      <c r="AN497" s="12"/>
      <c r="AO497" s="12"/>
      <c r="AP497" s="12"/>
      <c r="AQ497" s="15"/>
      <c r="AR497" s="12"/>
      <c r="AS497" s="12"/>
      <c r="AT497" s="12"/>
      <c r="AU497" s="12"/>
      <c r="AV497" s="12"/>
      <c r="AW497" s="12"/>
      <c r="AX497" s="13"/>
      <c r="AY497" s="12"/>
      <c r="AZ497" s="12" t="str">
        <f>IF(AND(A497="",B497="",E497="",G497="",I497="",AV497="",AX497=""),"",IF(OR(B497="skip",AV497="skip"),"SKIP",IF(OR(B497="to_candidate",AV497="proposed_name"),IF(OR(A497="",AW497="",AX497="",COUNTIF($A$6:$A$505,A497)&gt;1),"REVIEW","TO_PROPOSED"),IF(OR(B497="",A497="",E497="",G497="",I497="",U497="",AV497="",COUNTIF($A$6:$A$505,A497)&gt;1,(COUNTIFS('أرقام التواصل'!$A$6:$A$505,"client",'أرقام التواصل'!$B$6:$B$505,A497,'أرقام التواصل'!$I$6:$I$505,"TRUE")+COUNTIFS('أرقام التواصل'!$A$6:$A$505,"client",'أرقام التواصل'!$B$6:$B$505,A497,'أرقام التواصل'!$C$6:$C$505,1))=0),"REVIEW","READY"))))</f>
        <v/>
      </c>
      <c r="BA497" s="16" t="str">
        <f>IF(AZ497="","",IF(OR(AZ497="READY",AZ497="TO_PROPOSED"),"",IF(AZ497="SKIP","Skipped by decision",TRIM(IF(B497="","missing import_action; ","")&amp;IF(A497="","missing migration_customer_key; ","")&amp;IF(AND(A497&lt;&gt;"",COUNTIF($A$6:$A$505,A497)&gt;1),"duplicate migration_customer_key; ","")&amp;IF(AND(NOT(OR(B497="to_candidate",AV497="proposed_name")),E497=""),"missing branch_id; ","")&amp;IF(AND(NOT(OR(B497="to_candidate",AV497="proposed_name")),G497=""),"missing first_name; ","")&amp;IF(AND(NOT(OR(B497="to_candidate",AV497="proposed_name")),I497=""),"missing last_name; ","")&amp;IF(AND(NOT(OR(B497="to_candidate",AV497="proposed_name")),U497=""),"missing final_geo_unit_id; ","")&amp;IF(AV497="","missing final_destination; ","")&amp;IF(AND(NOT(OR(B497="to_candidate",AV497="proposed_name")),(COUNTIFS('أرقام التواصل'!$A$6:$A$505,"client",'أرقام التواصل'!$B$6:$B$505,A497,'أرقام التواصل'!$I$6:$I$505,"TRUE")+COUNTIFS('أرقام التواصل'!$A$6:$A$505,"client",'أرقام التواصل'!$B$6:$B$505,A497,'أرقام التواصل'!$C$6:$C$505,1))=0),"missing primary contact in أرقام التواصل; ","")&amp;IF(OR(B497="to_candidate",AV497="proposed_name"),IF(AW497="","missing proposed_move_reason; ","")&amp;IF(AX497="","missing proposed_name_key; ",""),"")))))</f>
        <v/>
      </c>
    </row>
    <row r="498" spans="1:53">
      <c r="A498" s="11"/>
      <c r="B498" s="12"/>
      <c r="C498" s="13"/>
      <c r="D498" s="12"/>
      <c r="E498" s="12"/>
      <c r="F498" s="12"/>
      <c r="G498" s="12"/>
      <c r="H498" s="12"/>
      <c r="I498" s="12"/>
      <c r="J498" s="12"/>
      <c r="K498" s="12" t="str">
        <f t="shared" si="13"/>
        <v/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 t="str">
        <f t="shared" si="14"/>
        <v/>
      </c>
      <c r="V498" s="12"/>
      <c r="W498" s="14"/>
      <c r="X498" s="14"/>
      <c r="Y498" s="13"/>
      <c r="Z498" s="12"/>
      <c r="AA498" s="12"/>
      <c r="AB498" s="12"/>
      <c r="AC498" s="12"/>
      <c r="AD498" s="15"/>
      <c r="AE498" s="12"/>
      <c r="AF498" s="13"/>
      <c r="AG498" s="12"/>
      <c r="AH498" s="12"/>
      <c r="AI498" s="15"/>
      <c r="AJ498" s="12"/>
      <c r="AK498" s="12"/>
      <c r="AL498" s="12"/>
      <c r="AM498" s="12"/>
      <c r="AN498" s="12"/>
      <c r="AO498" s="12"/>
      <c r="AP498" s="12"/>
      <c r="AQ498" s="15"/>
      <c r="AR498" s="12"/>
      <c r="AS498" s="12"/>
      <c r="AT498" s="12"/>
      <c r="AU498" s="12"/>
      <c r="AV498" s="12"/>
      <c r="AW498" s="12"/>
      <c r="AX498" s="13"/>
      <c r="AY498" s="12"/>
      <c r="AZ498" s="12" t="str">
        <f>IF(AND(A498="",B498="",E498="",G498="",I498="",AV498="",AX498=""),"",IF(OR(B498="skip",AV498="skip"),"SKIP",IF(OR(B498="to_candidate",AV498="proposed_name"),IF(OR(A498="",AW498="",AX498="",COUNTIF($A$6:$A$505,A498)&gt;1),"REVIEW","TO_PROPOSED"),IF(OR(B498="",A498="",E498="",G498="",I498="",U498="",AV498="",COUNTIF($A$6:$A$505,A498)&gt;1,(COUNTIFS('أرقام التواصل'!$A$6:$A$505,"client",'أرقام التواصل'!$B$6:$B$505,A498,'أرقام التواصل'!$I$6:$I$505,"TRUE")+COUNTIFS('أرقام التواصل'!$A$6:$A$505,"client",'أرقام التواصل'!$B$6:$B$505,A498,'أرقام التواصل'!$C$6:$C$505,1))=0),"REVIEW","READY"))))</f>
        <v/>
      </c>
      <c r="BA498" s="16" t="str">
        <f>IF(AZ498="","",IF(OR(AZ498="READY",AZ498="TO_PROPOSED"),"",IF(AZ498="SKIP","Skipped by decision",TRIM(IF(B498="","missing import_action; ","")&amp;IF(A498="","missing migration_customer_key; ","")&amp;IF(AND(A498&lt;&gt;"",COUNTIF($A$6:$A$505,A498)&gt;1),"duplicate migration_customer_key; ","")&amp;IF(AND(NOT(OR(B498="to_candidate",AV498="proposed_name")),E498=""),"missing branch_id; ","")&amp;IF(AND(NOT(OR(B498="to_candidate",AV498="proposed_name")),G498=""),"missing first_name; ","")&amp;IF(AND(NOT(OR(B498="to_candidate",AV498="proposed_name")),I498=""),"missing last_name; ","")&amp;IF(AND(NOT(OR(B498="to_candidate",AV498="proposed_name")),U498=""),"missing final_geo_unit_id; ","")&amp;IF(AV498="","missing final_destination; ","")&amp;IF(AND(NOT(OR(B498="to_candidate",AV498="proposed_name")),(COUNTIFS('أرقام التواصل'!$A$6:$A$505,"client",'أرقام التواصل'!$B$6:$B$505,A498,'أرقام التواصل'!$I$6:$I$505,"TRUE")+COUNTIFS('أرقام التواصل'!$A$6:$A$505,"client",'أرقام التواصل'!$B$6:$B$505,A498,'أرقام التواصل'!$C$6:$C$505,1))=0),"missing primary contact in أرقام التواصل; ","")&amp;IF(OR(B498="to_candidate",AV498="proposed_name"),IF(AW498="","missing proposed_move_reason; ","")&amp;IF(AX498="","missing proposed_name_key; ",""),"")))))</f>
        <v/>
      </c>
    </row>
    <row r="499" spans="1:53">
      <c r="A499" s="11"/>
      <c r="B499" s="12"/>
      <c r="C499" s="13"/>
      <c r="D499" s="12"/>
      <c r="E499" s="12"/>
      <c r="F499" s="12"/>
      <c r="G499" s="12"/>
      <c r="H499" s="12"/>
      <c r="I499" s="12"/>
      <c r="J499" s="12"/>
      <c r="K499" s="12" t="str">
        <f t="shared" si="13"/>
        <v/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 t="str">
        <f t="shared" si="14"/>
        <v/>
      </c>
      <c r="V499" s="12"/>
      <c r="W499" s="14"/>
      <c r="X499" s="14"/>
      <c r="Y499" s="13"/>
      <c r="Z499" s="12"/>
      <c r="AA499" s="12"/>
      <c r="AB499" s="12"/>
      <c r="AC499" s="12"/>
      <c r="AD499" s="15"/>
      <c r="AE499" s="12"/>
      <c r="AF499" s="13"/>
      <c r="AG499" s="12"/>
      <c r="AH499" s="12"/>
      <c r="AI499" s="15"/>
      <c r="AJ499" s="12"/>
      <c r="AK499" s="12"/>
      <c r="AL499" s="12"/>
      <c r="AM499" s="12"/>
      <c r="AN499" s="12"/>
      <c r="AO499" s="12"/>
      <c r="AP499" s="12"/>
      <c r="AQ499" s="15"/>
      <c r="AR499" s="12"/>
      <c r="AS499" s="12"/>
      <c r="AT499" s="12"/>
      <c r="AU499" s="12"/>
      <c r="AV499" s="12"/>
      <c r="AW499" s="12"/>
      <c r="AX499" s="13"/>
      <c r="AY499" s="12"/>
      <c r="AZ499" s="12" t="str">
        <f>IF(AND(A499="",B499="",E499="",G499="",I499="",AV499="",AX499=""),"",IF(OR(B499="skip",AV499="skip"),"SKIP",IF(OR(B499="to_candidate",AV499="proposed_name"),IF(OR(A499="",AW499="",AX499="",COUNTIF($A$6:$A$505,A499)&gt;1),"REVIEW","TO_PROPOSED"),IF(OR(B499="",A499="",E499="",G499="",I499="",U499="",AV499="",COUNTIF($A$6:$A$505,A499)&gt;1,(COUNTIFS('أرقام التواصل'!$A$6:$A$505,"client",'أرقام التواصل'!$B$6:$B$505,A499,'أرقام التواصل'!$I$6:$I$505,"TRUE")+COUNTIFS('أرقام التواصل'!$A$6:$A$505,"client",'أرقام التواصل'!$B$6:$B$505,A499,'أرقام التواصل'!$C$6:$C$505,1))=0),"REVIEW","READY"))))</f>
        <v/>
      </c>
      <c r="BA499" s="16" t="str">
        <f>IF(AZ499="","",IF(OR(AZ499="READY",AZ499="TO_PROPOSED"),"",IF(AZ499="SKIP","Skipped by decision",TRIM(IF(B499="","missing import_action; ","")&amp;IF(A499="","missing migration_customer_key; ","")&amp;IF(AND(A499&lt;&gt;"",COUNTIF($A$6:$A$505,A499)&gt;1),"duplicate migration_customer_key; ","")&amp;IF(AND(NOT(OR(B499="to_candidate",AV499="proposed_name")),E499=""),"missing branch_id; ","")&amp;IF(AND(NOT(OR(B499="to_candidate",AV499="proposed_name")),G499=""),"missing first_name; ","")&amp;IF(AND(NOT(OR(B499="to_candidate",AV499="proposed_name")),I499=""),"missing last_name; ","")&amp;IF(AND(NOT(OR(B499="to_candidate",AV499="proposed_name")),U499=""),"missing final_geo_unit_id; ","")&amp;IF(AV499="","missing final_destination; ","")&amp;IF(AND(NOT(OR(B499="to_candidate",AV499="proposed_name")),(COUNTIFS('أرقام التواصل'!$A$6:$A$505,"client",'أرقام التواصل'!$B$6:$B$505,A499,'أرقام التواصل'!$I$6:$I$505,"TRUE")+COUNTIFS('أرقام التواصل'!$A$6:$A$505,"client",'أرقام التواصل'!$B$6:$B$505,A499,'أرقام التواصل'!$C$6:$C$505,1))=0),"missing primary contact in أرقام التواصل; ","")&amp;IF(OR(B499="to_candidate",AV499="proposed_name"),IF(AW499="","missing proposed_move_reason; ","")&amp;IF(AX499="","missing proposed_name_key; ",""),"")))))</f>
        <v/>
      </c>
    </row>
    <row r="500" spans="1:53">
      <c r="A500" s="11"/>
      <c r="B500" s="12"/>
      <c r="C500" s="13"/>
      <c r="D500" s="12"/>
      <c r="E500" s="12"/>
      <c r="F500" s="12"/>
      <c r="G500" s="12"/>
      <c r="H500" s="12"/>
      <c r="I500" s="12"/>
      <c r="J500" s="12"/>
      <c r="K500" s="12" t="str">
        <f t="shared" si="13"/>
        <v/>
      </c>
      <c r="L500" s="12"/>
      <c r="M500" s="12"/>
      <c r="N500" s="12"/>
      <c r="O500" s="12"/>
      <c r="P500" s="12"/>
      <c r="Q500" s="12"/>
      <c r="R500" s="12"/>
      <c r="S500" s="12"/>
      <c r="T500" s="12"/>
      <c r="U500" s="12" t="str">
        <f t="shared" si="14"/>
        <v/>
      </c>
      <c r="V500" s="12"/>
      <c r="W500" s="14"/>
      <c r="X500" s="14"/>
      <c r="Y500" s="13"/>
      <c r="Z500" s="12"/>
      <c r="AA500" s="12"/>
      <c r="AB500" s="12"/>
      <c r="AC500" s="12"/>
      <c r="AD500" s="15"/>
      <c r="AE500" s="12"/>
      <c r="AF500" s="13"/>
      <c r="AG500" s="12"/>
      <c r="AH500" s="12"/>
      <c r="AI500" s="15"/>
      <c r="AJ500" s="12"/>
      <c r="AK500" s="12"/>
      <c r="AL500" s="12"/>
      <c r="AM500" s="12"/>
      <c r="AN500" s="12"/>
      <c r="AO500" s="12"/>
      <c r="AP500" s="12"/>
      <c r="AQ500" s="15"/>
      <c r="AR500" s="12"/>
      <c r="AS500" s="12"/>
      <c r="AT500" s="12"/>
      <c r="AU500" s="12"/>
      <c r="AV500" s="12"/>
      <c r="AW500" s="12"/>
      <c r="AX500" s="13"/>
      <c r="AY500" s="12"/>
      <c r="AZ500" s="12" t="str">
        <f>IF(AND(A500="",B500="",E500="",G500="",I500="",AV500="",AX500=""),"",IF(OR(B500="skip",AV500="skip"),"SKIP",IF(OR(B500="to_candidate",AV500="proposed_name"),IF(OR(A500="",AW500="",AX500="",COUNTIF($A$6:$A$505,A500)&gt;1),"REVIEW","TO_PROPOSED"),IF(OR(B500="",A500="",E500="",G500="",I500="",U500="",AV500="",COUNTIF($A$6:$A$505,A500)&gt;1,(COUNTIFS('أرقام التواصل'!$A$6:$A$505,"client",'أرقام التواصل'!$B$6:$B$505,A500,'أرقام التواصل'!$I$6:$I$505,"TRUE")+COUNTIFS('أرقام التواصل'!$A$6:$A$505,"client",'أرقام التواصل'!$B$6:$B$505,A500,'أرقام التواصل'!$C$6:$C$505,1))=0),"REVIEW","READY"))))</f>
        <v/>
      </c>
      <c r="BA500" s="16" t="str">
        <f>IF(AZ500="","",IF(OR(AZ500="READY",AZ500="TO_PROPOSED"),"",IF(AZ500="SKIP","Skipped by decision",TRIM(IF(B500="","missing import_action; ","")&amp;IF(A500="","missing migration_customer_key; ","")&amp;IF(AND(A500&lt;&gt;"",COUNTIF($A$6:$A$505,A500)&gt;1),"duplicate migration_customer_key; ","")&amp;IF(AND(NOT(OR(B500="to_candidate",AV500="proposed_name")),E500=""),"missing branch_id; ","")&amp;IF(AND(NOT(OR(B500="to_candidate",AV500="proposed_name")),G500=""),"missing first_name; ","")&amp;IF(AND(NOT(OR(B500="to_candidate",AV500="proposed_name")),I500=""),"missing last_name; ","")&amp;IF(AND(NOT(OR(B500="to_candidate",AV500="proposed_name")),U500=""),"missing final_geo_unit_id; ","")&amp;IF(AV500="","missing final_destination; ","")&amp;IF(AND(NOT(OR(B500="to_candidate",AV500="proposed_name")),(COUNTIFS('أرقام التواصل'!$A$6:$A$505,"client",'أرقام التواصل'!$B$6:$B$505,A500,'أرقام التواصل'!$I$6:$I$505,"TRUE")+COUNTIFS('أرقام التواصل'!$A$6:$A$505,"client",'أرقام التواصل'!$B$6:$B$505,A500,'أرقام التواصل'!$C$6:$C$505,1))=0),"missing primary contact in أرقام التواصل; ","")&amp;IF(OR(B500="to_candidate",AV500="proposed_name"),IF(AW500="","missing proposed_move_reason; ","")&amp;IF(AX500="","missing proposed_name_key; ",""),"")))))</f>
        <v/>
      </c>
    </row>
    <row r="501" spans="1:53">
      <c r="A501" s="11"/>
      <c r="B501" s="12"/>
      <c r="C501" s="13"/>
      <c r="D501" s="12"/>
      <c r="E501" s="12"/>
      <c r="F501" s="12"/>
      <c r="G501" s="12"/>
      <c r="H501" s="12"/>
      <c r="I501" s="12"/>
      <c r="J501" s="12"/>
      <c r="K501" s="12" t="str">
        <f t="shared" si="13"/>
        <v/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 t="str">
        <f t="shared" si="14"/>
        <v/>
      </c>
      <c r="V501" s="12"/>
      <c r="W501" s="14"/>
      <c r="X501" s="14"/>
      <c r="Y501" s="13"/>
      <c r="Z501" s="12"/>
      <c r="AA501" s="12"/>
      <c r="AB501" s="12"/>
      <c r="AC501" s="12"/>
      <c r="AD501" s="15"/>
      <c r="AE501" s="12"/>
      <c r="AF501" s="13"/>
      <c r="AG501" s="12"/>
      <c r="AH501" s="12"/>
      <c r="AI501" s="15"/>
      <c r="AJ501" s="12"/>
      <c r="AK501" s="12"/>
      <c r="AL501" s="12"/>
      <c r="AM501" s="12"/>
      <c r="AN501" s="12"/>
      <c r="AO501" s="12"/>
      <c r="AP501" s="12"/>
      <c r="AQ501" s="15"/>
      <c r="AR501" s="12"/>
      <c r="AS501" s="12"/>
      <c r="AT501" s="12"/>
      <c r="AU501" s="12"/>
      <c r="AV501" s="12"/>
      <c r="AW501" s="12"/>
      <c r="AX501" s="13"/>
      <c r="AY501" s="12"/>
      <c r="AZ501" s="12" t="str">
        <f>IF(AND(A501="",B501="",E501="",G501="",I501="",AV501="",AX501=""),"",IF(OR(B501="skip",AV501="skip"),"SKIP",IF(OR(B501="to_candidate",AV501="proposed_name"),IF(OR(A501="",AW501="",AX501="",COUNTIF($A$6:$A$505,A501)&gt;1),"REVIEW","TO_PROPOSED"),IF(OR(B501="",A501="",E501="",G501="",I501="",U501="",AV501="",COUNTIF($A$6:$A$505,A501)&gt;1,(COUNTIFS('أرقام التواصل'!$A$6:$A$505,"client",'أرقام التواصل'!$B$6:$B$505,A501,'أرقام التواصل'!$I$6:$I$505,"TRUE")+COUNTIFS('أرقام التواصل'!$A$6:$A$505,"client",'أرقام التواصل'!$B$6:$B$505,A501,'أرقام التواصل'!$C$6:$C$505,1))=0),"REVIEW","READY"))))</f>
        <v/>
      </c>
      <c r="BA501" s="16" t="str">
        <f>IF(AZ501="","",IF(OR(AZ501="READY",AZ501="TO_PROPOSED"),"",IF(AZ501="SKIP","Skipped by decision",TRIM(IF(B501="","missing import_action; ","")&amp;IF(A501="","missing migration_customer_key; ","")&amp;IF(AND(A501&lt;&gt;"",COUNTIF($A$6:$A$505,A501)&gt;1),"duplicate migration_customer_key; ","")&amp;IF(AND(NOT(OR(B501="to_candidate",AV501="proposed_name")),E501=""),"missing branch_id; ","")&amp;IF(AND(NOT(OR(B501="to_candidate",AV501="proposed_name")),G501=""),"missing first_name; ","")&amp;IF(AND(NOT(OR(B501="to_candidate",AV501="proposed_name")),I501=""),"missing last_name; ","")&amp;IF(AND(NOT(OR(B501="to_candidate",AV501="proposed_name")),U501=""),"missing final_geo_unit_id; ","")&amp;IF(AV501="","missing final_destination; ","")&amp;IF(AND(NOT(OR(B501="to_candidate",AV501="proposed_name")),(COUNTIFS('أرقام التواصل'!$A$6:$A$505,"client",'أرقام التواصل'!$B$6:$B$505,A501,'أرقام التواصل'!$I$6:$I$505,"TRUE")+COUNTIFS('أرقام التواصل'!$A$6:$A$505,"client",'أرقام التواصل'!$B$6:$B$505,A501,'أرقام التواصل'!$C$6:$C$505,1))=0),"missing primary contact in أرقام التواصل; ","")&amp;IF(OR(B501="to_candidate",AV501="proposed_name"),IF(AW501="","missing proposed_move_reason; ","")&amp;IF(AX501="","missing proposed_name_key; ",""),"")))))</f>
        <v/>
      </c>
    </row>
    <row r="502" spans="1:53">
      <c r="A502" s="11"/>
      <c r="B502" s="12"/>
      <c r="C502" s="13"/>
      <c r="D502" s="12"/>
      <c r="E502" s="12"/>
      <c r="F502" s="12"/>
      <c r="G502" s="12"/>
      <c r="H502" s="12"/>
      <c r="I502" s="12"/>
      <c r="J502" s="12"/>
      <c r="K502" s="12" t="str">
        <f t="shared" si="13"/>
        <v/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 t="str">
        <f t="shared" si="14"/>
        <v/>
      </c>
      <c r="V502" s="12"/>
      <c r="W502" s="14"/>
      <c r="X502" s="14"/>
      <c r="Y502" s="13"/>
      <c r="Z502" s="12"/>
      <c r="AA502" s="12"/>
      <c r="AB502" s="12"/>
      <c r="AC502" s="12"/>
      <c r="AD502" s="15"/>
      <c r="AE502" s="12"/>
      <c r="AF502" s="13"/>
      <c r="AG502" s="12"/>
      <c r="AH502" s="12"/>
      <c r="AI502" s="15"/>
      <c r="AJ502" s="12"/>
      <c r="AK502" s="12"/>
      <c r="AL502" s="12"/>
      <c r="AM502" s="12"/>
      <c r="AN502" s="12"/>
      <c r="AO502" s="12"/>
      <c r="AP502" s="12"/>
      <c r="AQ502" s="15"/>
      <c r="AR502" s="12"/>
      <c r="AS502" s="12"/>
      <c r="AT502" s="12"/>
      <c r="AU502" s="12"/>
      <c r="AV502" s="12"/>
      <c r="AW502" s="12"/>
      <c r="AX502" s="13"/>
      <c r="AY502" s="12"/>
      <c r="AZ502" s="12" t="str">
        <f>IF(AND(A502="",B502="",E502="",G502="",I502="",AV502="",AX502=""),"",IF(OR(B502="skip",AV502="skip"),"SKIP",IF(OR(B502="to_candidate",AV502="proposed_name"),IF(OR(A502="",AW502="",AX502="",COUNTIF($A$6:$A$505,A502)&gt;1),"REVIEW","TO_PROPOSED"),IF(OR(B502="",A502="",E502="",G502="",I502="",U502="",AV502="",COUNTIF($A$6:$A$505,A502)&gt;1,(COUNTIFS('أرقام التواصل'!$A$6:$A$505,"client",'أرقام التواصل'!$B$6:$B$505,A502,'أرقام التواصل'!$I$6:$I$505,"TRUE")+COUNTIFS('أرقام التواصل'!$A$6:$A$505,"client",'أرقام التواصل'!$B$6:$B$505,A502,'أرقام التواصل'!$C$6:$C$505,1))=0),"REVIEW","READY"))))</f>
        <v/>
      </c>
      <c r="BA502" s="16" t="str">
        <f>IF(AZ502="","",IF(OR(AZ502="READY",AZ502="TO_PROPOSED"),"",IF(AZ502="SKIP","Skipped by decision",TRIM(IF(B502="","missing import_action; ","")&amp;IF(A502="","missing migration_customer_key; ","")&amp;IF(AND(A502&lt;&gt;"",COUNTIF($A$6:$A$505,A502)&gt;1),"duplicate migration_customer_key; ","")&amp;IF(AND(NOT(OR(B502="to_candidate",AV502="proposed_name")),E502=""),"missing branch_id; ","")&amp;IF(AND(NOT(OR(B502="to_candidate",AV502="proposed_name")),G502=""),"missing first_name; ","")&amp;IF(AND(NOT(OR(B502="to_candidate",AV502="proposed_name")),I502=""),"missing last_name; ","")&amp;IF(AND(NOT(OR(B502="to_candidate",AV502="proposed_name")),U502=""),"missing final_geo_unit_id; ","")&amp;IF(AV502="","missing final_destination; ","")&amp;IF(AND(NOT(OR(B502="to_candidate",AV502="proposed_name")),(COUNTIFS('أرقام التواصل'!$A$6:$A$505,"client",'أرقام التواصل'!$B$6:$B$505,A502,'أرقام التواصل'!$I$6:$I$505,"TRUE")+COUNTIFS('أرقام التواصل'!$A$6:$A$505,"client",'أرقام التواصل'!$B$6:$B$505,A502,'أرقام التواصل'!$C$6:$C$505,1))=0),"missing primary contact in أرقام التواصل; ","")&amp;IF(OR(B502="to_candidate",AV502="proposed_name"),IF(AW502="","missing proposed_move_reason; ","")&amp;IF(AX502="","missing proposed_name_key; ",""),"")))))</f>
        <v/>
      </c>
    </row>
    <row r="503" spans="1:53">
      <c r="A503" s="11"/>
      <c r="B503" s="12"/>
      <c r="C503" s="13"/>
      <c r="D503" s="12"/>
      <c r="E503" s="12"/>
      <c r="F503" s="12"/>
      <c r="G503" s="12"/>
      <c r="H503" s="12"/>
      <c r="I503" s="12"/>
      <c r="J503" s="12"/>
      <c r="K503" s="12" t="str">
        <f t="shared" si="13"/>
        <v/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 t="str">
        <f t="shared" si="14"/>
        <v/>
      </c>
      <c r="V503" s="12"/>
      <c r="W503" s="14"/>
      <c r="X503" s="14"/>
      <c r="Y503" s="13"/>
      <c r="Z503" s="12"/>
      <c r="AA503" s="12"/>
      <c r="AB503" s="12"/>
      <c r="AC503" s="12"/>
      <c r="AD503" s="15"/>
      <c r="AE503" s="12"/>
      <c r="AF503" s="13"/>
      <c r="AG503" s="12"/>
      <c r="AH503" s="12"/>
      <c r="AI503" s="15"/>
      <c r="AJ503" s="12"/>
      <c r="AK503" s="12"/>
      <c r="AL503" s="12"/>
      <c r="AM503" s="12"/>
      <c r="AN503" s="12"/>
      <c r="AO503" s="12"/>
      <c r="AP503" s="12"/>
      <c r="AQ503" s="15"/>
      <c r="AR503" s="12"/>
      <c r="AS503" s="12"/>
      <c r="AT503" s="12"/>
      <c r="AU503" s="12"/>
      <c r="AV503" s="12"/>
      <c r="AW503" s="12"/>
      <c r="AX503" s="13"/>
      <c r="AY503" s="12"/>
      <c r="AZ503" s="12" t="str">
        <f>IF(AND(A503="",B503="",E503="",G503="",I503="",AV503="",AX503=""),"",IF(OR(B503="skip",AV503="skip"),"SKIP",IF(OR(B503="to_candidate",AV503="proposed_name"),IF(OR(A503="",AW503="",AX503="",COUNTIF($A$6:$A$505,A503)&gt;1),"REVIEW","TO_PROPOSED"),IF(OR(B503="",A503="",E503="",G503="",I503="",U503="",AV503="",COUNTIF($A$6:$A$505,A503)&gt;1,(COUNTIFS('أرقام التواصل'!$A$6:$A$505,"client",'أرقام التواصل'!$B$6:$B$505,A503,'أرقام التواصل'!$I$6:$I$505,"TRUE")+COUNTIFS('أرقام التواصل'!$A$6:$A$505,"client",'أرقام التواصل'!$B$6:$B$505,A503,'أرقام التواصل'!$C$6:$C$505,1))=0),"REVIEW","READY"))))</f>
        <v/>
      </c>
      <c r="BA503" s="16" t="str">
        <f>IF(AZ503="","",IF(OR(AZ503="READY",AZ503="TO_PROPOSED"),"",IF(AZ503="SKIP","Skipped by decision",TRIM(IF(B503="","missing import_action; ","")&amp;IF(A503="","missing migration_customer_key; ","")&amp;IF(AND(A503&lt;&gt;"",COUNTIF($A$6:$A$505,A503)&gt;1),"duplicate migration_customer_key; ","")&amp;IF(AND(NOT(OR(B503="to_candidate",AV503="proposed_name")),E503=""),"missing branch_id; ","")&amp;IF(AND(NOT(OR(B503="to_candidate",AV503="proposed_name")),G503=""),"missing first_name; ","")&amp;IF(AND(NOT(OR(B503="to_candidate",AV503="proposed_name")),I503=""),"missing last_name; ","")&amp;IF(AND(NOT(OR(B503="to_candidate",AV503="proposed_name")),U503=""),"missing final_geo_unit_id; ","")&amp;IF(AV503="","missing final_destination; ","")&amp;IF(AND(NOT(OR(B503="to_candidate",AV503="proposed_name")),(COUNTIFS('أرقام التواصل'!$A$6:$A$505,"client",'أرقام التواصل'!$B$6:$B$505,A503,'أرقام التواصل'!$I$6:$I$505,"TRUE")+COUNTIFS('أرقام التواصل'!$A$6:$A$505,"client",'أرقام التواصل'!$B$6:$B$505,A503,'أرقام التواصل'!$C$6:$C$505,1))=0),"missing primary contact in أرقام التواصل; ","")&amp;IF(OR(B503="to_candidate",AV503="proposed_name"),IF(AW503="","missing proposed_move_reason; ","")&amp;IF(AX503="","missing proposed_name_key; ",""),"")))))</f>
        <v/>
      </c>
    </row>
    <row r="504" spans="1:53">
      <c r="A504" s="11"/>
      <c r="B504" s="12"/>
      <c r="C504" s="13"/>
      <c r="D504" s="12"/>
      <c r="E504" s="12"/>
      <c r="F504" s="12"/>
      <c r="G504" s="12"/>
      <c r="H504" s="12"/>
      <c r="I504" s="12"/>
      <c r="J504" s="12"/>
      <c r="K504" s="12" t="str">
        <f t="shared" si="13"/>
        <v/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 t="str">
        <f t="shared" si="14"/>
        <v/>
      </c>
      <c r="V504" s="12"/>
      <c r="W504" s="14"/>
      <c r="X504" s="14"/>
      <c r="Y504" s="13"/>
      <c r="Z504" s="12"/>
      <c r="AA504" s="12"/>
      <c r="AB504" s="12"/>
      <c r="AC504" s="12"/>
      <c r="AD504" s="15"/>
      <c r="AE504" s="12"/>
      <c r="AF504" s="13"/>
      <c r="AG504" s="12"/>
      <c r="AH504" s="12"/>
      <c r="AI504" s="15"/>
      <c r="AJ504" s="12"/>
      <c r="AK504" s="12"/>
      <c r="AL504" s="12"/>
      <c r="AM504" s="12"/>
      <c r="AN504" s="12"/>
      <c r="AO504" s="12"/>
      <c r="AP504" s="12"/>
      <c r="AQ504" s="15"/>
      <c r="AR504" s="12"/>
      <c r="AS504" s="12"/>
      <c r="AT504" s="12"/>
      <c r="AU504" s="12"/>
      <c r="AV504" s="12"/>
      <c r="AW504" s="12"/>
      <c r="AX504" s="13"/>
      <c r="AY504" s="12"/>
      <c r="AZ504" s="12" t="str">
        <f>IF(AND(A504="",B504="",E504="",G504="",I504="",AV504="",AX504=""),"",IF(OR(B504="skip",AV504="skip"),"SKIP",IF(OR(B504="to_candidate",AV504="proposed_name"),IF(OR(A504="",AW504="",AX504="",COUNTIF($A$6:$A$505,A504)&gt;1),"REVIEW","TO_PROPOSED"),IF(OR(B504="",A504="",E504="",G504="",I504="",U504="",AV504="",COUNTIF($A$6:$A$505,A504)&gt;1,(COUNTIFS('أرقام التواصل'!$A$6:$A$505,"client",'أرقام التواصل'!$B$6:$B$505,A504,'أرقام التواصل'!$I$6:$I$505,"TRUE")+COUNTIFS('أرقام التواصل'!$A$6:$A$505,"client",'أرقام التواصل'!$B$6:$B$505,A504,'أرقام التواصل'!$C$6:$C$505,1))=0),"REVIEW","READY"))))</f>
        <v/>
      </c>
      <c r="BA504" s="16" t="str">
        <f>IF(AZ504="","",IF(OR(AZ504="READY",AZ504="TO_PROPOSED"),"",IF(AZ504="SKIP","Skipped by decision",TRIM(IF(B504="","missing import_action; ","")&amp;IF(A504="","missing migration_customer_key; ","")&amp;IF(AND(A504&lt;&gt;"",COUNTIF($A$6:$A$505,A504)&gt;1),"duplicate migration_customer_key; ","")&amp;IF(AND(NOT(OR(B504="to_candidate",AV504="proposed_name")),E504=""),"missing branch_id; ","")&amp;IF(AND(NOT(OR(B504="to_candidate",AV504="proposed_name")),G504=""),"missing first_name; ","")&amp;IF(AND(NOT(OR(B504="to_candidate",AV504="proposed_name")),I504=""),"missing last_name; ","")&amp;IF(AND(NOT(OR(B504="to_candidate",AV504="proposed_name")),U504=""),"missing final_geo_unit_id; ","")&amp;IF(AV504="","missing final_destination; ","")&amp;IF(AND(NOT(OR(B504="to_candidate",AV504="proposed_name")),(COUNTIFS('أرقام التواصل'!$A$6:$A$505,"client",'أرقام التواصل'!$B$6:$B$505,A504,'أرقام التواصل'!$I$6:$I$505,"TRUE")+COUNTIFS('أرقام التواصل'!$A$6:$A$505,"client",'أرقام التواصل'!$B$6:$B$505,A504,'أرقام التواصل'!$C$6:$C$505,1))=0),"missing primary contact in أرقام التواصل; ","")&amp;IF(OR(B504="to_candidate",AV504="proposed_name"),IF(AW504="","missing proposed_move_reason; ","")&amp;IF(AX504="","missing proposed_name_key; ",""),"")))))</f>
        <v/>
      </c>
    </row>
    <row r="505" spans="1:53">
      <c r="A505" s="17"/>
      <c r="B505" s="18"/>
      <c r="C505" s="19"/>
      <c r="D505" s="18"/>
      <c r="E505" s="18"/>
      <c r="F505" s="18"/>
      <c r="G505" s="18"/>
      <c r="H505" s="18"/>
      <c r="I505" s="18"/>
      <c r="J505" s="18"/>
      <c r="K505" s="18" t="str">
        <f t="shared" si="13"/>
        <v/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 t="str">
        <f t="shared" si="14"/>
        <v/>
      </c>
      <c r="V505" s="18"/>
      <c r="W505" s="20"/>
      <c r="X505" s="20"/>
      <c r="Y505" s="19"/>
      <c r="Z505" s="18"/>
      <c r="AA505" s="18"/>
      <c r="AB505" s="18"/>
      <c r="AC505" s="18"/>
      <c r="AD505" s="21"/>
      <c r="AE505" s="18"/>
      <c r="AF505" s="19"/>
      <c r="AG505" s="18"/>
      <c r="AH505" s="18"/>
      <c r="AI505" s="21"/>
      <c r="AJ505" s="18"/>
      <c r="AK505" s="18"/>
      <c r="AL505" s="18"/>
      <c r="AM505" s="18"/>
      <c r="AN505" s="18"/>
      <c r="AO505" s="18"/>
      <c r="AP505" s="18"/>
      <c r="AQ505" s="21"/>
      <c r="AR505" s="18"/>
      <c r="AS505" s="18"/>
      <c r="AT505" s="18"/>
      <c r="AU505" s="18"/>
      <c r="AV505" s="18"/>
      <c r="AW505" s="18"/>
      <c r="AX505" s="19"/>
      <c r="AY505" s="18"/>
      <c r="AZ505" s="18" t="str">
        <f>IF(AND(A505="",B505="",E505="",G505="",I505="",AV505="",AX505=""),"",IF(OR(B505="skip",AV505="skip"),"SKIP",IF(OR(B505="to_candidate",AV505="proposed_name"),IF(OR(A505="",AW505="",AX505="",COUNTIF($A$6:$A$505,A505)&gt;1),"REVIEW","TO_PROPOSED"),IF(OR(B505="",A505="",E505="",G505="",I505="",U505="",AV505="",COUNTIF($A$6:$A$505,A505)&gt;1,(COUNTIFS('أرقام التواصل'!$A$6:$A$505,"client",'أرقام التواصل'!$B$6:$B$505,A505,'أرقام التواصل'!$I$6:$I$505,"TRUE")+COUNTIFS('أرقام التواصل'!$A$6:$A$505,"client",'أرقام التواصل'!$B$6:$B$505,A505,'أرقام التواصل'!$C$6:$C$505,1))=0),"REVIEW","READY"))))</f>
        <v/>
      </c>
      <c r="BA505" s="22" t="str">
        <f>IF(AZ505="","",IF(OR(AZ505="READY",AZ505="TO_PROPOSED"),"",IF(AZ505="SKIP","Skipped by decision",TRIM(IF(B505="","missing import_action; ","")&amp;IF(A505="","missing migration_customer_key; ","")&amp;IF(AND(A505&lt;&gt;"",COUNTIF($A$6:$A$505,A505)&gt;1),"duplicate migration_customer_key; ","")&amp;IF(AND(NOT(OR(B505="to_candidate",AV505="proposed_name")),E505=""),"missing branch_id; ","")&amp;IF(AND(NOT(OR(B505="to_candidate",AV505="proposed_name")),G505=""),"missing first_name; ","")&amp;IF(AND(NOT(OR(B505="to_candidate",AV505="proposed_name")),I505=""),"missing last_name; ","")&amp;IF(AND(NOT(OR(B505="to_candidate",AV505="proposed_name")),U505=""),"missing final_geo_unit_id; ","")&amp;IF(AV505="","missing final_destination; ","")&amp;IF(AND(NOT(OR(B505="to_candidate",AV505="proposed_name")),(COUNTIFS('أرقام التواصل'!$A$6:$A$505,"client",'أرقام التواصل'!$B$6:$B$505,A505,'أرقام التواصل'!$I$6:$I$505,"TRUE")+COUNTIFS('أرقام التواصل'!$A$6:$A$505,"client",'أرقام التواصل'!$B$6:$B$505,A505,'أرقام التواصل'!$C$6:$C$505,1))=0),"missing primary contact in أرقام التواصل; ","")&amp;IF(OR(B505="to_candidate",AV505="proposed_name"),IF(AW505="","missing proposed_move_reason; ","")&amp;IF(AX505="","missing proposed_name_key; ",""),"")))))</f>
        <v/>
      </c>
    </row>
  </sheetData>
  <mergeCells count="14">
    <mergeCell ref="A1:BA1"/>
    <mergeCell ref="A2:BA2"/>
    <mergeCell ref="A4:D4"/>
    <mergeCell ref="E4:F4"/>
    <mergeCell ref="G4:K4"/>
    <mergeCell ref="L4:U4"/>
    <mergeCell ref="V4:X4"/>
    <mergeCell ref="Z4:AB4"/>
    <mergeCell ref="AC4:AJ4"/>
    <mergeCell ref="AK4:AM4"/>
    <mergeCell ref="AN4:AR4"/>
    <mergeCell ref="AS4:AU4"/>
    <mergeCell ref="AV4:AY4"/>
    <mergeCell ref="AZ4:BA4"/>
  </mergeCells>
  <conditionalFormatting sqref="AZ6:AZ505">
    <cfRule type="containsText" dxfId="15" priority="1" operator="containsText" text="READY"/>
    <cfRule type="containsText" dxfId="14" priority="2" operator="containsText" text="TO_PROPOSED"/>
    <cfRule type="containsText" dxfId="13" priority="3" operator="containsText" text="REVIEW"/>
    <cfRule type="containsText" dxfId="12" priority="4" operator="containsText" text="SKIP"/>
  </conditionalFormatting>
  <dataValidations count="9">
    <dataValidation type="list" sqref="B6:B505">
      <formula1>"create,update,skip,to_candidate"</formula1>
    </dataValidation>
    <dataValidation type="list" sqref="Z6:Z505 AP6:AP505">
      <formula1>"TRUE,FALSE"</formula1>
    </dataValidation>
    <dataValidation type="list" sqref="AA6:AA505">
      <formula1>"Lead,FOP,OP"</formula1>
    </dataValidation>
    <dataValidation type="list" sqref="AC6:AC505">
      <formula1>"male,female"</formula1>
    </dataValidation>
    <dataValidation type="list" sqref="AN6:AN505">
      <formula1>"correct,incorrect,needs_edit"</formula1>
    </dataValidation>
    <dataValidation type="list" sqref="AO6:AO505">
      <formula1>"Undefined,Committed,NotCommitted"</formula1>
    </dataValidation>
    <dataValidation type="list" sqref="AT6:AT505">
      <formula1>"raw,cleaned,review_needed,blocked"</formula1>
    </dataValidation>
    <dataValidation type="list" sqref="AV6:AV505">
      <formula1>"client,proposed_name,skip,review_later"</formula1>
    </dataValidation>
    <dataValidation type="list" sqref="AW6:AW505">
      <formula1>"uncertain_identity,duplicate,missing_required_data,missing_or_invalid_phone,unclear_address,unknown_branch,outside_coverage,needs_manual_review"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5"/>
  <sheetViews>
    <sheetView showGridLines="0" workbookViewId="0">
      <selection sqref="A1:N1"/>
    </sheetView>
  </sheetViews>
  <sheetFormatPr defaultRowHeight="14.25"/>
  <cols>
    <col min="1" max="1" width="16" customWidth="1"/>
    <col min="2" max="2" width="24" customWidth="1"/>
    <col min="3" max="3" width="12" customWidth="1"/>
    <col min="4" max="4" width="16" customWidth="1"/>
    <col min="5" max="5" width="18" customWidth="1"/>
    <col min="6" max="6" width="12" customWidth="1"/>
    <col min="7" max="7" width="22" customWidth="1"/>
    <col min="8" max="9" width="12" customWidth="1"/>
    <col min="10" max="11" width="18" customWidth="1"/>
    <col min="12" max="12" width="38" customWidth="1"/>
    <col min="13" max="13" width="14" customWidth="1"/>
    <col min="14" max="14" width="52" customWidth="1"/>
  </cols>
  <sheetData>
    <row r="1" spans="1:14" ht="33.950000000000003" customHeight="1">
      <c r="A1" s="43" t="s">
        <v>212</v>
      </c>
      <c r="B1" s="43" t="s">
        <v>212</v>
      </c>
      <c r="C1" s="43" t="s">
        <v>212</v>
      </c>
      <c r="D1" s="43" t="s">
        <v>212</v>
      </c>
      <c r="E1" s="43" t="s">
        <v>212</v>
      </c>
      <c r="F1" s="43" t="s">
        <v>212</v>
      </c>
      <c r="G1" s="43" t="s">
        <v>212</v>
      </c>
      <c r="H1" s="43" t="s">
        <v>212</v>
      </c>
      <c r="I1" s="43" t="s">
        <v>212</v>
      </c>
      <c r="J1" s="43" t="s">
        <v>212</v>
      </c>
      <c r="K1" s="43" t="s">
        <v>212</v>
      </c>
      <c r="L1" s="43" t="s">
        <v>212</v>
      </c>
      <c r="M1" s="43" t="s">
        <v>212</v>
      </c>
      <c r="N1" s="43" t="s">
        <v>212</v>
      </c>
    </row>
    <row r="2" spans="1:14" ht="27.95" customHeight="1">
      <c r="A2" s="44" t="s">
        <v>213</v>
      </c>
      <c r="B2" s="44" t="s">
        <v>213</v>
      </c>
      <c r="C2" s="44" t="s">
        <v>213</v>
      </c>
      <c r="D2" s="44" t="s">
        <v>213</v>
      </c>
      <c r="E2" s="44" t="s">
        <v>213</v>
      </c>
      <c r="F2" s="44" t="s">
        <v>213</v>
      </c>
      <c r="G2" s="44" t="s">
        <v>213</v>
      </c>
      <c r="H2" s="44" t="s">
        <v>213</v>
      </c>
      <c r="I2" s="44" t="s">
        <v>213</v>
      </c>
      <c r="J2" s="44" t="s">
        <v>213</v>
      </c>
      <c r="K2" s="44" t="s">
        <v>213</v>
      </c>
      <c r="L2" s="44" t="s">
        <v>213</v>
      </c>
      <c r="M2" s="44" t="s">
        <v>213</v>
      </c>
      <c r="N2" s="44" t="s">
        <v>213</v>
      </c>
    </row>
    <row r="3" spans="1:14">
      <c r="A3" s="5" t="s">
        <v>214</v>
      </c>
      <c r="B3" s="5" t="s">
        <v>215</v>
      </c>
      <c r="C3" s="5" t="s">
        <v>216</v>
      </c>
      <c r="D3" s="5" t="s">
        <v>217</v>
      </c>
      <c r="E3" s="5" t="s">
        <v>218</v>
      </c>
      <c r="F3" s="5" t="s">
        <v>219</v>
      </c>
      <c r="G3" s="5" t="s">
        <v>220</v>
      </c>
      <c r="H3" s="5" t="s">
        <v>221</v>
      </c>
      <c r="I3" s="5" t="s">
        <v>222</v>
      </c>
      <c r="J3" s="5" t="s">
        <v>223</v>
      </c>
      <c r="K3" s="5" t="s">
        <v>94</v>
      </c>
      <c r="L3" s="5" t="s">
        <v>93</v>
      </c>
      <c r="M3" s="5" t="s">
        <v>100</v>
      </c>
      <c r="N3" s="5" t="s">
        <v>101</v>
      </c>
    </row>
    <row r="4" spans="1:14">
      <c r="A4" s="46" t="s">
        <v>224</v>
      </c>
      <c r="B4" s="48" t="s">
        <v>224</v>
      </c>
      <c r="C4" s="75" t="s">
        <v>225</v>
      </c>
      <c r="D4" s="76" t="s">
        <v>225</v>
      </c>
      <c r="E4" s="76" t="s">
        <v>225</v>
      </c>
      <c r="F4" s="76" t="s">
        <v>225</v>
      </c>
      <c r="G4" s="76" t="s">
        <v>225</v>
      </c>
      <c r="H4" s="76" t="s">
        <v>225</v>
      </c>
      <c r="I4" s="76" t="s">
        <v>225</v>
      </c>
      <c r="J4" s="77" t="s">
        <v>225</v>
      </c>
      <c r="K4" s="69" t="s">
        <v>111</v>
      </c>
      <c r="L4" s="70" t="s">
        <v>111</v>
      </c>
      <c r="M4" s="70" t="s">
        <v>111</v>
      </c>
      <c r="N4" s="71" t="s">
        <v>111</v>
      </c>
    </row>
    <row r="5" spans="1:14" ht="42" customHeight="1">
      <c r="A5" s="7" t="s">
        <v>226</v>
      </c>
      <c r="B5" s="8" t="s">
        <v>227</v>
      </c>
      <c r="C5" s="8" t="s">
        <v>228</v>
      </c>
      <c r="D5" s="8" t="s">
        <v>229</v>
      </c>
      <c r="E5" s="8" t="s">
        <v>230</v>
      </c>
      <c r="F5" s="9" t="s">
        <v>231</v>
      </c>
      <c r="G5" s="9" t="s">
        <v>232</v>
      </c>
      <c r="H5" s="9" t="s">
        <v>233</v>
      </c>
      <c r="I5" s="9" t="s">
        <v>234</v>
      </c>
      <c r="J5" s="8" t="s">
        <v>235</v>
      </c>
      <c r="K5" s="9" t="s">
        <v>159</v>
      </c>
      <c r="L5" s="9" t="s">
        <v>158</v>
      </c>
      <c r="M5" s="9" t="s">
        <v>165</v>
      </c>
      <c r="N5" s="10" t="s">
        <v>166</v>
      </c>
    </row>
    <row r="6" spans="1:14">
      <c r="A6" s="23" t="s">
        <v>192</v>
      </c>
      <c r="B6" s="24" t="s">
        <v>167</v>
      </c>
      <c r="C6" s="25">
        <v>1</v>
      </c>
      <c r="D6" s="25" t="s">
        <v>236</v>
      </c>
      <c r="E6" s="26">
        <v>912345678</v>
      </c>
      <c r="F6" s="24"/>
      <c r="G6" s="25" t="s">
        <v>237</v>
      </c>
      <c r="H6" s="25" t="s">
        <v>238</v>
      </c>
      <c r="I6" s="25" t="s">
        <v>238</v>
      </c>
      <c r="J6" s="25" t="s">
        <v>239</v>
      </c>
      <c r="K6" s="25" t="s">
        <v>190</v>
      </c>
      <c r="L6" s="25" t="s">
        <v>240</v>
      </c>
      <c r="M6" s="25" t="str">
        <f>IF(AND(A6="",B6="",E6=""),"",IF(OR(A6="",B6="",C6="",D6="",E6="",J6="",AND(A6="client",COUNTIF(الزبائن!$A$6:$A$505,B6)=0),AND(A6="proposed_name",COUNTIF('أسماء مقترحة'!$A$6:$A$505,B6)=0),AND(D6="mobile",J6&lt;&gt;"invalid",NOT(OR(AND(LEN(E6&amp;"")=10,LEFT(E6&amp;"",2)="09"),AND(LEN(E6&amp;"")=9,LEFT(E6&amp;"",1)="9")))),COUNTIFS($A$6:$A$505,A6,$B$6:$B$505,B6,$E$6:$E$505,E6)&gt;1),"REVIEW","READY"))</f>
        <v>READY</v>
      </c>
      <c r="N6" s="27" t="str">
        <f>IF(M6="","",IF(M6="READY","",TRIM(IF(A6="","missing entity_type; ","")&amp;IF(B6="","missing entity_key; ","")&amp;IF(C6="","missing contact_order; ","")&amp;IF(D6="","missing contact_type; ","")&amp;IF(E6="","missing number; ","")&amp;IF(J6="","missing status; ","")&amp;IF(AND(A6="client",COUNTIF(الزبائن!$A$6:$A$505,B6)=0),"client key not found; ","")&amp;IF(AND(A6="proposed_name",COUNTIF('أسماء مقترحة'!$A$6:$A$505,B6)=0),"proposed_name key not found; ","")&amp;IF(AND(D6="mobile",J6&lt;&gt;"invalid",NOT(OR(AND(LEN(E6&amp;"")=10,LEFT(E6&amp;"",2)="09"),AND(LEN(E6&amp;"")=9,LEFT(E6&amp;"",1)="9")))),"mobile must be 09XXXXXXXX or status invalid; ","")&amp;IF(COUNTIFS($A$6:$A$505,A6,$B$6:$B$505,B6,$E$6:$E$505,E6)&gt;1,"duplicate number for same entity; ",""))))</f>
        <v/>
      </c>
    </row>
    <row r="7" spans="1:14">
      <c r="A7" s="23" t="s">
        <v>192</v>
      </c>
      <c r="B7" s="24" t="s">
        <v>167</v>
      </c>
      <c r="C7" s="25">
        <v>2</v>
      </c>
      <c r="D7" s="25" t="s">
        <v>241</v>
      </c>
      <c r="E7" s="24" t="s">
        <v>242</v>
      </c>
      <c r="F7" s="24" t="s">
        <v>243</v>
      </c>
      <c r="G7" s="25" t="s">
        <v>244</v>
      </c>
      <c r="H7" s="25" t="s">
        <v>181</v>
      </c>
      <c r="I7" s="25" t="s">
        <v>181</v>
      </c>
      <c r="J7" s="25" t="s">
        <v>239</v>
      </c>
      <c r="K7" s="25" t="s">
        <v>190</v>
      </c>
      <c r="L7" s="25"/>
      <c r="M7" s="25" t="str">
        <f>IF(AND(A7="",B7="",E7=""),"",IF(OR(A7="",B7="",C7="",D7="",E7="",J7="",AND(A7="client",COUNTIF(الزبائن!$A$6:$A$505,B7)=0),AND(A7="proposed_name",COUNTIF('أسماء مقترحة'!$A$6:$A$505,B7)=0),AND(D7="mobile",J7&lt;&gt;"invalid",NOT(OR(AND(LEN(E7&amp;"")=10,LEFT(E7&amp;"",2)="09"),AND(LEN(E7&amp;"")=9,LEFT(E7&amp;"",1)="9")))),COUNTIFS($A$6:$A$505,A7,$B$6:$B$505,B7,$E$6:$E$505,E7)&gt;1),"REVIEW","READY"))</f>
        <v>READY</v>
      </c>
      <c r="N7" s="27" t="str">
        <f>IF(M7="","",IF(M7="READY","",TRIM(IF(A7="","missing entity_type; ","")&amp;IF(B7="","missing entity_key; ","")&amp;IF(C7="","missing contact_order; ","")&amp;IF(D7="","missing contact_type; ","")&amp;IF(E7="","missing number; ","")&amp;IF(J7="","missing status; ","")&amp;IF(AND(A7="client",COUNTIF(الزبائن!$A$6:$A$505,B7)=0),"client key not found; ","")&amp;IF(AND(A7="proposed_name",COUNTIF('أسماء مقترحة'!$A$6:$A$505,B7)=0),"proposed_name key not found; ","")&amp;IF(AND(D7="mobile",J7&lt;&gt;"invalid",NOT(OR(AND(LEN(E7&amp;"")=10,LEFT(E7&amp;"",2)="09"),AND(LEN(E7&amp;"")=9,LEFT(E7&amp;"",1)="9")))),"mobile must be 09XXXXXXXX or status invalid; ","")&amp;IF(COUNTIFS($A$6:$A$505,A7,$B$6:$B$505,B7,$E$6:$E$505,E7)&gt;1,"duplicate number for same entity; ",""))))</f>
        <v/>
      </c>
    </row>
    <row r="8" spans="1:14">
      <c r="A8" s="23" t="s">
        <v>208</v>
      </c>
      <c r="B8" s="24" t="s">
        <v>210</v>
      </c>
      <c r="C8" s="25">
        <v>1</v>
      </c>
      <c r="D8" s="25" t="s">
        <v>236</v>
      </c>
      <c r="E8" s="26">
        <v>998765432</v>
      </c>
      <c r="F8" s="24"/>
      <c r="G8" s="25" t="s">
        <v>245</v>
      </c>
      <c r="H8" s="25" t="s">
        <v>181</v>
      </c>
      <c r="I8" s="25" t="s">
        <v>238</v>
      </c>
      <c r="J8" s="25" t="s">
        <v>246</v>
      </c>
      <c r="K8" s="25" t="s">
        <v>206</v>
      </c>
      <c r="L8" s="25" t="s">
        <v>247</v>
      </c>
      <c r="M8" s="25" t="str">
        <f>IF(AND(A8="",B8="",E8=""),"",IF(OR(A8="",B8="",C8="",D8="",E8="",J8="",AND(A8="client",COUNTIF(الزبائن!$A$6:$A$505,B8)=0),AND(A8="proposed_name",COUNTIF('أسماء مقترحة'!$A$6:$A$505,B8)=0),AND(D8="mobile",J8&lt;&gt;"invalid",NOT(OR(AND(LEN(E8&amp;"")=10,LEFT(E8&amp;"",2)="09"),AND(LEN(E8&amp;"")=9,LEFT(E8&amp;"",1)="9")))),COUNTIFS($A$6:$A$505,A8,$B$6:$B$505,B8,$E$6:$E$505,E8)&gt;1),"REVIEW","READY"))</f>
        <v>READY</v>
      </c>
      <c r="N8" s="27" t="str">
        <f>IF(M8="","",IF(M8="READY","",TRIM(IF(A8="","missing entity_type; ","")&amp;IF(B8="","missing entity_key; ","")&amp;IF(C8="","missing contact_order; ","")&amp;IF(D8="","missing contact_type; ","")&amp;IF(E8="","missing number; ","")&amp;IF(J8="","missing status; ","")&amp;IF(AND(A8="client",COUNTIF(الزبائن!$A$6:$A$505,B8)=0),"client key not found; ","")&amp;IF(AND(A8="proposed_name",COUNTIF('أسماء مقترحة'!$A$6:$A$505,B8)=0),"proposed_name key not found; ","")&amp;IF(AND(D8="mobile",J8&lt;&gt;"invalid",NOT(OR(AND(LEN(E8&amp;"")=10,LEFT(E8&amp;"",2)="09"),AND(LEN(E8&amp;"")=9,LEFT(E8&amp;"",1)="9")))),"mobile must be 09XXXXXXXX or status invalid; ","")&amp;IF(COUNTIFS($A$6:$A$505,A8,$B$6:$B$505,B8,$E$6:$E$505,E8)&gt;1,"duplicate number for same entity; ",""))))</f>
        <v/>
      </c>
    </row>
    <row r="9" spans="1:14">
      <c r="A9" s="23"/>
      <c r="B9" s="24"/>
      <c r="C9" s="25"/>
      <c r="D9" s="25"/>
      <c r="E9" s="24"/>
      <c r="F9" s="24"/>
      <c r="G9" s="25"/>
      <c r="H9" s="25"/>
      <c r="I9" s="25"/>
      <c r="J9" s="25"/>
      <c r="K9" s="25"/>
      <c r="L9" s="25"/>
      <c r="M9" s="25" t="str">
        <f>IF(AND(A9="",B9="",E9=""),"",IF(OR(A9="",B9="",C9="",D9="",E9="",J9="",AND(A9="client",COUNTIF(الزبائن!$A$6:$A$505,B9)=0),AND(A9="proposed_name",COUNTIF('أسماء مقترحة'!$A$6:$A$505,B9)=0),AND(D9="mobile",J9&lt;&gt;"invalid",NOT(OR(AND(LEN(E9&amp;"")=10,LEFT(E9&amp;"",2)="09"),AND(LEN(E9&amp;"")=9,LEFT(E9&amp;"",1)="9")))),COUNTIFS($A$6:$A$505,A9,$B$6:$B$505,B9,$E$6:$E$505,E9)&gt;1),"REVIEW","READY"))</f>
        <v/>
      </c>
      <c r="N9" s="27" t="str">
        <f>IF(M9="","",IF(M9="READY","",TRIM(IF(A9="","missing entity_type; ","")&amp;IF(B9="","missing entity_key; ","")&amp;IF(C9="","missing contact_order; ","")&amp;IF(D9="","missing contact_type; ","")&amp;IF(E9="","missing number; ","")&amp;IF(J9="","missing status; ","")&amp;IF(AND(A9="client",COUNTIF(الزبائن!$A$6:$A$505,B9)=0),"client key not found; ","")&amp;IF(AND(A9="proposed_name",COUNTIF('أسماء مقترحة'!$A$6:$A$505,B9)=0),"proposed_name key not found; ","")&amp;IF(AND(D9="mobile",J9&lt;&gt;"invalid",NOT(OR(AND(LEN(E9&amp;"")=10,LEFT(E9&amp;"",2)="09"),AND(LEN(E9&amp;"")=9,LEFT(E9&amp;"",1)="9")))),"mobile must be 09XXXXXXXX or status invalid; ","")&amp;IF(COUNTIFS($A$6:$A$505,A9,$B$6:$B$505,B9,$E$6:$E$505,E9)&gt;1,"duplicate number for same entity; ",""))))</f>
        <v/>
      </c>
    </row>
    <row r="10" spans="1:14">
      <c r="A10" s="23"/>
      <c r="B10" s="24"/>
      <c r="C10" s="25"/>
      <c r="D10" s="25"/>
      <c r="E10" s="24"/>
      <c r="F10" s="24"/>
      <c r="G10" s="25"/>
      <c r="H10" s="25"/>
      <c r="I10" s="25"/>
      <c r="J10" s="25"/>
      <c r="K10" s="25"/>
      <c r="L10" s="25"/>
      <c r="M10" s="25" t="str">
        <f>IF(AND(A10="",B10="",E10=""),"",IF(OR(A10="",B10="",C10="",D10="",E10="",J10="",AND(A10="client",COUNTIF(الزبائن!$A$6:$A$505,B10)=0),AND(A10="proposed_name",COUNTIF('أسماء مقترحة'!$A$6:$A$505,B10)=0),AND(D10="mobile",J10&lt;&gt;"invalid",NOT(OR(AND(LEN(E10&amp;"")=10,LEFT(E10&amp;"",2)="09"),AND(LEN(E10&amp;"")=9,LEFT(E10&amp;"",1)="9")))),COUNTIFS($A$6:$A$505,A10,$B$6:$B$505,B10,$E$6:$E$505,E10)&gt;1),"REVIEW","READY"))</f>
        <v/>
      </c>
      <c r="N10" s="27" t="str">
        <f>IF(M10="","",IF(M10="READY","",TRIM(IF(A10="","missing entity_type; ","")&amp;IF(B10="","missing entity_key; ","")&amp;IF(C10="","missing contact_order; ","")&amp;IF(D10="","missing contact_type; ","")&amp;IF(E10="","missing number; ","")&amp;IF(J10="","missing status; ","")&amp;IF(AND(A10="client",COUNTIF(الزبائن!$A$6:$A$505,B10)=0),"client key not found; ","")&amp;IF(AND(A10="proposed_name",COUNTIF('أسماء مقترحة'!$A$6:$A$505,B10)=0),"proposed_name key not found; ","")&amp;IF(AND(D10="mobile",J10&lt;&gt;"invalid",NOT(OR(AND(LEN(E10&amp;"")=10,LEFT(E10&amp;"",2)="09"),AND(LEN(E10&amp;"")=9,LEFT(E10&amp;"",1)="9")))),"mobile must be 09XXXXXXXX or status invalid; ","")&amp;IF(COUNTIFS($A$6:$A$505,A10,$B$6:$B$505,B10,$E$6:$E$505,E10)&gt;1,"duplicate number for same entity; ",""))))</f>
        <v/>
      </c>
    </row>
    <row r="11" spans="1:14">
      <c r="A11" s="23"/>
      <c r="B11" s="24"/>
      <c r="C11" s="25"/>
      <c r="D11" s="25"/>
      <c r="E11" s="24"/>
      <c r="F11" s="24"/>
      <c r="G11" s="25"/>
      <c r="H11" s="25"/>
      <c r="I11" s="25"/>
      <c r="J11" s="25"/>
      <c r="K11" s="25"/>
      <c r="L11" s="25"/>
      <c r="M11" s="25" t="str">
        <f>IF(AND(A11="",B11="",E11=""),"",IF(OR(A11="",B11="",C11="",D11="",E11="",J11="",AND(A11="client",COUNTIF(الزبائن!$A$6:$A$505,B11)=0),AND(A11="proposed_name",COUNTIF('أسماء مقترحة'!$A$6:$A$505,B11)=0),AND(D11="mobile",J11&lt;&gt;"invalid",NOT(OR(AND(LEN(E11&amp;"")=10,LEFT(E11&amp;"",2)="09"),AND(LEN(E11&amp;"")=9,LEFT(E11&amp;"",1)="9")))),COUNTIFS($A$6:$A$505,A11,$B$6:$B$505,B11,$E$6:$E$505,E11)&gt;1),"REVIEW","READY"))</f>
        <v/>
      </c>
      <c r="N11" s="27" t="str">
        <f>IF(M11="","",IF(M11="READY","",TRIM(IF(A11="","missing entity_type; ","")&amp;IF(B11="","missing entity_key; ","")&amp;IF(C11="","missing contact_order; ","")&amp;IF(D11="","missing contact_type; ","")&amp;IF(E11="","missing number; ","")&amp;IF(J11="","missing status; ","")&amp;IF(AND(A11="client",COUNTIF(الزبائن!$A$6:$A$505,B11)=0),"client key not found; ","")&amp;IF(AND(A11="proposed_name",COUNTIF('أسماء مقترحة'!$A$6:$A$505,B11)=0),"proposed_name key not found; ","")&amp;IF(AND(D11="mobile",J11&lt;&gt;"invalid",NOT(OR(AND(LEN(E11&amp;"")=10,LEFT(E11&amp;"",2)="09"),AND(LEN(E11&amp;"")=9,LEFT(E11&amp;"",1)="9")))),"mobile must be 09XXXXXXXX or status invalid; ","")&amp;IF(COUNTIFS($A$6:$A$505,A11,$B$6:$B$505,B11,$E$6:$E$505,E11)&gt;1,"duplicate number for same entity; ",""))))</f>
        <v/>
      </c>
    </row>
    <row r="12" spans="1:14">
      <c r="A12" s="23"/>
      <c r="B12" s="24"/>
      <c r="C12" s="25"/>
      <c r="D12" s="25"/>
      <c r="E12" s="24"/>
      <c r="F12" s="24"/>
      <c r="G12" s="25"/>
      <c r="H12" s="25"/>
      <c r="I12" s="25"/>
      <c r="J12" s="25"/>
      <c r="K12" s="25"/>
      <c r="L12" s="25"/>
      <c r="M12" s="25" t="str">
        <f>IF(AND(A12="",B12="",E12=""),"",IF(OR(A12="",B12="",C12="",D12="",E12="",J12="",AND(A12="client",COUNTIF(الزبائن!$A$6:$A$505,B12)=0),AND(A12="proposed_name",COUNTIF('أسماء مقترحة'!$A$6:$A$505,B12)=0),AND(D12="mobile",J12&lt;&gt;"invalid",NOT(OR(AND(LEN(E12&amp;"")=10,LEFT(E12&amp;"",2)="09"),AND(LEN(E12&amp;"")=9,LEFT(E12&amp;"",1)="9")))),COUNTIFS($A$6:$A$505,A12,$B$6:$B$505,B12,$E$6:$E$505,E12)&gt;1),"REVIEW","READY"))</f>
        <v/>
      </c>
      <c r="N12" s="27" t="str">
        <f>IF(M12="","",IF(M12="READY","",TRIM(IF(A12="","missing entity_type; ","")&amp;IF(B12="","missing entity_key; ","")&amp;IF(C12="","missing contact_order; ","")&amp;IF(D12="","missing contact_type; ","")&amp;IF(E12="","missing number; ","")&amp;IF(J12="","missing status; ","")&amp;IF(AND(A12="client",COUNTIF(الزبائن!$A$6:$A$505,B12)=0),"client key not found; ","")&amp;IF(AND(A12="proposed_name",COUNTIF('أسماء مقترحة'!$A$6:$A$505,B12)=0),"proposed_name key not found; ","")&amp;IF(AND(D12="mobile",J12&lt;&gt;"invalid",NOT(OR(AND(LEN(E12&amp;"")=10,LEFT(E12&amp;"",2)="09"),AND(LEN(E12&amp;"")=9,LEFT(E12&amp;"",1)="9")))),"mobile must be 09XXXXXXXX or status invalid; ","")&amp;IF(COUNTIFS($A$6:$A$505,A12,$B$6:$B$505,B12,$E$6:$E$505,E12)&gt;1,"duplicate number for same entity; ",""))))</f>
        <v/>
      </c>
    </row>
    <row r="13" spans="1:14">
      <c r="A13" s="23"/>
      <c r="B13" s="24"/>
      <c r="C13" s="25"/>
      <c r="D13" s="25"/>
      <c r="E13" s="24"/>
      <c r="F13" s="24"/>
      <c r="G13" s="25"/>
      <c r="H13" s="25"/>
      <c r="I13" s="25"/>
      <c r="J13" s="25"/>
      <c r="K13" s="25"/>
      <c r="L13" s="25"/>
      <c r="M13" s="25" t="str">
        <f>IF(AND(A13="",B13="",E13=""),"",IF(OR(A13="",B13="",C13="",D13="",E13="",J13="",AND(A13="client",COUNTIF(الزبائن!$A$6:$A$505,B13)=0),AND(A13="proposed_name",COUNTIF('أسماء مقترحة'!$A$6:$A$505,B13)=0),AND(D13="mobile",J13&lt;&gt;"invalid",NOT(OR(AND(LEN(E13&amp;"")=10,LEFT(E13&amp;"",2)="09"),AND(LEN(E13&amp;"")=9,LEFT(E13&amp;"",1)="9")))),COUNTIFS($A$6:$A$505,A13,$B$6:$B$505,B13,$E$6:$E$505,E13)&gt;1),"REVIEW","READY"))</f>
        <v/>
      </c>
      <c r="N13" s="27" t="str">
        <f>IF(M13="","",IF(M13="READY","",TRIM(IF(A13="","missing entity_type; ","")&amp;IF(B13="","missing entity_key; ","")&amp;IF(C13="","missing contact_order; ","")&amp;IF(D13="","missing contact_type; ","")&amp;IF(E13="","missing number; ","")&amp;IF(J13="","missing status; ","")&amp;IF(AND(A13="client",COUNTIF(الزبائن!$A$6:$A$505,B13)=0),"client key not found; ","")&amp;IF(AND(A13="proposed_name",COUNTIF('أسماء مقترحة'!$A$6:$A$505,B13)=0),"proposed_name key not found; ","")&amp;IF(AND(D13="mobile",J13&lt;&gt;"invalid",NOT(OR(AND(LEN(E13&amp;"")=10,LEFT(E13&amp;"",2)="09"),AND(LEN(E13&amp;"")=9,LEFT(E13&amp;"",1)="9")))),"mobile must be 09XXXXXXXX or status invalid; ","")&amp;IF(COUNTIFS($A$6:$A$505,A13,$B$6:$B$505,B13,$E$6:$E$505,E13)&gt;1,"duplicate number for same entity; ",""))))</f>
        <v/>
      </c>
    </row>
    <row r="14" spans="1:14">
      <c r="A14" s="23"/>
      <c r="B14" s="24"/>
      <c r="C14" s="25"/>
      <c r="D14" s="25"/>
      <c r="E14" s="24"/>
      <c r="F14" s="24"/>
      <c r="G14" s="25"/>
      <c r="H14" s="25"/>
      <c r="I14" s="25"/>
      <c r="J14" s="25"/>
      <c r="K14" s="25"/>
      <c r="L14" s="25"/>
      <c r="M14" s="25" t="str">
        <f>IF(AND(A14="",B14="",E14=""),"",IF(OR(A14="",B14="",C14="",D14="",E14="",J14="",AND(A14="client",COUNTIF(الزبائن!$A$6:$A$505,B14)=0),AND(A14="proposed_name",COUNTIF('أسماء مقترحة'!$A$6:$A$505,B14)=0),AND(D14="mobile",J14&lt;&gt;"invalid",NOT(OR(AND(LEN(E14&amp;"")=10,LEFT(E14&amp;"",2)="09"),AND(LEN(E14&amp;"")=9,LEFT(E14&amp;"",1)="9")))),COUNTIFS($A$6:$A$505,A14,$B$6:$B$505,B14,$E$6:$E$505,E14)&gt;1),"REVIEW","READY"))</f>
        <v/>
      </c>
      <c r="N14" s="27" t="str">
        <f>IF(M14="","",IF(M14="READY","",TRIM(IF(A14="","missing entity_type; ","")&amp;IF(B14="","missing entity_key; ","")&amp;IF(C14="","missing contact_order; ","")&amp;IF(D14="","missing contact_type; ","")&amp;IF(E14="","missing number; ","")&amp;IF(J14="","missing status; ","")&amp;IF(AND(A14="client",COUNTIF(الزبائن!$A$6:$A$505,B14)=0),"client key not found; ","")&amp;IF(AND(A14="proposed_name",COUNTIF('أسماء مقترحة'!$A$6:$A$505,B14)=0),"proposed_name key not found; ","")&amp;IF(AND(D14="mobile",J14&lt;&gt;"invalid",NOT(OR(AND(LEN(E14&amp;"")=10,LEFT(E14&amp;"",2)="09"),AND(LEN(E14&amp;"")=9,LEFT(E14&amp;"",1)="9")))),"mobile must be 09XXXXXXXX or status invalid; ","")&amp;IF(COUNTIFS($A$6:$A$505,A14,$B$6:$B$505,B14,$E$6:$E$505,E14)&gt;1,"duplicate number for same entity; ",""))))</f>
        <v/>
      </c>
    </row>
    <row r="15" spans="1:14">
      <c r="A15" s="23"/>
      <c r="B15" s="24"/>
      <c r="C15" s="25"/>
      <c r="D15" s="25"/>
      <c r="E15" s="24"/>
      <c r="F15" s="24"/>
      <c r="G15" s="25"/>
      <c r="H15" s="25"/>
      <c r="I15" s="25"/>
      <c r="J15" s="25"/>
      <c r="K15" s="25"/>
      <c r="L15" s="25"/>
      <c r="M15" s="25" t="str">
        <f>IF(AND(A15="",B15="",E15=""),"",IF(OR(A15="",B15="",C15="",D15="",E15="",J15="",AND(A15="client",COUNTIF(الزبائن!$A$6:$A$505,B15)=0),AND(A15="proposed_name",COUNTIF('أسماء مقترحة'!$A$6:$A$505,B15)=0),AND(D15="mobile",J15&lt;&gt;"invalid",NOT(OR(AND(LEN(E15&amp;"")=10,LEFT(E15&amp;"",2)="09"),AND(LEN(E15&amp;"")=9,LEFT(E15&amp;"",1)="9")))),COUNTIFS($A$6:$A$505,A15,$B$6:$B$505,B15,$E$6:$E$505,E15)&gt;1),"REVIEW","READY"))</f>
        <v/>
      </c>
      <c r="N15" s="27" t="str">
        <f>IF(M15="","",IF(M15="READY","",TRIM(IF(A15="","missing entity_type; ","")&amp;IF(B15="","missing entity_key; ","")&amp;IF(C15="","missing contact_order; ","")&amp;IF(D15="","missing contact_type; ","")&amp;IF(E15="","missing number; ","")&amp;IF(J15="","missing status; ","")&amp;IF(AND(A15="client",COUNTIF(الزبائن!$A$6:$A$505,B15)=0),"client key not found; ","")&amp;IF(AND(A15="proposed_name",COUNTIF('أسماء مقترحة'!$A$6:$A$505,B15)=0),"proposed_name key not found; ","")&amp;IF(AND(D15="mobile",J15&lt;&gt;"invalid",NOT(OR(AND(LEN(E15&amp;"")=10,LEFT(E15&amp;"",2)="09"),AND(LEN(E15&amp;"")=9,LEFT(E15&amp;"",1)="9")))),"mobile must be 09XXXXXXXX or status invalid; ","")&amp;IF(COUNTIFS($A$6:$A$505,A15,$B$6:$B$505,B15,$E$6:$E$505,E15)&gt;1,"duplicate number for same entity; ",""))))</f>
        <v/>
      </c>
    </row>
    <row r="16" spans="1:14">
      <c r="A16" s="23"/>
      <c r="B16" s="24"/>
      <c r="C16" s="25"/>
      <c r="D16" s="25"/>
      <c r="E16" s="24"/>
      <c r="F16" s="24"/>
      <c r="G16" s="25"/>
      <c r="H16" s="25"/>
      <c r="I16" s="25"/>
      <c r="J16" s="25"/>
      <c r="K16" s="25"/>
      <c r="L16" s="25"/>
      <c r="M16" s="25" t="str">
        <f>IF(AND(A16="",B16="",E16=""),"",IF(OR(A16="",B16="",C16="",D16="",E16="",J16="",AND(A16="client",COUNTIF(الزبائن!$A$6:$A$505,B16)=0),AND(A16="proposed_name",COUNTIF('أسماء مقترحة'!$A$6:$A$505,B16)=0),AND(D16="mobile",J16&lt;&gt;"invalid",NOT(OR(AND(LEN(E16&amp;"")=10,LEFT(E16&amp;"",2)="09"),AND(LEN(E16&amp;"")=9,LEFT(E16&amp;"",1)="9")))),COUNTIFS($A$6:$A$505,A16,$B$6:$B$505,B16,$E$6:$E$505,E16)&gt;1),"REVIEW","READY"))</f>
        <v/>
      </c>
      <c r="N16" s="27" t="str">
        <f>IF(M16="","",IF(M16="READY","",TRIM(IF(A16="","missing entity_type; ","")&amp;IF(B16="","missing entity_key; ","")&amp;IF(C16="","missing contact_order; ","")&amp;IF(D16="","missing contact_type; ","")&amp;IF(E16="","missing number; ","")&amp;IF(J16="","missing status; ","")&amp;IF(AND(A16="client",COUNTIF(الزبائن!$A$6:$A$505,B16)=0),"client key not found; ","")&amp;IF(AND(A16="proposed_name",COUNTIF('أسماء مقترحة'!$A$6:$A$505,B16)=0),"proposed_name key not found; ","")&amp;IF(AND(D16="mobile",J16&lt;&gt;"invalid",NOT(OR(AND(LEN(E16&amp;"")=10,LEFT(E16&amp;"",2)="09"),AND(LEN(E16&amp;"")=9,LEFT(E16&amp;"",1)="9")))),"mobile must be 09XXXXXXXX or status invalid; ","")&amp;IF(COUNTIFS($A$6:$A$505,A16,$B$6:$B$505,B16,$E$6:$E$505,E16)&gt;1,"duplicate number for same entity; ",""))))</f>
        <v/>
      </c>
    </row>
    <row r="17" spans="1:14">
      <c r="A17" s="23"/>
      <c r="B17" s="24"/>
      <c r="C17" s="25"/>
      <c r="D17" s="25"/>
      <c r="E17" s="24"/>
      <c r="F17" s="24"/>
      <c r="G17" s="25"/>
      <c r="H17" s="25"/>
      <c r="I17" s="25"/>
      <c r="J17" s="25"/>
      <c r="K17" s="25"/>
      <c r="L17" s="25"/>
      <c r="M17" s="25" t="str">
        <f>IF(AND(A17="",B17="",E17=""),"",IF(OR(A17="",B17="",C17="",D17="",E17="",J17="",AND(A17="client",COUNTIF(الزبائن!$A$6:$A$505,B17)=0),AND(A17="proposed_name",COUNTIF('أسماء مقترحة'!$A$6:$A$505,B17)=0),AND(D17="mobile",J17&lt;&gt;"invalid",NOT(OR(AND(LEN(E17&amp;"")=10,LEFT(E17&amp;"",2)="09"),AND(LEN(E17&amp;"")=9,LEFT(E17&amp;"",1)="9")))),COUNTIFS($A$6:$A$505,A17,$B$6:$B$505,B17,$E$6:$E$505,E17)&gt;1),"REVIEW","READY"))</f>
        <v/>
      </c>
      <c r="N17" s="27" t="str">
        <f>IF(M17="","",IF(M17="READY","",TRIM(IF(A17="","missing entity_type; ","")&amp;IF(B17="","missing entity_key; ","")&amp;IF(C17="","missing contact_order; ","")&amp;IF(D17="","missing contact_type; ","")&amp;IF(E17="","missing number; ","")&amp;IF(J17="","missing status; ","")&amp;IF(AND(A17="client",COUNTIF(الزبائن!$A$6:$A$505,B17)=0),"client key not found; ","")&amp;IF(AND(A17="proposed_name",COUNTIF('أسماء مقترحة'!$A$6:$A$505,B17)=0),"proposed_name key not found; ","")&amp;IF(AND(D17="mobile",J17&lt;&gt;"invalid",NOT(OR(AND(LEN(E17&amp;"")=10,LEFT(E17&amp;"",2)="09"),AND(LEN(E17&amp;"")=9,LEFT(E17&amp;"",1)="9")))),"mobile must be 09XXXXXXXX or status invalid; ","")&amp;IF(COUNTIFS($A$6:$A$505,A17,$B$6:$B$505,B17,$E$6:$E$505,E17)&gt;1,"duplicate number for same entity; ",""))))</f>
        <v/>
      </c>
    </row>
    <row r="18" spans="1:14">
      <c r="A18" s="23"/>
      <c r="B18" s="24"/>
      <c r="C18" s="25"/>
      <c r="D18" s="25"/>
      <c r="E18" s="24"/>
      <c r="F18" s="24"/>
      <c r="G18" s="25"/>
      <c r="H18" s="25"/>
      <c r="I18" s="25"/>
      <c r="J18" s="25"/>
      <c r="K18" s="25"/>
      <c r="L18" s="25"/>
      <c r="M18" s="25" t="str">
        <f>IF(AND(A18="",B18="",E18=""),"",IF(OR(A18="",B18="",C18="",D18="",E18="",J18="",AND(A18="client",COUNTIF(الزبائن!$A$6:$A$505,B18)=0),AND(A18="proposed_name",COUNTIF('أسماء مقترحة'!$A$6:$A$505,B18)=0),AND(D18="mobile",J18&lt;&gt;"invalid",NOT(OR(AND(LEN(E18&amp;"")=10,LEFT(E18&amp;"",2)="09"),AND(LEN(E18&amp;"")=9,LEFT(E18&amp;"",1)="9")))),COUNTIFS($A$6:$A$505,A18,$B$6:$B$505,B18,$E$6:$E$505,E18)&gt;1),"REVIEW","READY"))</f>
        <v/>
      </c>
      <c r="N18" s="27" t="str">
        <f>IF(M18="","",IF(M18="READY","",TRIM(IF(A18="","missing entity_type; ","")&amp;IF(B18="","missing entity_key; ","")&amp;IF(C18="","missing contact_order; ","")&amp;IF(D18="","missing contact_type; ","")&amp;IF(E18="","missing number; ","")&amp;IF(J18="","missing status; ","")&amp;IF(AND(A18="client",COUNTIF(الزبائن!$A$6:$A$505,B18)=0),"client key not found; ","")&amp;IF(AND(A18="proposed_name",COUNTIF('أسماء مقترحة'!$A$6:$A$505,B18)=0),"proposed_name key not found; ","")&amp;IF(AND(D18="mobile",J18&lt;&gt;"invalid",NOT(OR(AND(LEN(E18&amp;"")=10,LEFT(E18&amp;"",2)="09"),AND(LEN(E18&amp;"")=9,LEFT(E18&amp;"",1)="9")))),"mobile must be 09XXXXXXXX or status invalid; ","")&amp;IF(COUNTIFS($A$6:$A$505,A18,$B$6:$B$505,B18,$E$6:$E$505,E18)&gt;1,"duplicate number for same entity; ",""))))</f>
        <v/>
      </c>
    </row>
    <row r="19" spans="1:14">
      <c r="A19" s="23"/>
      <c r="B19" s="24"/>
      <c r="C19" s="25"/>
      <c r="D19" s="25"/>
      <c r="E19" s="24"/>
      <c r="F19" s="24"/>
      <c r="G19" s="25"/>
      <c r="H19" s="25"/>
      <c r="I19" s="25"/>
      <c r="J19" s="25"/>
      <c r="K19" s="25"/>
      <c r="L19" s="25"/>
      <c r="M19" s="25" t="str">
        <f>IF(AND(A19="",B19="",E19=""),"",IF(OR(A19="",B19="",C19="",D19="",E19="",J19="",AND(A19="client",COUNTIF(الزبائن!$A$6:$A$505,B19)=0),AND(A19="proposed_name",COUNTIF('أسماء مقترحة'!$A$6:$A$505,B19)=0),AND(D19="mobile",J19&lt;&gt;"invalid",NOT(OR(AND(LEN(E19&amp;"")=10,LEFT(E19&amp;"",2)="09"),AND(LEN(E19&amp;"")=9,LEFT(E19&amp;"",1)="9")))),COUNTIFS($A$6:$A$505,A19,$B$6:$B$505,B19,$E$6:$E$505,E19)&gt;1),"REVIEW","READY"))</f>
        <v/>
      </c>
      <c r="N19" s="27" t="str">
        <f>IF(M19="","",IF(M19="READY","",TRIM(IF(A19="","missing entity_type; ","")&amp;IF(B19="","missing entity_key; ","")&amp;IF(C19="","missing contact_order; ","")&amp;IF(D19="","missing contact_type; ","")&amp;IF(E19="","missing number; ","")&amp;IF(J19="","missing status; ","")&amp;IF(AND(A19="client",COUNTIF(الزبائن!$A$6:$A$505,B19)=0),"client key not found; ","")&amp;IF(AND(A19="proposed_name",COUNTIF('أسماء مقترحة'!$A$6:$A$505,B19)=0),"proposed_name key not found; ","")&amp;IF(AND(D19="mobile",J19&lt;&gt;"invalid",NOT(OR(AND(LEN(E19&amp;"")=10,LEFT(E19&amp;"",2)="09"),AND(LEN(E19&amp;"")=9,LEFT(E19&amp;"",1)="9")))),"mobile must be 09XXXXXXXX or status invalid; ","")&amp;IF(COUNTIFS($A$6:$A$505,A19,$B$6:$B$505,B19,$E$6:$E$505,E19)&gt;1,"duplicate number for same entity; ",""))))</f>
        <v/>
      </c>
    </row>
    <row r="20" spans="1:14">
      <c r="A20" s="23"/>
      <c r="B20" s="24"/>
      <c r="C20" s="25"/>
      <c r="D20" s="25"/>
      <c r="E20" s="24"/>
      <c r="F20" s="24"/>
      <c r="G20" s="25"/>
      <c r="H20" s="25"/>
      <c r="I20" s="25"/>
      <c r="J20" s="25"/>
      <c r="K20" s="25"/>
      <c r="L20" s="25"/>
      <c r="M20" s="25" t="str">
        <f>IF(AND(A20="",B20="",E20=""),"",IF(OR(A20="",B20="",C20="",D20="",E20="",J20="",AND(A20="client",COUNTIF(الزبائن!$A$6:$A$505,B20)=0),AND(A20="proposed_name",COUNTIF('أسماء مقترحة'!$A$6:$A$505,B20)=0),AND(D20="mobile",J20&lt;&gt;"invalid",NOT(OR(AND(LEN(E20&amp;"")=10,LEFT(E20&amp;"",2)="09"),AND(LEN(E20&amp;"")=9,LEFT(E20&amp;"",1)="9")))),COUNTIFS($A$6:$A$505,A20,$B$6:$B$505,B20,$E$6:$E$505,E20)&gt;1),"REVIEW","READY"))</f>
        <v/>
      </c>
      <c r="N20" s="27" t="str">
        <f>IF(M20="","",IF(M20="READY","",TRIM(IF(A20="","missing entity_type; ","")&amp;IF(B20="","missing entity_key; ","")&amp;IF(C20="","missing contact_order; ","")&amp;IF(D20="","missing contact_type; ","")&amp;IF(E20="","missing number; ","")&amp;IF(J20="","missing status; ","")&amp;IF(AND(A20="client",COUNTIF(الزبائن!$A$6:$A$505,B20)=0),"client key not found; ","")&amp;IF(AND(A20="proposed_name",COUNTIF('أسماء مقترحة'!$A$6:$A$505,B20)=0),"proposed_name key not found; ","")&amp;IF(AND(D20="mobile",J20&lt;&gt;"invalid",NOT(OR(AND(LEN(E20&amp;"")=10,LEFT(E20&amp;"",2)="09"),AND(LEN(E20&amp;"")=9,LEFT(E20&amp;"",1)="9")))),"mobile must be 09XXXXXXXX or status invalid; ","")&amp;IF(COUNTIFS($A$6:$A$505,A20,$B$6:$B$505,B20,$E$6:$E$505,E20)&gt;1,"duplicate number for same entity; ",""))))</f>
        <v/>
      </c>
    </row>
    <row r="21" spans="1:14">
      <c r="A21" s="23"/>
      <c r="B21" s="24"/>
      <c r="C21" s="25"/>
      <c r="D21" s="25"/>
      <c r="E21" s="24"/>
      <c r="F21" s="24"/>
      <c r="G21" s="25"/>
      <c r="H21" s="25"/>
      <c r="I21" s="25"/>
      <c r="J21" s="25"/>
      <c r="K21" s="25"/>
      <c r="L21" s="25"/>
      <c r="M21" s="25" t="str">
        <f>IF(AND(A21="",B21="",E21=""),"",IF(OR(A21="",B21="",C21="",D21="",E21="",J21="",AND(A21="client",COUNTIF(الزبائن!$A$6:$A$505,B21)=0),AND(A21="proposed_name",COUNTIF('أسماء مقترحة'!$A$6:$A$505,B21)=0),AND(D21="mobile",J21&lt;&gt;"invalid",NOT(OR(AND(LEN(E21&amp;"")=10,LEFT(E21&amp;"",2)="09"),AND(LEN(E21&amp;"")=9,LEFT(E21&amp;"",1)="9")))),COUNTIFS($A$6:$A$505,A21,$B$6:$B$505,B21,$E$6:$E$505,E21)&gt;1),"REVIEW","READY"))</f>
        <v/>
      </c>
      <c r="N21" s="27" t="str">
        <f>IF(M21="","",IF(M21="READY","",TRIM(IF(A21="","missing entity_type; ","")&amp;IF(B21="","missing entity_key; ","")&amp;IF(C21="","missing contact_order; ","")&amp;IF(D21="","missing contact_type; ","")&amp;IF(E21="","missing number; ","")&amp;IF(J21="","missing status; ","")&amp;IF(AND(A21="client",COUNTIF(الزبائن!$A$6:$A$505,B21)=0),"client key not found; ","")&amp;IF(AND(A21="proposed_name",COUNTIF('أسماء مقترحة'!$A$6:$A$505,B21)=0),"proposed_name key not found; ","")&amp;IF(AND(D21="mobile",J21&lt;&gt;"invalid",NOT(OR(AND(LEN(E21&amp;"")=10,LEFT(E21&amp;"",2)="09"),AND(LEN(E21&amp;"")=9,LEFT(E21&amp;"",1)="9")))),"mobile must be 09XXXXXXXX or status invalid; ","")&amp;IF(COUNTIFS($A$6:$A$505,A21,$B$6:$B$505,B21,$E$6:$E$505,E21)&gt;1,"duplicate number for same entity; ",""))))</f>
        <v/>
      </c>
    </row>
    <row r="22" spans="1:14">
      <c r="A22" s="23"/>
      <c r="B22" s="24"/>
      <c r="C22" s="25"/>
      <c r="D22" s="25"/>
      <c r="E22" s="24"/>
      <c r="F22" s="24"/>
      <c r="G22" s="25"/>
      <c r="H22" s="25"/>
      <c r="I22" s="25"/>
      <c r="J22" s="25"/>
      <c r="K22" s="25"/>
      <c r="L22" s="25"/>
      <c r="M22" s="25" t="str">
        <f>IF(AND(A22="",B22="",E22=""),"",IF(OR(A22="",B22="",C22="",D22="",E22="",J22="",AND(A22="client",COUNTIF(الزبائن!$A$6:$A$505,B22)=0),AND(A22="proposed_name",COUNTIF('أسماء مقترحة'!$A$6:$A$505,B22)=0),AND(D22="mobile",J22&lt;&gt;"invalid",NOT(OR(AND(LEN(E22&amp;"")=10,LEFT(E22&amp;"",2)="09"),AND(LEN(E22&amp;"")=9,LEFT(E22&amp;"",1)="9")))),COUNTIFS($A$6:$A$505,A22,$B$6:$B$505,B22,$E$6:$E$505,E22)&gt;1),"REVIEW","READY"))</f>
        <v/>
      </c>
      <c r="N22" s="27" t="str">
        <f>IF(M22="","",IF(M22="READY","",TRIM(IF(A22="","missing entity_type; ","")&amp;IF(B22="","missing entity_key; ","")&amp;IF(C22="","missing contact_order; ","")&amp;IF(D22="","missing contact_type; ","")&amp;IF(E22="","missing number; ","")&amp;IF(J22="","missing status; ","")&amp;IF(AND(A22="client",COUNTIF(الزبائن!$A$6:$A$505,B22)=0),"client key not found; ","")&amp;IF(AND(A22="proposed_name",COUNTIF('أسماء مقترحة'!$A$6:$A$505,B22)=0),"proposed_name key not found; ","")&amp;IF(AND(D22="mobile",J22&lt;&gt;"invalid",NOT(OR(AND(LEN(E22&amp;"")=10,LEFT(E22&amp;"",2)="09"),AND(LEN(E22&amp;"")=9,LEFT(E22&amp;"",1)="9")))),"mobile must be 09XXXXXXXX or status invalid; ","")&amp;IF(COUNTIFS($A$6:$A$505,A22,$B$6:$B$505,B22,$E$6:$E$505,E22)&gt;1,"duplicate number for same entity; ",""))))</f>
        <v/>
      </c>
    </row>
    <row r="23" spans="1:14">
      <c r="A23" s="23"/>
      <c r="B23" s="24"/>
      <c r="C23" s="25"/>
      <c r="D23" s="25"/>
      <c r="E23" s="24"/>
      <c r="F23" s="24"/>
      <c r="G23" s="25"/>
      <c r="H23" s="25"/>
      <c r="I23" s="25"/>
      <c r="J23" s="25"/>
      <c r="K23" s="25"/>
      <c r="L23" s="25"/>
      <c r="M23" s="25" t="str">
        <f>IF(AND(A23="",B23="",E23=""),"",IF(OR(A23="",B23="",C23="",D23="",E23="",J23="",AND(A23="client",COUNTIF(الزبائن!$A$6:$A$505,B23)=0),AND(A23="proposed_name",COUNTIF('أسماء مقترحة'!$A$6:$A$505,B23)=0),AND(D23="mobile",J23&lt;&gt;"invalid",NOT(OR(AND(LEN(E23&amp;"")=10,LEFT(E23&amp;"",2)="09"),AND(LEN(E23&amp;"")=9,LEFT(E23&amp;"",1)="9")))),COUNTIFS($A$6:$A$505,A23,$B$6:$B$505,B23,$E$6:$E$505,E23)&gt;1),"REVIEW","READY"))</f>
        <v/>
      </c>
      <c r="N23" s="27" t="str">
        <f>IF(M23="","",IF(M23="READY","",TRIM(IF(A23="","missing entity_type; ","")&amp;IF(B23="","missing entity_key; ","")&amp;IF(C23="","missing contact_order; ","")&amp;IF(D23="","missing contact_type; ","")&amp;IF(E23="","missing number; ","")&amp;IF(J23="","missing status; ","")&amp;IF(AND(A23="client",COUNTIF(الزبائن!$A$6:$A$505,B23)=0),"client key not found; ","")&amp;IF(AND(A23="proposed_name",COUNTIF('أسماء مقترحة'!$A$6:$A$505,B23)=0),"proposed_name key not found; ","")&amp;IF(AND(D23="mobile",J23&lt;&gt;"invalid",NOT(OR(AND(LEN(E23&amp;"")=10,LEFT(E23&amp;"",2)="09"),AND(LEN(E23&amp;"")=9,LEFT(E23&amp;"",1)="9")))),"mobile must be 09XXXXXXXX or status invalid; ","")&amp;IF(COUNTIFS($A$6:$A$505,A23,$B$6:$B$505,B23,$E$6:$E$505,E23)&gt;1,"duplicate number for same entity; ",""))))</f>
        <v/>
      </c>
    </row>
    <row r="24" spans="1:14">
      <c r="A24" s="23"/>
      <c r="B24" s="24"/>
      <c r="C24" s="25"/>
      <c r="D24" s="25"/>
      <c r="E24" s="24"/>
      <c r="F24" s="24"/>
      <c r="G24" s="25"/>
      <c r="H24" s="25"/>
      <c r="I24" s="25"/>
      <c r="J24" s="25"/>
      <c r="K24" s="25"/>
      <c r="L24" s="25"/>
      <c r="M24" s="25" t="str">
        <f>IF(AND(A24="",B24="",E24=""),"",IF(OR(A24="",B24="",C24="",D24="",E24="",J24="",AND(A24="client",COUNTIF(الزبائن!$A$6:$A$505,B24)=0),AND(A24="proposed_name",COUNTIF('أسماء مقترحة'!$A$6:$A$505,B24)=0),AND(D24="mobile",J24&lt;&gt;"invalid",NOT(OR(AND(LEN(E24&amp;"")=10,LEFT(E24&amp;"",2)="09"),AND(LEN(E24&amp;"")=9,LEFT(E24&amp;"",1)="9")))),COUNTIFS($A$6:$A$505,A24,$B$6:$B$505,B24,$E$6:$E$505,E24)&gt;1),"REVIEW","READY"))</f>
        <v/>
      </c>
      <c r="N24" s="27" t="str">
        <f>IF(M24="","",IF(M24="READY","",TRIM(IF(A24="","missing entity_type; ","")&amp;IF(B24="","missing entity_key; ","")&amp;IF(C24="","missing contact_order; ","")&amp;IF(D24="","missing contact_type; ","")&amp;IF(E24="","missing number; ","")&amp;IF(J24="","missing status; ","")&amp;IF(AND(A24="client",COUNTIF(الزبائن!$A$6:$A$505,B24)=0),"client key not found; ","")&amp;IF(AND(A24="proposed_name",COUNTIF('أسماء مقترحة'!$A$6:$A$505,B24)=0),"proposed_name key not found; ","")&amp;IF(AND(D24="mobile",J24&lt;&gt;"invalid",NOT(OR(AND(LEN(E24&amp;"")=10,LEFT(E24&amp;"",2)="09"),AND(LEN(E24&amp;"")=9,LEFT(E24&amp;"",1)="9")))),"mobile must be 09XXXXXXXX or status invalid; ","")&amp;IF(COUNTIFS($A$6:$A$505,A24,$B$6:$B$505,B24,$E$6:$E$505,E24)&gt;1,"duplicate number for same entity; ",""))))</f>
        <v/>
      </c>
    </row>
    <row r="25" spans="1:14">
      <c r="A25" s="23"/>
      <c r="B25" s="24"/>
      <c r="C25" s="25"/>
      <c r="D25" s="25"/>
      <c r="E25" s="24"/>
      <c r="F25" s="24"/>
      <c r="G25" s="25"/>
      <c r="H25" s="25"/>
      <c r="I25" s="25"/>
      <c r="J25" s="25"/>
      <c r="K25" s="25"/>
      <c r="L25" s="25"/>
      <c r="M25" s="25" t="str">
        <f>IF(AND(A25="",B25="",E25=""),"",IF(OR(A25="",B25="",C25="",D25="",E25="",J25="",AND(A25="client",COUNTIF(الزبائن!$A$6:$A$505,B25)=0),AND(A25="proposed_name",COUNTIF('أسماء مقترحة'!$A$6:$A$505,B25)=0),AND(D25="mobile",J25&lt;&gt;"invalid",NOT(OR(AND(LEN(E25&amp;"")=10,LEFT(E25&amp;"",2)="09"),AND(LEN(E25&amp;"")=9,LEFT(E25&amp;"",1)="9")))),COUNTIFS($A$6:$A$505,A25,$B$6:$B$505,B25,$E$6:$E$505,E25)&gt;1),"REVIEW","READY"))</f>
        <v/>
      </c>
      <c r="N25" s="27" t="str">
        <f>IF(M25="","",IF(M25="READY","",TRIM(IF(A25="","missing entity_type; ","")&amp;IF(B25="","missing entity_key; ","")&amp;IF(C25="","missing contact_order; ","")&amp;IF(D25="","missing contact_type; ","")&amp;IF(E25="","missing number; ","")&amp;IF(J25="","missing status; ","")&amp;IF(AND(A25="client",COUNTIF(الزبائن!$A$6:$A$505,B25)=0),"client key not found; ","")&amp;IF(AND(A25="proposed_name",COUNTIF('أسماء مقترحة'!$A$6:$A$505,B25)=0),"proposed_name key not found; ","")&amp;IF(AND(D25="mobile",J25&lt;&gt;"invalid",NOT(OR(AND(LEN(E25&amp;"")=10,LEFT(E25&amp;"",2)="09"),AND(LEN(E25&amp;"")=9,LEFT(E25&amp;"",1)="9")))),"mobile must be 09XXXXXXXX or status invalid; ","")&amp;IF(COUNTIFS($A$6:$A$505,A25,$B$6:$B$505,B25,$E$6:$E$505,E25)&gt;1,"duplicate number for same entity; ",""))))</f>
        <v/>
      </c>
    </row>
    <row r="26" spans="1:14">
      <c r="A26" s="23"/>
      <c r="B26" s="24"/>
      <c r="C26" s="25"/>
      <c r="D26" s="25"/>
      <c r="E26" s="24"/>
      <c r="F26" s="24"/>
      <c r="G26" s="25"/>
      <c r="H26" s="25"/>
      <c r="I26" s="25"/>
      <c r="J26" s="25"/>
      <c r="K26" s="25"/>
      <c r="L26" s="25"/>
      <c r="M26" s="25" t="str">
        <f>IF(AND(A26="",B26="",E26=""),"",IF(OR(A26="",B26="",C26="",D26="",E26="",J26="",AND(A26="client",COUNTIF(الزبائن!$A$6:$A$505,B26)=0),AND(A26="proposed_name",COUNTIF('أسماء مقترحة'!$A$6:$A$505,B26)=0),AND(D26="mobile",J26&lt;&gt;"invalid",NOT(OR(AND(LEN(E26&amp;"")=10,LEFT(E26&amp;"",2)="09"),AND(LEN(E26&amp;"")=9,LEFT(E26&amp;"",1)="9")))),COUNTIFS($A$6:$A$505,A26,$B$6:$B$505,B26,$E$6:$E$505,E26)&gt;1),"REVIEW","READY"))</f>
        <v/>
      </c>
      <c r="N26" s="27" t="str">
        <f>IF(M26="","",IF(M26="READY","",TRIM(IF(A26="","missing entity_type; ","")&amp;IF(B26="","missing entity_key; ","")&amp;IF(C26="","missing contact_order; ","")&amp;IF(D26="","missing contact_type; ","")&amp;IF(E26="","missing number; ","")&amp;IF(J26="","missing status; ","")&amp;IF(AND(A26="client",COUNTIF(الزبائن!$A$6:$A$505,B26)=0),"client key not found; ","")&amp;IF(AND(A26="proposed_name",COUNTIF('أسماء مقترحة'!$A$6:$A$505,B26)=0),"proposed_name key not found; ","")&amp;IF(AND(D26="mobile",J26&lt;&gt;"invalid",NOT(OR(AND(LEN(E26&amp;"")=10,LEFT(E26&amp;"",2)="09"),AND(LEN(E26&amp;"")=9,LEFT(E26&amp;"",1)="9")))),"mobile must be 09XXXXXXXX or status invalid; ","")&amp;IF(COUNTIFS($A$6:$A$505,A26,$B$6:$B$505,B26,$E$6:$E$505,E26)&gt;1,"duplicate number for same entity; ",""))))</f>
        <v/>
      </c>
    </row>
    <row r="27" spans="1:14">
      <c r="A27" s="23"/>
      <c r="B27" s="24"/>
      <c r="C27" s="25"/>
      <c r="D27" s="25"/>
      <c r="E27" s="24"/>
      <c r="F27" s="24"/>
      <c r="G27" s="25"/>
      <c r="H27" s="25"/>
      <c r="I27" s="25"/>
      <c r="J27" s="25"/>
      <c r="K27" s="25"/>
      <c r="L27" s="25"/>
      <c r="M27" s="25" t="str">
        <f>IF(AND(A27="",B27="",E27=""),"",IF(OR(A27="",B27="",C27="",D27="",E27="",J27="",AND(A27="client",COUNTIF(الزبائن!$A$6:$A$505,B27)=0),AND(A27="proposed_name",COUNTIF('أسماء مقترحة'!$A$6:$A$505,B27)=0),AND(D27="mobile",J27&lt;&gt;"invalid",NOT(OR(AND(LEN(E27&amp;"")=10,LEFT(E27&amp;"",2)="09"),AND(LEN(E27&amp;"")=9,LEFT(E27&amp;"",1)="9")))),COUNTIFS($A$6:$A$505,A27,$B$6:$B$505,B27,$E$6:$E$505,E27)&gt;1),"REVIEW","READY"))</f>
        <v/>
      </c>
      <c r="N27" s="27" t="str">
        <f>IF(M27="","",IF(M27="READY","",TRIM(IF(A27="","missing entity_type; ","")&amp;IF(B27="","missing entity_key; ","")&amp;IF(C27="","missing contact_order; ","")&amp;IF(D27="","missing contact_type; ","")&amp;IF(E27="","missing number; ","")&amp;IF(J27="","missing status; ","")&amp;IF(AND(A27="client",COUNTIF(الزبائن!$A$6:$A$505,B27)=0),"client key not found; ","")&amp;IF(AND(A27="proposed_name",COUNTIF('أسماء مقترحة'!$A$6:$A$505,B27)=0),"proposed_name key not found; ","")&amp;IF(AND(D27="mobile",J27&lt;&gt;"invalid",NOT(OR(AND(LEN(E27&amp;"")=10,LEFT(E27&amp;"",2)="09"),AND(LEN(E27&amp;"")=9,LEFT(E27&amp;"",1)="9")))),"mobile must be 09XXXXXXXX or status invalid; ","")&amp;IF(COUNTIFS($A$6:$A$505,A27,$B$6:$B$505,B27,$E$6:$E$505,E27)&gt;1,"duplicate number for same entity; ",""))))</f>
        <v/>
      </c>
    </row>
    <row r="28" spans="1:14">
      <c r="A28" s="23"/>
      <c r="B28" s="24"/>
      <c r="C28" s="25"/>
      <c r="D28" s="25"/>
      <c r="E28" s="24"/>
      <c r="F28" s="24"/>
      <c r="G28" s="25"/>
      <c r="H28" s="25"/>
      <c r="I28" s="25"/>
      <c r="J28" s="25"/>
      <c r="K28" s="25"/>
      <c r="L28" s="25"/>
      <c r="M28" s="25" t="str">
        <f>IF(AND(A28="",B28="",E28=""),"",IF(OR(A28="",B28="",C28="",D28="",E28="",J28="",AND(A28="client",COUNTIF(الزبائن!$A$6:$A$505,B28)=0),AND(A28="proposed_name",COUNTIF('أسماء مقترحة'!$A$6:$A$505,B28)=0),AND(D28="mobile",J28&lt;&gt;"invalid",NOT(OR(AND(LEN(E28&amp;"")=10,LEFT(E28&amp;"",2)="09"),AND(LEN(E28&amp;"")=9,LEFT(E28&amp;"",1)="9")))),COUNTIFS($A$6:$A$505,A28,$B$6:$B$505,B28,$E$6:$E$505,E28)&gt;1),"REVIEW","READY"))</f>
        <v/>
      </c>
      <c r="N28" s="27" t="str">
        <f>IF(M28="","",IF(M28="READY","",TRIM(IF(A28="","missing entity_type; ","")&amp;IF(B28="","missing entity_key; ","")&amp;IF(C28="","missing contact_order; ","")&amp;IF(D28="","missing contact_type; ","")&amp;IF(E28="","missing number; ","")&amp;IF(J28="","missing status; ","")&amp;IF(AND(A28="client",COUNTIF(الزبائن!$A$6:$A$505,B28)=0),"client key not found; ","")&amp;IF(AND(A28="proposed_name",COUNTIF('أسماء مقترحة'!$A$6:$A$505,B28)=0),"proposed_name key not found; ","")&amp;IF(AND(D28="mobile",J28&lt;&gt;"invalid",NOT(OR(AND(LEN(E28&amp;"")=10,LEFT(E28&amp;"",2)="09"),AND(LEN(E28&amp;"")=9,LEFT(E28&amp;"",1)="9")))),"mobile must be 09XXXXXXXX or status invalid; ","")&amp;IF(COUNTIFS($A$6:$A$505,A28,$B$6:$B$505,B28,$E$6:$E$505,E28)&gt;1,"duplicate number for same entity; ",""))))</f>
        <v/>
      </c>
    </row>
    <row r="29" spans="1:14">
      <c r="A29" s="23"/>
      <c r="B29" s="24"/>
      <c r="C29" s="25"/>
      <c r="D29" s="25"/>
      <c r="E29" s="24"/>
      <c r="F29" s="24"/>
      <c r="G29" s="25"/>
      <c r="H29" s="25"/>
      <c r="I29" s="25"/>
      <c r="J29" s="25"/>
      <c r="K29" s="25"/>
      <c r="L29" s="25"/>
      <c r="M29" s="25" t="str">
        <f>IF(AND(A29="",B29="",E29=""),"",IF(OR(A29="",B29="",C29="",D29="",E29="",J29="",AND(A29="client",COUNTIF(الزبائن!$A$6:$A$505,B29)=0),AND(A29="proposed_name",COUNTIF('أسماء مقترحة'!$A$6:$A$505,B29)=0),AND(D29="mobile",J29&lt;&gt;"invalid",NOT(OR(AND(LEN(E29&amp;"")=10,LEFT(E29&amp;"",2)="09"),AND(LEN(E29&amp;"")=9,LEFT(E29&amp;"",1)="9")))),COUNTIFS($A$6:$A$505,A29,$B$6:$B$505,B29,$E$6:$E$505,E29)&gt;1),"REVIEW","READY"))</f>
        <v/>
      </c>
      <c r="N29" s="27" t="str">
        <f>IF(M29="","",IF(M29="READY","",TRIM(IF(A29="","missing entity_type; ","")&amp;IF(B29="","missing entity_key; ","")&amp;IF(C29="","missing contact_order; ","")&amp;IF(D29="","missing contact_type; ","")&amp;IF(E29="","missing number; ","")&amp;IF(J29="","missing status; ","")&amp;IF(AND(A29="client",COUNTIF(الزبائن!$A$6:$A$505,B29)=0),"client key not found; ","")&amp;IF(AND(A29="proposed_name",COUNTIF('أسماء مقترحة'!$A$6:$A$505,B29)=0),"proposed_name key not found; ","")&amp;IF(AND(D29="mobile",J29&lt;&gt;"invalid",NOT(OR(AND(LEN(E29&amp;"")=10,LEFT(E29&amp;"",2)="09"),AND(LEN(E29&amp;"")=9,LEFT(E29&amp;"",1)="9")))),"mobile must be 09XXXXXXXX or status invalid; ","")&amp;IF(COUNTIFS($A$6:$A$505,A29,$B$6:$B$505,B29,$E$6:$E$505,E29)&gt;1,"duplicate number for same entity; ",""))))</f>
        <v/>
      </c>
    </row>
    <row r="30" spans="1:14">
      <c r="A30" s="23"/>
      <c r="B30" s="24"/>
      <c r="C30" s="25"/>
      <c r="D30" s="25"/>
      <c r="E30" s="24"/>
      <c r="F30" s="24"/>
      <c r="G30" s="25"/>
      <c r="H30" s="25"/>
      <c r="I30" s="25"/>
      <c r="J30" s="25"/>
      <c r="K30" s="25"/>
      <c r="L30" s="25"/>
      <c r="M30" s="25" t="str">
        <f>IF(AND(A30="",B30="",E30=""),"",IF(OR(A30="",B30="",C30="",D30="",E30="",J30="",AND(A30="client",COUNTIF(الزبائن!$A$6:$A$505,B30)=0),AND(A30="proposed_name",COUNTIF('أسماء مقترحة'!$A$6:$A$505,B30)=0),AND(D30="mobile",J30&lt;&gt;"invalid",NOT(OR(AND(LEN(E30&amp;"")=10,LEFT(E30&amp;"",2)="09"),AND(LEN(E30&amp;"")=9,LEFT(E30&amp;"",1)="9")))),COUNTIFS($A$6:$A$505,A30,$B$6:$B$505,B30,$E$6:$E$505,E30)&gt;1),"REVIEW","READY"))</f>
        <v/>
      </c>
      <c r="N30" s="27" t="str">
        <f>IF(M30="","",IF(M30="READY","",TRIM(IF(A30="","missing entity_type; ","")&amp;IF(B30="","missing entity_key; ","")&amp;IF(C30="","missing contact_order; ","")&amp;IF(D30="","missing contact_type; ","")&amp;IF(E30="","missing number; ","")&amp;IF(J30="","missing status; ","")&amp;IF(AND(A30="client",COUNTIF(الزبائن!$A$6:$A$505,B30)=0),"client key not found; ","")&amp;IF(AND(A30="proposed_name",COUNTIF('أسماء مقترحة'!$A$6:$A$505,B30)=0),"proposed_name key not found; ","")&amp;IF(AND(D30="mobile",J30&lt;&gt;"invalid",NOT(OR(AND(LEN(E30&amp;"")=10,LEFT(E30&amp;"",2)="09"),AND(LEN(E30&amp;"")=9,LEFT(E30&amp;"",1)="9")))),"mobile must be 09XXXXXXXX or status invalid; ","")&amp;IF(COUNTIFS($A$6:$A$505,A30,$B$6:$B$505,B30,$E$6:$E$505,E30)&gt;1,"duplicate number for same entity; ",""))))</f>
        <v/>
      </c>
    </row>
    <row r="31" spans="1:14">
      <c r="A31" s="23"/>
      <c r="B31" s="24"/>
      <c r="C31" s="25"/>
      <c r="D31" s="25"/>
      <c r="E31" s="24"/>
      <c r="F31" s="24"/>
      <c r="G31" s="25"/>
      <c r="H31" s="25"/>
      <c r="I31" s="25"/>
      <c r="J31" s="25"/>
      <c r="K31" s="25"/>
      <c r="L31" s="25"/>
      <c r="M31" s="25" t="str">
        <f>IF(AND(A31="",B31="",E31=""),"",IF(OR(A31="",B31="",C31="",D31="",E31="",J31="",AND(A31="client",COUNTIF(الزبائن!$A$6:$A$505,B31)=0),AND(A31="proposed_name",COUNTIF('أسماء مقترحة'!$A$6:$A$505,B31)=0),AND(D31="mobile",J31&lt;&gt;"invalid",NOT(OR(AND(LEN(E31&amp;"")=10,LEFT(E31&amp;"",2)="09"),AND(LEN(E31&amp;"")=9,LEFT(E31&amp;"",1)="9")))),COUNTIFS($A$6:$A$505,A31,$B$6:$B$505,B31,$E$6:$E$505,E31)&gt;1),"REVIEW","READY"))</f>
        <v/>
      </c>
      <c r="N31" s="27" t="str">
        <f>IF(M31="","",IF(M31="READY","",TRIM(IF(A31="","missing entity_type; ","")&amp;IF(B31="","missing entity_key; ","")&amp;IF(C31="","missing contact_order; ","")&amp;IF(D31="","missing contact_type; ","")&amp;IF(E31="","missing number; ","")&amp;IF(J31="","missing status; ","")&amp;IF(AND(A31="client",COUNTIF(الزبائن!$A$6:$A$505,B31)=0),"client key not found; ","")&amp;IF(AND(A31="proposed_name",COUNTIF('أسماء مقترحة'!$A$6:$A$505,B31)=0),"proposed_name key not found; ","")&amp;IF(AND(D31="mobile",J31&lt;&gt;"invalid",NOT(OR(AND(LEN(E31&amp;"")=10,LEFT(E31&amp;"",2)="09"),AND(LEN(E31&amp;"")=9,LEFT(E31&amp;"",1)="9")))),"mobile must be 09XXXXXXXX or status invalid; ","")&amp;IF(COUNTIFS($A$6:$A$505,A31,$B$6:$B$505,B31,$E$6:$E$505,E31)&gt;1,"duplicate number for same entity; ",""))))</f>
        <v/>
      </c>
    </row>
    <row r="32" spans="1:14">
      <c r="A32" s="23"/>
      <c r="B32" s="24"/>
      <c r="C32" s="25"/>
      <c r="D32" s="25"/>
      <c r="E32" s="24"/>
      <c r="F32" s="24"/>
      <c r="G32" s="25"/>
      <c r="H32" s="25"/>
      <c r="I32" s="25"/>
      <c r="J32" s="25"/>
      <c r="K32" s="25"/>
      <c r="L32" s="25"/>
      <c r="M32" s="25" t="str">
        <f>IF(AND(A32="",B32="",E32=""),"",IF(OR(A32="",B32="",C32="",D32="",E32="",J32="",AND(A32="client",COUNTIF(الزبائن!$A$6:$A$505,B32)=0),AND(A32="proposed_name",COUNTIF('أسماء مقترحة'!$A$6:$A$505,B32)=0),AND(D32="mobile",J32&lt;&gt;"invalid",NOT(OR(AND(LEN(E32&amp;"")=10,LEFT(E32&amp;"",2)="09"),AND(LEN(E32&amp;"")=9,LEFT(E32&amp;"",1)="9")))),COUNTIFS($A$6:$A$505,A32,$B$6:$B$505,B32,$E$6:$E$505,E32)&gt;1),"REVIEW","READY"))</f>
        <v/>
      </c>
      <c r="N32" s="27" t="str">
        <f>IF(M32="","",IF(M32="READY","",TRIM(IF(A32="","missing entity_type; ","")&amp;IF(B32="","missing entity_key; ","")&amp;IF(C32="","missing contact_order; ","")&amp;IF(D32="","missing contact_type; ","")&amp;IF(E32="","missing number; ","")&amp;IF(J32="","missing status; ","")&amp;IF(AND(A32="client",COUNTIF(الزبائن!$A$6:$A$505,B32)=0),"client key not found; ","")&amp;IF(AND(A32="proposed_name",COUNTIF('أسماء مقترحة'!$A$6:$A$505,B32)=0),"proposed_name key not found; ","")&amp;IF(AND(D32="mobile",J32&lt;&gt;"invalid",NOT(OR(AND(LEN(E32&amp;"")=10,LEFT(E32&amp;"",2)="09"),AND(LEN(E32&amp;"")=9,LEFT(E32&amp;"",1)="9")))),"mobile must be 09XXXXXXXX or status invalid; ","")&amp;IF(COUNTIFS($A$6:$A$505,A32,$B$6:$B$505,B32,$E$6:$E$505,E32)&gt;1,"duplicate number for same entity; ",""))))</f>
        <v/>
      </c>
    </row>
    <row r="33" spans="1:14">
      <c r="A33" s="23"/>
      <c r="B33" s="24"/>
      <c r="C33" s="25"/>
      <c r="D33" s="25"/>
      <c r="E33" s="24"/>
      <c r="F33" s="24"/>
      <c r="G33" s="25"/>
      <c r="H33" s="25"/>
      <c r="I33" s="25"/>
      <c r="J33" s="25"/>
      <c r="K33" s="25"/>
      <c r="L33" s="25"/>
      <c r="M33" s="25" t="str">
        <f>IF(AND(A33="",B33="",E33=""),"",IF(OR(A33="",B33="",C33="",D33="",E33="",J33="",AND(A33="client",COUNTIF(الزبائن!$A$6:$A$505,B33)=0),AND(A33="proposed_name",COUNTIF('أسماء مقترحة'!$A$6:$A$505,B33)=0),AND(D33="mobile",J33&lt;&gt;"invalid",NOT(OR(AND(LEN(E33&amp;"")=10,LEFT(E33&amp;"",2)="09"),AND(LEN(E33&amp;"")=9,LEFT(E33&amp;"",1)="9")))),COUNTIFS($A$6:$A$505,A33,$B$6:$B$505,B33,$E$6:$E$505,E33)&gt;1),"REVIEW","READY"))</f>
        <v/>
      </c>
      <c r="N33" s="27" t="str">
        <f>IF(M33="","",IF(M33="READY","",TRIM(IF(A33="","missing entity_type; ","")&amp;IF(B33="","missing entity_key; ","")&amp;IF(C33="","missing contact_order; ","")&amp;IF(D33="","missing contact_type; ","")&amp;IF(E33="","missing number; ","")&amp;IF(J33="","missing status; ","")&amp;IF(AND(A33="client",COUNTIF(الزبائن!$A$6:$A$505,B33)=0),"client key not found; ","")&amp;IF(AND(A33="proposed_name",COUNTIF('أسماء مقترحة'!$A$6:$A$505,B33)=0),"proposed_name key not found; ","")&amp;IF(AND(D33="mobile",J33&lt;&gt;"invalid",NOT(OR(AND(LEN(E33&amp;"")=10,LEFT(E33&amp;"",2)="09"),AND(LEN(E33&amp;"")=9,LEFT(E33&amp;"",1)="9")))),"mobile must be 09XXXXXXXX or status invalid; ","")&amp;IF(COUNTIFS($A$6:$A$505,A33,$B$6:$B$505,B33,$E$6:$E$505,E33)&gt;1,"duplicate number for same entity; ",""))))</f>
        <v/>
      </c>
    </row>
    <row r="34" spans="1:14">
      <c r="A34" s="23"/>
      <c r="B34" s="24"/>
      <c r="C34" s="25"/>
      <c r="D34" s="25"/>
      <c r="E34" s="24"/>
      <c r="F34" s="24"/>
      <c r="G34" s="25"/>
      <c r="H34" s="25"/>
      <c r="I34" s="25"/>
      <c r="J34" s="25"/>
      <c r="K34" s="25"/>
      <c r="L34" s="25"/>
      <c r="M34" s="25" t="str">
        <f>IF(AND(A34="",B34="",E34=""),"",IF(OR(A34="",B34="",C34="",D34="",E34="",J34="",AND(A34="client",COUNTIF(الزبائن!$A$6:$A$505,B34)=0),AND(A34="proposed_name",COUNTIF('أسماء مقترحة'!$A$6:$A$505,B34)=0),AND(D34="mobile",J34&lt;&gt;"invalid",NOT(OR(AND(LEN(E34&amp;"")=10,LEFT(E34&amp;"",2)="09"),AND(LEN(E34&amp;"")=9,LEFT(E34&amp;"",1)="9")))),COUNTIFS($A$6:$A$505,A34,$B$6:$B$505,B34,$E$6:$E$505,E34)&gt;1),"REVIEW","READY"))</f>
        <v/>
      </c>
      <c r="N34" s="27" t="str">
        <f>IF(M34="","",IF(M34="READY","",TRIM(IF(A34="","missing entity_type; ","")&amp;IF(B34="","missing entity_key; ","")&amp;IF(C34="","missing contact_order; ","")&amp;IF(D34="","missing contact_type; ","")&amp;IF(E34="","missing number; ","")&amp;IF(J34="","missing status; ","")&amp;IF(AND(A34="client",COUNTIF(الزبائن!$A$6:$A$505,B34)=0),"client key not found; ","")&amp;IF(AND(A34="proposed_name",COUNTIF('أسماء مقترحة'!$A$6:$A$505,B34)=0),"proposed_name key not found; ","")&amp;IF(AND(D34="mobile",J34&lt;&gt;"invalid",NOT(OR(AND(LEN(E34&amp;"")=10,LEFT(E34&amp;"",2)="09"),AND(LEN(E34&amp;"")=9,LEFT(E34&amp;"",1)="9")))),"mobile must be 09XXXXXXXX or status invalid; ","")&amp;IF(COUNTIFS($A$6:$A$505,A34,$B$6:$B$505,B34,$E$6:$E$505,E34)&gt;1,"duplicate number for same entity; ",""))))</f>
        <v/>
      </c>
    </row>
    <row r="35" spans="1:14">
      <c r="A35" s="23"/>
      <c r="B35" s="24"/>
      <c r="C35" s="25"/>
      <c r="D35" s="25"/>
      <c r="E35" s="24"/>
      <c r="F35" s="24"/>
      <c r="G35" s="25"/>
      <c r="H35" s="25"/>
      <c r="I35" s="25"/>
      <c r="J35" s="25"/>
      <c r="K35" s="25"/>
      <c r="L35" s="25"/>
      <c r="M35" s="25" t="str">
        <f>IF(AND(A35="",B35="",E35=""),"",IF(OR(A35="",B35="",C35="",D35="",E35="",J35="",AND(A35="client",COUNTIF(الزبائن!$A$6:$A$505,B35)=0),AND(A35="proposed_name",COUNTIF('أسماء مقترحة'!$A$6:$A$505,B35)=0),AND(D35="mobile",J35&lt;&gt;"invalid",NOT(OR(AND(LEN(E35&amp;"")=10,LEFT(E35&amp;"",2)="09"),AND(LEN(E35&amp;"")=9,LEFT(E35&amp;"",1)="9")))),COUNTIFS($A$6:$A$505,A35,$B$6:$B$505,B35,$E$6:$E$505,E35)&gt;1),"REVIEW","READY"))</f>
        <v/>
      </c>
      <c r="N35" s="27" t="str">
        <f>IF(M35="","",IF(M35="READY","",TRIM(IF(A35="","missing entity_type; ","")&amp;IF(B35="","missing entity_key; ","")&amp;IF(C35="","missing contact_order; ","")&amp;IF(D35="","missing contact_type; ","")&amp;IF(E35="","missing number; ","")&amp;IF(J35="","missing status; ","")&amp;IF(AND(A35="client",COUNTIF(الزبائن!$A$6:$A$505,B35)=0),"client key not found; ","")&amp;IF(AND(A35="proposed_name",COUNTIF('أسماء مقترحة'!$A$6:$A$505,B35)=0),"proposed_name key not found; ","")&amp;IF(AND(D35="mobile",J35&lt;&gt;"invalid",NOT(OR(AND(LEN(E35&amp;"")=10,LEFT(E35&amp;"",2)="09"),AND(LEN(E35&amp;"")=9,LEFT(E35&amp;"",1)="9")))),"mobile must be 09XXXXXXXX or status invalid; ","")&amp;IF(COUNTIFS($A$6:$A$505,A35,$B$6:$B$505,B35,$E$6:$E$505,E35)&gt;1,"duplicate number for same entity; ",""))))</f>
        <v/>
      </c>
    </row>
    <row r="36" spans="1:14">
      <c r="A36" s="23"/>
      <c r="B36" s="24"/>
      <c r="C36" s="25"/>
      <c r="D36" s="25"/>
      <c r="E36" s="24"/>
      <c r="F36" s="24"/>
      <c r="G36" s="25"/>
      <c r="H36" s="25"/>
      <c r="I36" s="25"/>
      <c r="J36" s="25"/>
      <c r="K36" s="25"/>
      <c r="L36" s="25"/>
      <c r="M36" s="25" t="str">
        <f>IF(AND(A36="",B36="",E36=""),"",IF(OR(A36="",B36="",C36="",D36="",E36="",J36="",AND(A36="client",COUNTIF(الزبائن!$A$6:$A$505,B36)=0),AND(A36="proposed_name",COUNTIF('أسماء مقترحة'!$A$6:$A$505,B36)=0),AND(D36="mobile",J36&lt;&gt;"invalid",NOT(OR(AND(LEN(E36&amp;"")=10,LEFT(E36&amp;"",2)="09"),AND(LEN(E36&amp;"")=9,LEFT(E36&amp;"",1)="9")))),COUNTIFS($A$6:$A$505,A36,$B$6:$B$505,B36,$E$6:$E$505,E36)&gt;1),"REVIEW","READY"))</f>
        <v/>
      </c>
      <c r="N36" s="27" t="str">
        <f>IF(M36="","",IF(M36="READY","",TRIM(IF(A36="","missing entity_type; ","")&amp;IF(B36="","missing entity_key; ","")&amp;IF(C36="","missing contact_order; ","")&amp;IF(D36="","missing contact_type; ","")&amp;IF(E36="","missing number; ","")&amp;IF(J36="","missing status; ","")&amp;IF(AND(A36="client",COUNTIF(الزبائن!$A$6:$A$505,B36)=0),"client key not found; ","")&amp;IF(AND(A36="proposed_name",COUNTIF('أسماء مقترحة'!$A$6:$A$505,B36)=0),"proposed_name key not found; ","")&amp;IF(AND(D36="mobile",J36&lt;&gt;"invalid",NOT(OR(AND(LEN(E36&amp;"")=10,LEFT(E36&amp;"",2)="09"),AND(LEN(E36&amp;"")=9,LEFT(E36&amp;"",1)="9")))),"mobile must be 09XXXXXXXX or status invalid; ","")&amp;IF(COUNTIFS($A$6:$A$505,A36,$B$6:$B$505,B36,$E$6:$E$505,E36)&gt;1,"duplicate number for same entity; ",""))))</f>
        <v/>
      </c>
    </row>
    <row r="37" spans="1:14">
      <c r="A37" s="23"/>
      <c r="B37" s="24"/>
      <c r="C37" s="25"/>
      <c r="D37" s="25"/>
      <c r="E37" s="24"/>
      <c r="F37" s="24"/>
      <c r="G37" s="25"/>
      <c r="H37" s="25"/>
      <c r="I37" s="25"/>
      <c r="J37" s="25"/>
      <c r="K37" s="25"/>
      <c r="L37" s="25"/>
      <c r="M37" s="25" t="str">
        <f>IF(AND(A37="",B37="",E37=""),"",IF(OR(A37="",B37="",C37="",D37="",E37="",J37="",AND(A37="client",COUNTIF(الزبائن!$A$6:$A$505,B37)=0),AND(A37="proposed_name",COUNTIF('أسماء مقترحة'!$A$6:$A$505,B37)=0),AND(D37="mobile",J37&lt;&gt;"invalid",NOT(OR(AND(LEN(E37&amp;"")=10,LEFT(E37&amp;"",2)="09"),AND(LEN(E37&amp;"")=9,LEFT(E37&amp;"",1)="9")))),COUNTIFS($A$6:$A$505,A37,$B$6:$B$505,B37,$E$6:$E$505,E37)&gt;1),"REVIEW","READY"))</f>
        <v/>
      </c>
      <c r="N37" s="27" t="str">
        <f>IF(M37="","",IF(M37="READY","",TRIM(IF(A37="","missing entity_type; ","")&amp;IF(B37="","missing entity_key; ","")&amp;IF(C37="","missing contact_order; ","")&amp;IF(D37="","missing contact_type; ","")&amp;IF(E37="","missing number; ","")&amp;IF(J37="","missing status; ","")&amp;IF(AND(A37="client",COUNTIF(الزبائن!$A$6:$A$505,B37)=0),"client key not found; ","")&amp;IF(AND(A37="proposed_name",COUNTIF('أسماء مقترحة'!$A$6:$A$505,B37)=0),"proposed_name key not found; ","")&amp;IF(AND(D37="mobile",J37&lt;&gt;"invalid",NOT(OR(AND(LEN(E37&amp;"")=10,LEFT(E37&amp;"",2)="09"),AND(LEN(E37&amp;"")=9,LEFT(E37&amp;"",1)="9")))),"mobile must be 09XXXXXXXX or status invalid; ","")&amp;IF(COUNTIFS($A$6:$A$505,A37,$B$6:$B$505,B37,$E$6:$E$505,E37)&gt;1,"duplicate number for same entity; ",""))))</f>
        <v/>
      </c>
    </row>
    <row r="38" spans="1:14">
      <c r="A38" s="23"/>
      <c r="B38" s="24"/>
      <c r="C38" s="25"/>
      <c r="D38" s="25"/>
      <c r="E38" s="24"/>
      <c r="F38" s="24"/>
      <c r="G38" s="25"/>
      <c r="H38" s="25"/>
      <c r="I38" s="25"/>
      <c r="J38" s="25"/>
      <c r="K38" s="25"/>
      <c r="L38" s="25"/>
      <c r="M38" s="25" t="str">
        <f>IF(AND(A38="",B38="",E38=""),"",IF(OR(A38="",B38="",C38="",D38="",E38="",J38="",AND(A38="client",COUNTIF(الزبائن!$A$6:$A$505,B38)=0),AND(A38="proposed_name",COUNTIF('أسماء مقترحة'!$A$6:$A$505,B38)=0),AND(D38="mobile",J38&lt;&gt;"invalid",NOT(OR(AND(LEN(E38&amp;"")=10,LEFT(E38&amp;"",2)="09"),AND(LEN(E38&amp;"")=9,LEFT(E38&amp;"",1)="9")))),COUNTIFS($A$6:$A$505,A38,$B$6:$B$505,B38,$E$6:$E$505,E38)&gt;1),"REVIEW","READY"))</f>
        <v/>
      </c>
      <c r="N38" s="27" t="str">
        <f>IF(M38="","",IF(M38="READY","",TRIM(IF(A38="","missing entity_type; ","")&amp;IF(B38="","missing entity_key; ","")&amp;IF(C38="","missing contact_order; ","")&amp;IF(D38="","missing contact_type; ","")&amp;IF(E38="","missing number; ","")&amp;IF(J38="","missing status; ","")&amp;IF(AND(A38="client",COUNTIF(الزبائن!$A$6:$A$505,B38)=0),"client key not found; ","")&amp;IF(AND(A38="proposed_name",COUNTIF('أسماء مقترحة'!$A$6:$A$505,B38)=0),"proposed_name key not found; ","")&amp;IF(AND(D38="mobile",J38&lt;&gt;"invalid",NOT(OR(AND(LEN(E38&amp;"")=10,LEFT(E38&amp;"",2)="09"),AND(LEN(E38&amp;"")=9,LEFT(E38&amp;"",1)="9")))),"mobile must be 09XXXXXXXX or status invalid; ","")&amp;IF(COUNTIFS($A$6:$A$505,A38,$B$6:$B$505,B38,$E$6:$E$505,E38)&gt;1,"duplicate number for same entity; ",""))))</f>
        <v/>
      </c>
    </row>
    <row r="39" spans="1:14">
      <c r="A39" s="23"/>
      <c r="B39" s="24"/>
      <c r="C39" s="25"/>
      <c r="D39" s="25"/>
      <c r="E39" s="24"/>
      <c r="F39" s="24"/>
      <c r="G39" s="25"/>
      <c r="H39" s="25"/>
      <c r="I39" s="25"/>
      <c r="J39" s="25"/>
      <c r="K39" s="25"/>
      <c r="L39" s="25"/>
      <c r="M39" s="25" t="str">
        <f>IF(AND(A39="",B39="",E39=""),"",IF(OR(A39="",B39="",C39="",D39="",E39="",J39="",AND(A39="client",COUNTIF(الزبائن!$A$6:$A$505,B39)=0),AND(A39="proposed_name",COUNTIF('أسماء مقترحة'!$A$6:$A$505,B39)=0),AND(D39="mobile",J39&lt;&gt;"invalid",NOT(OR(AND(LEN(E39&amp;"")=10,LEFT(E39&amp;"",2)="09"),AND(LEN(E39&amp;"")=9,LEFT(E39&amp;"",1)="9")))),COUNTIFS($A$6:$A$505,A39,$B$6:$B$505,B39,$E$6:$E$505,E39)&gt;1),"REVIEW","READY"))</f>
        <v/>
      </c>
      <c r="N39" s="27" t="str">
        <f>IF(M39="","",IF(M39="READY","",TRIM(IF(A39="","missing entity_type; ","")&amp;IF(B39="","missing entity_key; ","")&amp;IF(C39="","missing contact_order; ","")&amp;IF(D39="","missing contact_type; ","")&amp;IF(E39="","missing number; ","")&amp;IF(J39="","missing status; ","")&amp;IF(AND(A39="client",COUNTIF(الزبائن!$A$6:$A$505,B39)=0),"client key not found; ","")&amp;IF(AND(A39="proposed_name",COUNTIF('أسماء مقترحة'!$A$6:$A$505,B39)=0),"proposed_name key not found; ","")&amp;IF(AND(D39="mobile",J39&lt;&gt;"invalid",NOT(OR(AND(LEN(E39&amp;"")=10,LEFT(E39&amp;"",2)="09"),AND(LEN(E39&amp;"")=9,LEFT(E39&amp;"",1)="9")))),"mobile must be 09XXXXXXXX or status invalid; ","")&amp;IF(COUNTIFS($A$6:$A$505,A39,$B$6:$B$505,B39,$E$6:$E$505,E39)&gt;1,"duplicate number for same entity; ",""))))</f>
        <v/>
      </c>
    </row>
    <row r="40" spans="1:14">
      <c r="A40" s="23"/>
      <c r="B40" s="24"/>
      <c r="C40" s="25"/>
      <c r="D40" s="25"/>
      <c r="E40" s="24"/>
      <c r="F40" s="24"/>
      <c r="G40" s="25"/>
      <c r="H40" s="25"/>
      <c r="I40" s="25"/>
      <c r="J40" s="25"/>
      <c r="K40" s="25"/>
      <c r="L40" s="25"/>
      <c r="M40" s="25" t="str">
        <f>IF(AND(A40="",B40="",E40=""),"",IF(OR(A40="",B40="",C40="",D40="",E40="",J40="",AND(A40="client",COUNTIF(الزبائن!$A$6:$A$505,B40)=0),AND(A40="proposed_name",COUNTIF('أسماء مقترحة'!$A$6:$A$505,B40)=0),AND(D40="mobile",J40&lt;&gt;"invalid",NOT(OR(AND(LEN(E40&amp;"")=10,LEFT(E40&amp;"",2)="09"),AND(LEN(E40&amp;"")=9,LEFT(E40&amp;"",1)="9")))),COUNTIFS($A$6:$A$505,A40,$B$6:$B$505,B40,$E$6:$E$505,E40)&gt;1),"REVIEW","READY"))</f>
        <v/>
      </c>
      <c r="N40" s="27" t="str">
        <f>IF(M40="","",IF(M40="READY","",TRIM(IF(A40="","missing entity_type; ","")&amp;IF(B40="","missing entity_key; ","")&amp;IF(C40="","missing contact_order; ","")&amp;IF(D40="","missing contact_type; ","")&amp;IF(E40="","missing number; ","")&amp;IF(J40="","missing status; ","")&amp;IF(AND(A40="client",COUNTIF(الزبائن!$A$6:$A$505,B40)=0),"client key not found; ","")&amp;IF(AND(A40="proposed_name",COUNTIF('أسماء مقترحة'!$A$6:$A$505,B40)=0),"proposed_name key not found; ","")&amp;IF(AND(D40="mobile",J40&lt;&gt;"invalid",NOT(OR(AND(LEN(E40&amp;"")=10,LEFT(E40&amp;"",2)="09"),AND(LEN(E40&amp;"")=9,LEFT(E40&amp;"",1)="9")))),"mobile must be 09XXXXXXXX or status invalid; ","")&amp;IF(COUNTIFS($A$6:$A$505,A40,$B$6:$B$505,B40,$E$6:$E$505,E40)&gt;1,"duplicate number for same entity; ",""))))</f>
        <v/>
      </c>
    </row>
    <row r="41" spans="1:14">
      <c r="A41" s="23"/>
      <c r="B41" s="24"/>
      <c r="C41" s="25"/>
      <c r="D41" s="25"/>
      <c r="E41" s="24"/>
      <c r="F41" s="24"/>
      <c r="G41" s="25"/>
      <c r="H41" s="25"/>
      <c r="I41" s="25"/>
      <c r="J41" s="25"/>
      <c r="K41" s="25"/>
      <c r="L41" s="25"/>
      <c r="M41" s="25" t="str">
        <f>IF(AND(A41="",B41="",E41=""),"",IF(OR(A41="",B41="",C41="",D41="",E41="",J41="",AND(A41="client",COUNTIF(الزبائن!$A$6:$A$505,B41)=0),AND(A41="proposed_name",COUNTIF('أسماء مقترحة'!$A$6:$A$505,B41)=0),AND(D41="mobile",J41&lt;&gt;"invalid",NOT(OR(AND(LEN(E41&amp;"")=10,LEFT(E41&amp;"",2)="09"),AND(LEN(E41&amp;"")=9,LEFT(E41&amp;"",1)="9")))),COUNTIFS($A$6:$A$505,A41,$B$6:$B$505,B41,$E$6:$E$505,E41)&gt;1),"REVIEW","READY"))</f>
        <v/>
      </c>
      <c r="N41" s="27" t="str">
        <f>IF(M41="","",IF(M41="READY","",TRIM(IF(A41="","missing entity_type; ","")&amp;IF(B41="","missing entity_key; ","")&amp;IF(C41="","missing contact_order; ","")&amp;IF(D41="","missing contact_type; ","")&amp;IF(E41="","missing number; ","")&amp;IF(J41="","missing status; ","")&amp;IF(AND(A41="client",COUNTIF(الزبائن!$A$6:$A$505,B41)=0),"client key not found; ","")&amp;IF(AND(A41="proposed_name",COUNTIF('أسماء مقترحة'!$A$6:$A$505,B41)=0),"proposed_name key not found; ","")&amp;IF(AND(D41="mobile",J41&lt;&gt;"invalid",NOT(OR(AND(LEN(E41&amp;"")=10,LEFT(E41&amp;"",2)="09"),AND(LEN(E41&amp;"")=9,LEFT(E41&amp;"",1)="9")))),"mobile must be 09XXXXXXXX or status invalid; ","")&amp;IF(COUNTIFS($A$6:$A$505,A41,$B$6:$B$505,B41,$E$6:$E$505,E41)&gt;1,"duplicate number for same entity; ",""))))</f>
        <v/>
      </c>
    </row>
    <row r="42" spans="1:14">
      <c r="A42" s="23"/>
      <c r="B42" s="24"/>
      <c r="C42" s="25"/>
      <c r="D42" s="25"/>
      <c r="E42" s="24"/>
      <c r="F42" s="24"/>
      <c r="G42" s="25"/>
      <c r="H42" s="25"/>
      <c r="I42" s="25"/>
      <c r="J42" s="25"/>
      <c r="K42" s="25"/>
      <c r="L42" s="25"/>
      <c r="M42" s="25" t="str">
        <f>IF(AND(A42="",B42="",E42=""),"",IF(OR(A42="",B42="",C42="",D42="",E42="",J42="",AND(A42="client",COUNTIF(الزبائن!$A$6:$A$505,B42)=0),AND(A42="proposed_name",COUNTIF('أسماء مقترحة'!$A$6:$A$505,B42)=0),AND(D42="mobile",J42&lt;&gt;"invalid",NOT(OR(AND(LEN(E42&amp;"")=10,LEFT(E42&amp;"",2)="09"),AND(LEN(E42&amp;"")=9,LEFT(E42&amp;"",1)="9")))),COUNTIFS($A$6:$A$505,A42,$B$6:$B$505,B42,$E$6:$E$505,E42)&gt;1),"REVIEW","READY"))</f>
        <v/>
      </c>
      <c r="N42" s="27" t="str">
        <f>IF(M42="","",IF(M42="READY","",TRIM(IF(A42="","missing entity_type; ","")&amp;IF(B42="","missing entity_key; ","")&amp;IF(C42="","missing contact_order; ","")&amp;IF(D42="","missing contact_type; ","")&amp;IF(E42="","missing number; ","")&amp;IF(J42="","missing status; ","")&amp;IF(AND(A42="client",COUNTIF(الزبائن!$A$6:$A$505,B42)=0),"client key not found; ","")&amp;IF(AND(A42="proposed_name",COUNTIF('أسماء مقترحة'!$A$6:$A$505,B42)=0),"proposed_name key not found; ","")&amp;IF(AND(D42="mobile",J42&lt;&gt;"invalid",NOT(OR(AND(LEN(E42&amp;"")=10,LEFT(E42&amp;"",2)="09"),AND(LEN(E42&amp;"")=9,LEFT(E42&amp;"",1)="9")))),"mobile must be 09XXXXXXXX or status invalid; ","")&amp;IF(COUNTIFS($A$6:$A$505,A42,$B$6:$B$505,B42,$E$6:$E$505,E42)&gt;1,"duplicate number for same entity; ",""))))</f>
        <v/>
      </c>
    </row>
    <row r="43" spans="1:14">
      <c r="A43" s="23"/>
      <c r="B43" s="24"/>
      <c r="C43" s="25"/>
      <c r="D43" s="25"/>
      <c r="E43" s="24"/>
      <c r="F43" s="24"/>
      <c r="G43" s="25"/>
      <c r="H43" s="25"/>
      <c r="I43" s="25"/>
      <c r="J43" s="25"/>
      <c r="K43" s="25"/>
      <c r="L43" s="25"/>
      <c r="M43" s="25" t="str">
        <f>IF(AND(A43="",B43="",E43=""),"",IF(OR(A43="",B43="",C43="",D43="",E43="",J43="",AND(A43="client",COUNTIF(الزبائن!$A$6:$A$505,B43)=0),AND(A43="proposed_name",COUNTIF('أسماء مقترحة'!$A$6:$A$505,B43)=0),AND(D43="mobile",J43&lt;&gt;"invalid",NOT(OR(AND(LEN(E43&amp;"")=10,LEFT(E43&amp;"",2)="09"),AND(LEN(E43&amp;"")=9,LEFT(E43&amp;"",1)="9")))),COUNTIFS($A$6:$A$505,A43,$B$6:$B$505,B43,$E$6:$E$505,E43)&gt;1),"REVIEW","READY"))</f>
        <v/>
      </c>
      <c r="N43" s="27" t="str">
        <f>IF(M43="","",IF(M43="READY","",TRIM(IF(A43="","missing entity_type; ","")&amp;IF(B43="","missing entity_key; ","")&amp;IF(C43="","missing contact_order; ","")&amp;IF(D43="","missing contact_type; ","")&amp;IF(E43="","missing number; ","")&amp;IF(J43="","missing status; ","")&amp;IF(AND(A43="client",COUNTIF(الزبائن!$A$6:$A$505,B43)=0),"client key not found; ","")&amp;IF(AND(A43="proposed_name",COUNTIF('أسماء مقترحة'!$A$6:$A$505,B43)=0),"proposed_name key not found; ","")&amp;IF(AND(D43="mobile",J43&lt;&gt;"invalid",NOT(OR(AND(LEN(E43&amp;"")=10,LEFT(E43&amp;"",2)="09"),AND(LEN(E43&amp;"")=9,LEFT(E43&amp;"",1)="9")))),"mobile must be 09XXXXXXXX or status invalid; ","")&amp;IF(COUNTIFS($A$6:$A$505,A43,$B$6:$B$505,B43,$E$6:$E$505,E43)&gt;1,"duplicate number for same entity; ",""))))</f>
        <v/>
      </c>
    </row>
    <row r="44" spans="1:14">
      <c r="A44" s="23"/>
      <c r="B44" s="24"/>
      <c r="C44" s="25"/>
      <c r="D44" s="25"/>
      <c r="E44" s="24"/>
      <c r="F44" s="24"/>
      <c r="G44" s="25"/>
      <c r="H44" s="25"/>
      <c r="I44" s="25"/>
      <c r="J44" s="25"/>
      <c r="K44" s="25"/>
      <c r="L44" s="25"/>
      <c r="M44" s="25" t="str">
        <f>IF(AND(A44="",B44="",E44=""),"",IF(OR(A44="",B44="",C44="",D44="",E44="",J44="",AND(A44="client",COUNTIF(الزبائن!$A$6:$A$505,B44)=0),AND(A44="proposed_name",COUNTIF('أسماء مقترحة'!$A$6:$A$505,B44)=0),AND(D44="mobile",J44&lt;&gt;"invalid",NOT(OR(AND(LEN(E44&amp;"")=10,LEFT(E44&amp;"",2)="09"),AND(LEN(E44&amp;"")=9,LEFT(E44&amp;"",1)="9")))),COUNTIFS($A$6:$A$505,A44,$B$6:$B$505,B44,$E$6:$E$505,E44)&gt;1),"REVIEW","READY"))</f>
        <v/>
      </c>
      <c r="N44" s="27" t="str">
        <f>IF(M44="","",IF(M44="READY","",TRIM(IF(A44="","missing entity_type; ","")&amp;IF(B44="","missing entity_key; ","")&amp;IF(C44="","missing contact_order; ","")&amp;IF(D44="","missing contact_type; ","")&amp;IF(E44="","missing number; ","")&amp;IF(J44="","missing status; ","")&amp;IF(AND(A44="client",COUNTIF(الزبائن!$A$6:$A$505,B44)=0),"client key not found; ","")&amp;IF(AND(A44="proposed_name",COUNTIF('أسماء مقترحة'!$A$6:$A$505,B44)=0),"proposed_name key not found; ","")&amp;IF(AND(D44="mobile",J44&lt;&gt;"invalid",NOT(OR(AND(LEN(E44&amp;"")=10,LEFT(E44&amp;"",2)="09"),AND(LEN(E44&amp;"")=9,LEFT(E44&amp;"",1)="9")))),"mobile must be 09XXXXXXXX or status invalid; ","")&amp;IF(COUNTIFS($A$6:$A$505,A44,$B$6:$B$505,B44,$E$6:$E$505,E44)&gt;1,"duplicate number for same entity; ",""))))</f>
        <v/>
      </c>
    </row>
    <row r="45" spans="1:14">
      <c r="A45" s="23"/>
      <c r="B45" s="24"/>
      <c r="C45" s="25"/>
      <c r="D45" s="25"/>
      <c r="E45" s="24"/>
      <c r="F45" s="24"/>
      <c r="G45" s="25"/>
      <c r="H45" s="25"/>
      <c r="I45" s="25"/>
      <c r="J45" s="25"/>
      <c r="K45" s="25"/>
      <c r="L45" s="25"/>
      <c r="M45" s="25" t="str">
        <f>IF(AND(A45="",B45="",E45=""),"",IF(OR(A45="",B45="",C45="",D45="",E45="",J45="",AND(A45="client",COUNTIF(الزبائن!$A$6:$A$505,B45)=0),AND(A45="proposed_name",COUNTIF('أسماء مقترحة'!$A$6:$A$505,B45)=0),AND(D45="mobile",J45&lt;&gt;"invalid",NOT(OR(AND(LEN(E45&amp;"")=10,LEFT(E45&amp;"",2)="09"),AND(LEN(E45&amp;"")=9,LEFT(E45&amp;"",1)="9")))),COUNTIFS($A$6:$A$505,A45,$B$6:$B$505,B45,$E$6:$E$505,E45)&gt;1),"REVIEW","READY"))</f>
        <v/>
      </c>
      <c r="N45" s="27" t="str">
        <f>IF(M45="","",IF(M45="READY","",TRIM(IF(A45="","missing entity_type; ","")&amp;IF(B45="","missing entity_key; ","")&amp;IF(C45="","missing contact_order; ","")&amp;IF(D45="","missing contact_type; ","")&amp;IF(E45="","missing number; ","")&amp;IF(J45="","missing status; ","")&amp;IF(AND(A45="client",COUNTIF(الزبائن!$A$6:$A$505,B45)=0),"client key not found; ","")&amp;IF(AND(A45="proposed_name",COUNTIF('أسماء مقترحة'!$A$6:$A$505,B45)=0),"proposed_name key not found; ","")&amp;IF(AND(D45="mobile",J45&lt;&gt;"invalid",NOT(OR(AND(LEN(E45&amp;"")=10,LEFT(E45&amp;"",2)="09"),AND(LEN(E45&amp;"")=9,LEFT(E45&amp;"",1)="9")))),"mobile must be 09XXXXXXXX or status invalid; ","")&amp;IF(COUNTIFS($A$6:$A$505,A45,$B$6:$B$505,B45,$E$6:$E$505,E45)&gt;1,"duplicate number for same entity; ",""))))</f>
        <v/>
      </c>
    </row>
    <row r="46" spans="1:14">
      <c r="A46" s="23"/>
      <c r="B46" s="24"/>
      <c r="C46" s="25"/>
      <c r="D46" s="25"/>
      <c r="E46" s="24"/>
      <c r="F46" s="24"/>
      <c r="G46" s="25"/>
      <c r="H46" s="25"/>
      <c r="I46" s="25"/>
      <c r="J46" s="25"/>
      <c r="K46" s="25"/>
      <c r="L46" s="25"/>
      <c r="M46" s="25" t="str">
        <f>IF(AND(A46="",B46="",E46=""),"",IF(OR(A46="",B46="",C46="",D46="",E46="",J46="",AND(A46="client",COUNTIF(الزبائن!$A$6:$A$505,B46)=0),AND(A46="proposed_name",COUNTIF('أسماء مقترحة'!$A$6:$A$505,B46)=0),AND(D46="mobile",J46&lt;&gt;"invalid",NOT(OR(AND(LEN(E46&amp;"")=10,LEFT(E46&amp;"",2)="09"),AND(LEN(E46&amp;"")=9,LEFT(E46&amp;"",1)="9")))),COUNTIFS($A$6:$A$505,A46,$B$6:$B$505,B46,$E$6:$E$505,E46)&gt;1),"REVIEW","READY"))</f>
        <v/>
      </c>
      <c r="N46" s="27" t="str">
        <f>IF(M46="","",IF(M46="READY","",TRIM(IF(A46="","missing entity_type; ","")&amp;IF(B46="","missing entity_key; ","")&amp;IF(C46="","missing contact_order; ","")&amp;IF(D46="","missing contact_type; ","")&amp;IF(E46="","missing number; ","")&amp;IF(J46="","missing status; ","")&amp;IF(AND(A46="client",COUNTIF(الزبائن!$A$6:$A$505,B46)=0),"client key not found; ","")&amp;IF(AND(A46="proposed_name",COUNTIF('أسماء مقترحة'!$A$6:$A$505,B46)=0),"proposed_name key not found; ","")&amp;IF(AND(D46="mobile",J46&lt;&gt;"invalid",NOT(OR(AND(LEN(E46&amp;"")=10,LEFT(E46&amp;"",2)="09"),AND(LEN(E46&amp;"")=9,LEFT(E46&amp;"",1)="9")))),"mobile must be 09XXXXXXXX or status invalid; ","")&amp;IF(COUNTIFS($A$6:$A$505,A46,$B$6:$B$505,B46,$E$6:$E$505,E46)&gt;1,"duplicate number for same entity; ",""))))</f>
        <v/>
      </c>
    </row>
    <row r="47" spans="1:14">
      <c r="A47" s="23"/>
      <c r="B47" s="24"/>
      <c r="C47" s="25"/>
      <c r="D47" s="25"/>
      <c r="E47" s="24"/>
      <c r="F47" s="24"/>
      <c r="G47" s="25"/>
      <c r="H47" s="25"/>
      <c r="I47" s="25"/>
      <c r="J47" s="25"/>
      <c r="K47" s="25"/>
      <c r="L47" s="25"/>
      <c r="M47" s="25" t="str">
        <f>IF(AND(A47="",B47="",E47=""),"",IF(OR(A47="",B47="",C47="",D47="",E47="",J47="",AND(A47="client",COUNTIF(الزبائن!$A$6:$A$505,B47)=0),AND(A47="proposed_name",COUNTIF('أسماء مقترحة'!$A$6:$A$505,B47)=0),AND(D47="mobile",J47&lt;&gt;"invalid",NOT(OR(AND(LEN(E47&amp;"")=10,LEFT(E47&amp;"",2)="09"),AND(LEN(E47&amp;"")=9,LEFT(E47&amp;"",1)="9")))),COUNTIFS($A$6:$A$505,A47,$B$6:$B$505,B47,$E$6:$E$505,E47)&gt;1),"REVIEW","READY"))</f>
        <v/>
      </c>
      <c r="N47" s="27" t="str">
        <f>IF(M47="","",IF(M47="READY","",TRIM(IF(A47="","missing entity_type; ","")&amp;IF(B47="","missing entity_key; ","")&amp;IF(C47="","missing contact_order; ","")&amp;IF(D47="","missing contact_type; ","")&amp;IF(E47="","missing number; ","")&amp;IF(J47="","missing status; ","")&amp;IF(AND(A47="client",COUNTIF(الزبائن!$A$6:$A$505,B47)=0),"client key not found; ","")&amp;IF(AND(A47="proposed_name",COUNTIF('أسماء مقترحة'!$A$6:$A$505,B47)=0),"proposed_name key not found; ","")&amp;IF(AND(D47="mobile",J47&lt;&gt;"invalid",NOT(OR(AND(LEN(E47&amp;"")=10,LEFT(E47&amp;"",2)="09"),AND(LEN(E47&amp;"")=9,LEFT(E47&amp;"",1)="9")))),"mobile must be 09XXXXXXXX or status invalid; ","")&amp;IF(COUNTIFS($A$6:$A$505,A47,$B$6:$B$505,B47,$E$6:$E$505,E47)&gt;1,"duplicate number for same entity; ",""))))</f>
        <v/>
      </c>
    </row>
    <row r="48" spans="1:14">
      <c r="A48" s="23"/>
      <c r="B48" s="24"/>
      <c r="C48" s="25"/>
      <c r="D48" s="25"/>
      <c r="E48" s="24"/>
      <c r="F48" s="24"/>
      <c r="G48" s="25"/>
      <c r="H48" s="25"/>
      <c r="I48" s="25"/>
      <c r="J48" s="25"/>
      <c r="K48" s="25"/>
      <c r="L48" s="25"/>
      <c r="M48" s="25" t="str">
        <f>IF(AND(A48="",B48="",E48=""),"",IF(OR(A48="",B48="",C48="",D48="",E48="",J48="",AND(A48="client",COUNTIF(الزبائن!$A$6:$A$505,B48)=0),AND(A48="proposed_name",COUNTIF('أسماء مقترحة'!$A$6:$A$505,B48)=0),AND(D48="mobile",J48&lt;&gt;"invalid",NOT(OR(AND(LEN(E48&amp;"")=10,LEFT(E48&amp;"",2)="09"),AND(LEN(E48&amp;"")=9,LEFT(E48&amp;"",1)="9")))),COUNTIFS($A$6:$A$505,A48,$B$6:$B$505,B48,$E$6:$E$505,E48)&gt;1),"REVIEW","READY"))</f>
        <v/>
      </c>
      <c r="N48" s="27" t="str">
        <f>IF(M48="","",IF(M48="READY","",TRIM(IF(A48="","missing entity_type; ","")&amp;IF(B48="","missing entity_key; ","")&amp;IF(C48="","missing contact_order; ","")&amp;IF(D48="","missing contact_type; ","")&amp;IF(E48="","missing number; ","")&amp;IF(J48="","missing status; ","")&amp;IF(AND(A48="client",COUNTIF(الزبائن!$A$6:$A$505,B48)=0),"client key not found; ","")&amp;IF(AND(A48="proposed_name",COUNTIF('أسماء مقترحة'!$A$6:$A$505,B48)=0),"proposed_name key not found; ","")&amp;IF(AND(D48="mobile",J48&lt;&gt;"invalid",NOT(OR(AND(LEN(E48&amp;"")=10,LEFT(E48&amp;"",2)="09"),AND(LEN(E48&amp;"")=9,LEFT(E48&amp;"",1)="9")))),"mobile must be 09XXXXXXXX or status invalid; ","")&amp;IF(COUNTIFS($A$6:$A$505,A48,$B$6:$B$505,B48,$E$6:$E$505,E48)&gt;1,"duplicate number for same entity; ",""))))</f>
        <v/>
      </c>
    </row>
    <row r="49" spans="1:14">
      <c r="A49" s="23"/>
      <c r="B49" s="24"/>
      <c r="C49" s="25"/>
      <c r="D49" s="25"/>
      <c r="E49" s="24"/>
      <c r="F49" s="24"/>
      <c r="G49" s="25"/>
      <c r="H49" s="25"/>
      <c r="I49" s="25"/>
      <c r="J49" s="25"/>
      <c r="K49" s="25"/>
      <c r="L49" s="25"/>
      <c r="M49" s="25" t="str">
        <f>IF(AND(A49="",B49="",E49=""),"",IF(OR(A49="",B49="",C49="",D49="",E49="",J49="",AND(A49="client",COUNTIF(الزبائن!$A$6:$A$505,B49)=0),AND(A49="proposed_name",COUNTIF('أسماء مقترحة'!$A$6:$A$505,B49)=0),AND(D49="mobile",J49&lt;&gt;"invalid",NOT(OR(AND(LEN(E49&amp;"")=10,LEFT(E49&amp;"",2)="09"),AND(LEN(E49&amp;"")=9,LEFT(E49&amp;"",1)="9")))),COUNTIFS($A$6:$A$505,A49,$B$6:$B$505,B49,$E$6:$E$505,E49)&gt;1),"REVIEW","READY"))</f>
        <v/>
      </c>
      <c r="N49" s="27" t="str">
        <f>IF(M49="","",IF(M49="READY","",TRIM(IF(A49="","missing entity_type; ","")&amp;IF(B49="","missing entity_key; ","")&amp;IF(C49="","missing contact_order; ","")&amp;IF(D49="","missing contact_type; ","")&amp;IF(E49="","missing number; ","")&amp;IF(J49="","missing status; ","")&amp;IF(AND(A49="client",COUNTIF(الزبائن!$A$6:$A$505,B49)=0),"client key not found; ","")&amp;IF(AND(A49="proposed_name",COUNTIF('أسماء مقترحة'!$A$6:$A$505,B49)=0),"proposed_name key not found; ","")&amp;IF(AND(D49="mobile",J49&lt;&gt;"invalid",NOT(OR(AND(LEN(E49&amp;"")=10,LEFT(E49&amp;"",2)="09"),AND(LEN(E49&amp;"")=9,LEFT(E49&amp;"",1)="9")))),"mobile must be 09XXXXXXXX or status invalid; ","")&amp;IF(COUNTIFS($A$6:$A$505,A49,$B$6:$B$505,B49,$E$6:$E$505,E49)&gt;1,"duplicate number for same entity; ",""))))</f>
        <v/>
      </c>
    </row>
    <row r="50" spans="1:14">
      <c r="A50" s="23"/>
      <c r="B50" s="24"/>
      <c r="C50" s="25"/>
      <c r="D50" s="25"/>
      <c r="E50" s="24"/>
      <c r="F50" s="24"/>
      <c r="G50" s="25"/>
      <c r="H50" s="25"/>
      <c r="I50" s="25"/>
      <c r="J50" s="25"/>
      <c r="K50" s="25"/>
      <c r="L50" s="25"/>
      <c r="M50" s="25" t="str">
        <f>IF(AND(A50="",B50="",E50=""),"",IF(OR(A50="",B50="",C50="",D50="",E50="",J50="",AND(A50="client",COUNTIF(الزبائن!$A$6:$A$505,B50)=0),AND(A50="proposed_name",COUNTIF('أسماء مقترحة'!$A$6:$A$505,B50)=0),AND(D50="mobile",J50&lt;&gt;"invalid",NOT(OR(AND(LEN(E50&amp;"")=10,LEFT(E50&amp;"",2)="09"),AND(LEN(E50&amp;"")=9,LEFT(E50&amp;"",1)="9")))),COUNTIFS($A$6:$A$505,A50,$B$6:$B$505,B50,$E$6:$E$505,E50)&gt;1),"REVIEW","READY"))</f>
        <v/>
      </c>
      <c r="N50" s="27" t="str">
        <f>IF(M50="","",IF(M50="READY","",TRIM(IF(A50="","missing entity_type; ","")&amp;IF(B50="","missing entity_key; ","")&amp;IF(C50="","missing contact_order; ","")&amp;IF(D50="","missing contact_type; ","")&amp;IF(E50="","missing number; ","")&amp;IF(J50="","missing status; ","")&amp;IF(AND(A50="client",COUNTIF(الزبائن!$A$6:$A$505,B50)=0),"client key not found; ","")&amp;IF(AND(A50="proposed_name",COUNTIF('أسماء مقترحة'!$A$6:$A$505,B50)=0),"proposed_name key not found; ","")&amp;IF(AND(D50="mobile",J50&lt;&gt;"invalid",NOT(OR(AND(LEN(E50&amp;"")=10,LEFT(E50&amp;"",2)="09"),AND(LEN(E50&amp;"")=9,LEFT(E50&amp;"",1)="9")))),"mobile must be 09XXXXXXXX or status invalid; ","")&amp;IF(COUNTIFS($A$6:$A$505,A50,$B$6:$B$505,B50,$E$6:$E$505,E50)&gt;1,"duplicate number for same entity; ",""))))</f>
        <v/>
      </c>
    </row>
    <row r="51" spans="1:14">
      <c r="A51" s="23"/>
      <c r="B51" s="24"/>
      <c r="C51" s="25"/>
      <c r="D51" s="25"/>
      <c r="E51" s="24"/>
      <c r="F51" s="24"/>
      <c r="G51" s="25"/>
      <c r="H51" s="25"/>
      <c r="I51" s="25"/>
      <c r="J51" s="25"/>
      <c r="K51" s="25"/>
      <c r="L51" s="25"/>
      <c r="M51" s="25" t="str">
        <f>IF(AND(A51="",B51="",E51=""),"",IF(OR(A51="",B51="",C51="",D51="",E51="",J51="",AND(A51="client",COUNTIF(الزبائن!$A$6:$A$505,B51)=0),AND(A51="proposed_name",COUNTIF('أسماء مقترحة'!$A$6:$A$505,B51)=0),AND(D51="mobile",J51&lt;&gt;"invalid",NOT(OR(AND(LEN(E51&amp;"")=10,LEFT(E51&amp;"",2)="09"),AND(LEN(E51&amp;"")=9,LEFT(E51&amp;"",1)="9")))),COUNTIFS($A$6:$A$505,A51,$B$6:$B$505,B51,$E$6:$E$505,E51)&gt;1),"REVIEW","READY"))</f>
        <v/>
      </c>
      <c r="N51" s="27" t="str">
        <f>IF(M51="","",IF(M51="READY","",TRIM(IF(A51="","missing entity_type; ","")&amp;IF(B51="","missing entity_key; ","")&amp;IF(C51="","missing contact_order; ","")&amp;IF(D51="","missing contact_type; ","")&amp;IF(E51="","missing number; ","")&amp;IF(J51="","missing status; ","")&amp;IF(AND(A51="client",COUNTIF(الزبائن!$A$6:$A$505,B51)=0),"client key not found; ","")&amp;IF(AND(A51="proposed_name",COUNTIF('أسماء مقترحة'!$A$6:$A$505,B51)=0),"proposed_name key not found; ","")&amp;IF(AND(D51="mobile",J51&lt;&gt;"invalid",NOT(OR(AND(LEN(E51&amp;"")=10,LEFT(E51&amp;"",2)="09"),AND(LEN(E51&amp;"")=9,LEFT(E51&amp;"",1)="9")))),"mobile must be 09XXXXXXXX or status invalid; ","")&amp;IF(COUNTIFS($A$6:$A$505,A51,$B$6:$B$505,B51,$E$6:$E$505,E51)&gt;1,"duplicate number for same entity; ",""))))</f>
        <v/>
      </c>
    </row>
    <row r="52" spans="1:14">
      <c r="A52" s="23"/>
      <c r="B52" s="24"/>
      <c r="C52" s="25"/>
      <c r="D52" s="25"/>
      <c r="E52" s="24"/>
      <c r="F52" s="24"/>
      <c r="G52" s="25"/>
      <c r="H52" s="25"/>
      <c r="I52" s="25"/>
      <c r="J52" s="25"/>
      <c r="K52" s="25"/>
      <c r="L52" s="25"/>
      <c r="M52" s="25" t="str">
        <f>IF(AND(A52="",B52="",E52=""),"",IF(OR(A52="",B52="",C52="",D52="",E52="",J52="",AND(A52="client",COUNTIF(الزبائن!$A$6:$A$505,B52)=0),AND(A52="proposed_name",COUNTIF('أسماء مقترحة'!$A$6:$A$505,B52)=0),AND(D52="mobile",J52&lt;&gt;"invalid",NOT(OR(AND(LEN(E52&amp;"")=10,LEFT(E52&amp;"",2)="09"),AND(LEN(E52&amp;"")=9,LEFT(E52&amp;"",1)="9")))),COUNTIFS($A$6:$A$505,A52,$B$6:$B$505,B52,$E$6:$E$505,E52)&gt;1),"REVIEW","READY"))</f>
        <v/>
      </c>
      <c r="N52" s="27" t="str">
        <f>IF(M52="","",IF(M52="READY","",TRIM(IF(A52="","missing entity_type; ","")&amp;IF(B52="","missing entity_key; ","")&amp;IF(C52="","missing contact_order; ","")&amp;IF(D52="","missing contact_type; ","")&amp;IF(E52="","missing number; ","")&amp;IF(J52="","missing status; ","")&amp;IF(AND(A52="client",COUNTIF(الزبائن!$A$6:$A$505,B52)=0),"client key not found; ","")&amp;IF(AND(A52="proposed_name",COUNTIF('أسماء مقترحة'!$A$6:$A$505,B52)=0),"proposed_name key not found; ","")&amp;IF(AND(D52="mobile",J52&lt;&gt;"invalid",NOT(OR(AND(LEN(E52&amp;"")=10,LEFT(E52&amp;"",2)="09"),AND(LEN(E52&amp;"")=9,LEFT(E52&amp;"",1)="9")))),"mobile must be 09XXXXXXXX or status invalid; ","")&amp;IF(COUNTIFS($A$6:$A$505,A52,$B$6:$B$505,B52,$E$6:$E$505,E52)&gt;1,"duplicate number for same entity; ",""))))</f>
        <v/>
      </c>
    </row>
    <row r="53" spans="1:14">
      <c r="A53" s="23"/>
      <c r="B53" s="24"/>
      <c r="C53" s="25"/>
      <c r="D53" s="25"/>
      <c r="E53" s="24"/>
      <c r="F53" s="24"/>
      <c r="G53" s="25"/>
      <c r="H53" s="25"/>
      <c r="I53" s="25"/>
      <c r="J53" s="25"/>
      <c r="K53" s="25"/>
      <c r="L53" s="25"/>
      <c r="M53" s="25" t="str">
        <f>IF(AND(A53="",B53="",E53=""),"",IF(OR(A53="",B53="",C53="",D53="",E53="",J53="",AND(A53="client",COUNTIF(الزبائن!$A$6:$A$505,B53)=0),AND(A53="proposed_name",COUNTIF('أسماء مقترحة'!$A$6:$A$505,B53)=0),AND(D53="mobile",J53&lt;&gt;"invalid",NOT(OR(AND(LEN(E53&amp;"")=10,LEFT(E53&amp;"",2)="09"),AND(LEN(E53&amp;"")=9,LEFT(E53&amp;"",1)="9")))),COUNTIFS($A$6:$A$505,A53,$B$6:$B$505,B53,$E$6:$E$505,E53)&gt;1),"REVIEW","READY"))</f>
        <v/>
      </c>
      <c r="N53" s="27" t="str">
        <f>IF(M53="","",IF(M53="READY","",TRIM(IF(A53="","missing entity_type; ","")&amp;IF(B53="","missing entity_key; ","")&amp;IF(C53="","missing contact_order; ","")&amp;IF(D53="","missing contact_type; ","")&amp;IF(E53="","missing number; ","")&amp;IF(J53="","missing status; ","")&amp;IF(AND(A53="client",COUNTIF(الزبائن!$A$6:$A$505,B53)=0),"client key not found; ","")&amp;IF(AND(A53="proposed_name",COUNTIF('أسماء مقترحة'!$A$6:$A$505,B53)=0),"proposed_name key not found; ","")&amp;IF(AND(D53="mobile",J53&lt;&gt;"invalid",NOT(OR(AND(LEN(E53&amp;"")=10,LEFT(E53&amp;"",2)="09"),AND(LEN(E53&amp;"")=9,LEFT(E53&amp;"",1)="9")))),"mobile must be 09XXXXXXXX or status invalid; ","")&amp;IF(COUNTIFS($A$6:$A$505,A53,$B$6:$B$505,B53,$E$6:$E$505,E53)&gt;1,"duplicate number for same entity; ",""))))</f>
        <v/>
      </c>
    </row>
    <row r="54" spans="1:14">
      <c r="A54" s="23"/>
      <c r="B54" s="24"/>
      <c r="C54" s="25"/>
      <c r="D54" s="25"/>
      <c r="E54" s="24"/>
      <c r="F54" s="24"/>
      <c r="G54" s="25"/>
      <c r="H54" s="25"/>
      <c r="I54" s="25"/>
      <c r="J54" s="25"/>
      <c r="K54" s="25"/>
      <c r="L54" s="25"/>
      <c r="M54" s="25" t="str">
        <f>IF(AND(A54="",B54="",E54=""),"",IF(OR(A54="",B54="",C54="",D54="",E54="",J54="",AND(A54="client",COUNTIF(الزبائن!$A$6:$A$505,B54)=0),AND(A54="proposed_name",COUNTIF('أسماء مقترحة'!$A$6:$A$505,B54)=0),AND(D54="mobile",J54&lt;&gt;"invalid",NOT(OR(AND(LEN(E54&amp;"")=10,LEFT(E54&amp;"",2)="09"),AND(LEN(E54&amp;"")=9,LEFT(E54&amp;"",1)="9")))),COUNTIFS($A$6:$A$505,A54,$B$6:$B$505,B54,$E$6:$E$505,E54)&gt;1),"REVIEW","READY"))</f>
        <v/>
      </c>
      <c r="N54" s="27" t="str">
        <f>IF(M54="","",IF(M54="READY","",TRIM(IF(A54="","missing entity_type; ","")&amp;IF(B54="","missing entity_key; ","")&amp;IF(C54="","missing contact_order; ","")&amp;IF(D54="","missing contact_type; ","")&amp;IF(E54="","missing number; ","")&amp;IF(J54="","missing status; ","")&amp;IF(AND(A54="client",COUNTIF(الزبائن!$A$6:$A$505,B54)=0),"client key not found; ","")&amp;IF(AND(A54="proposed_name",COUNTIF('أسماء مقترحة'!$A$6:$A$505,B54)=0),"proposed_name key not found; ","")&amp;IF(AND(D54="mobile",J54&lt;&gt;"invalid",NOT(OR(AND(LEN(E54&amp;"")=10,LEFT(E54&amp;"",2)="09"),AND(LEN(E54&amp;"")=9,LEFT(E54&amp;"",1)="9")))),"mobile must be 09XXXXXXXX or status invalid; ","")&amp;IF(COUNTIFS($A$6:$A$505,A54,$B$6:$B$505,B54,$E$6:$E$505,E54)&gt;1,"duplicate number for same entity; ",""))))</f>
        <v/>
      </c>
    </row>
    <row r="55" spans="1:14">
      <c r="A55" s="23"/>
      <c r="B55" s="24"/>
      <c r="C55" s="25"/>
      <c r="D55" s="25"/>
      <c r="E55" s="24"/>
      <c r="F55" s="24"/>
      <c r="G55" s="25"/>
      <c r="H55" s="25"/>
      <c r="I55" s="25"/>
      <c r="J55" s="25"/>
      <c r="K55" s="25"/>
      <c r="L55" s="25"/>
      <c r="M55" s="25" t="str">
        <f>IF(AND(A55="",B55="",E55=""),"",IF(OR(A55="",B55="",C55="",D55="",E55="",J55="",AND(A55="client",COUNTIF(الزبائن!$A$6:$A$505,B55)=0),AND(A55="proposed_name",COUNTIF('أسماء مقترحة'!$A$6:$A$505,B55)=0),AND(D55="mobile",J55&lt;&gt;"invalid",NOT(OR(AND(LEN(E55&amp;"")=10,LEFT(E55&amp;"",2)="09"),AND(LEN(E55&amp;"")=9,LEFT(E55&amp;"",1)="9")))),COUNTIFS($A$6:$A$505,A55,$B$6:$B$505,B55,$E$6:$E$505,E55)&gt;1),"REVIEW","READY"))</f>
        <v/>
      </c>
      <c r="N55" s="27" t="str">
        <f>IF(M55="","",IF(M55="READY","",TRIM(IF(A55="","missing entity_type; ","")&amp;IF(B55="","missing entity_key; ","")&amp;IF(C55="","missing contact_order; ","")&amp;IF(D55="","missing contact_type; ","")&amp;IF(E55="","missing number; ","")&amp;IF(J55="","missing status; ","")&amp;IF(AND(A55="client",COUNTIF(الزبائن!$A$6:$A$505,B55)=0),"client key not found; ","")&amp;IF(AND(A55="proposed_name",COUNTIF('أسماء مقترحة'!$A$6:$A$505,B55)=0),"proposed_name key not found; ","")&amp;IF(AND(D55="mobile",J55&lt;&gt;"invalid",NOT(OR(AND(LEN(E55&amp;"")=10,LEFT(E55&amp;"",2)="09"),AND(LEN(E55&amp;"")=9,LEFT(E55&amp;"",1)="9")))),"mobile must be 09XXXXXXXX or status invalid; ","")&amp;IF(COUNTIFS($A$6:$A$505,A55,$B$6:$B$505,B55,$E$6:$E$505,E55)&gt;1,"duplicate number for same entity; ",""))))</f>
        <v/>
      </c>
    </row>
    <row r="56" spans="1:14">
      <c r="A56" s="23"/>
      <c r="B56" s="24"/>
      <c r="C56" s="25"/>
      <c r="D56" s="25"/>
      <c r="E56" s="24"/>
      <c r="F56" s="24"/>
      <c r="G56" s="25"/>
      <c r="H56" s="25"/>
      <c r="I56" s="25"/>
      <c r="J56" s="25"/>
      <c r="K56" s="25"/>
      <c r="L56" s="25"/>
      <c r="M56" s="25" t="str">
        <f>IF(AND(A56="",B56="",E56=""),"",IF(OR(A56="",B56="",C56="",D56="",E56="",J56="",AND(A56="client",COUNTIF(الزبائن!$A$6:$A$505,B56)=0),AND(A56="proposed_name",COUNTIF('أسماء مقترحة'!$A$6:$A$505,B56)=0),AND(D56="mobile",J56&lt;&gt;"invalid",NOT(OR(AND(LEN(E56&amp;"")=10,LEFT(E56&amp;"",2)="09"),AND(LEN(E56&amp;"")=9,LEFT(E56&amp;"",1)="9")))),COUNTIFS($A$6:$A$505,A56,$B$6:$B$505,B56,$E$6:$E$505,E56)&gt;1),"REVIEW","READY"))</f>
        <v/>
      </c>
      <c r="N56" s="27" t="str">
        <f>IF(M56="","",IF(M56="READY","",TRIM(IF(A56="","missing entity_type; ","")&amp;IF(B56="","missing entity_key; ","")&amp;IF(C56="","missing contact_order; ","")&amp;IF(D56="","missing contact_type; ","")&amp;IF(E56="","missing number; ","")&amp;IF(J56="","missing status; ","")&amp;IF(AND(A56="client",COUNTIF(الزبائن!$A$6:$A$505,B56)=0),"client key not found; ","")&amp;IF(AND(A56="proposed_name",COUNTIF('أسماء مقترحة'!$A$6:$A$505,B56)=0),"proposed_name key not found; ","")&amp;IF(AND(D56="mobile",J56&lt;&gt;"invalid",NOT(OR(AND(LEN(E56&amp;"")=10,LEFT(E56&amp;"",2)="09"),AND(LEN(E56&amp;"")=9,LEFT(E56&amp;"",1)="9")))),"mobile must be 09XXXXXXXX or status invalid; ","")&amp;IF(COUNTIFS($A$6:$A$505,A56,$B$6:$B$505,B56,$E$6:$E$505,E56)&gt;1,"duplicate number for same entity; ",""))))</f>
        <v/>
      </c>
    </row>
    <row r="57" spans="1:14">
      <c r="A57" s="23"/>
      <c r="B57" s="24"/>
      <c r="C57" s="25"/>
      <c r="D57" s="25"/>
      <c r="E57" s="24"/>
      <c r="F57" s="24"/>
      <c r="G57" s="25"/>
      <c r="H57" s="25"/>
      <c r="I57" s="25"/>
      <c r="J57" s="25"/>
      <c r="K57" s="25"/>
      <c r="L57" s="25"/>
      <c r="M57" s="25" t="str">
        <f>IF(AND(A57="",B57="",E57=""),"",IF(OR(A57="",B57="",C57="",D57="",E57="",J57="",AND(A57="client",COUNTIF(الزبائن!$A$6:$A$505,B57)=0),AND(A57="proposed_name",COUNTIF('أسماء مقترحة'!$A$6:$A$505,B57)=0),AND(D57="mobile",J57&lt;&gt;"invalid",NOT(OR(AND(LEN(E57&amp;"")=10,LEFT(E57&amp;"",2)="09"),AND(LEN(E57&amp;"")=9,LEFT(E57&amp;"",1)="9")))),COUNTIFS($A$6:$A$505,A57,$B$6:$B$505,B57,$E$6:$E$505,E57)&gt;1),"REVIEW","READY"))</f>
        <v/>
      </c>
      <c r="N57" s="27" t="str">
        <f>IF(M57="","",IF(M57="READY","",TRIM(IF(A57="","missing entity_type; ","")&amp;IF(B57="","missing entity_key; ","")&amp;IF(C57="","missing contact_order; ","")&amp;IF(D57="","missing contact_type; ","")&amp;IF(E57="","missing number; ","")&amp;IF(J57="","missing status; ","")&amp;IF(AND(A57="client",COUNTIF(الزبائن!$A$6:$A$505,B57)=0),"client key not found; ","")&amp;IF(AND(A57="proposed_name",COUNTIF('أسماء مقترحة'!$A$6:$A$505,B57)=0),"proposed_name key not found; ","")&amp;IF(AND(D57="mobile",J57&lt;&gt;"invalid",NOT(OR(AND(LEN(E57&amp;"")=10,LEFT(E57&amp;"",2)="09"),AND(LEN(E57&amp;"")=9,LEFT(E57&amp;"",1)="9")))),"mobile must be 09XXXXXXXX or status invalid; ","")&amp;IF(COUNTIFS($A$6:$A$505,A57,$B$6:$B$505,B57,$E$6:$E$505,E57)&gt;1,"duplicate number for same entity; ",""))))</f>
        <v/>
      </c>
    </row>
    <row r="58" spans="1:14">
      <c r="A58" s="23"/>
      <c r="B58" s="24"/>
      <c r="C58" s="25"/>
      <c r="D58" s="25"/>
      <c r="E58" s="24"/>
      <c r="F58" s="24"/>
      <c r="G58" s="25"/>
      <c r="H58" s="25"/>
      <c r="I58" s="25"/>
      <c r="J58" s="25"/>
      <c r="K58" s="25"/>
      <c r="L58" s="25"/>
      <c r="M58" s="25" t="str">
        <f>IF(AND(A58="",B58="",E58=""),"",IF(OR(A58="",B58="",C58="",D58="",E58="",J58="",AND(A58="client",COUNTIF(الزبائن!$A$6:$A$505,B58)=0),AND(A58="proposed_name",COUNTIF('أسماء مقترحة'!$A$6:$A$505,B58)=0),AND(D58="mobile",J58&lt;&gt;"invalid",NOT(OR(AND(LEN(E58&amp;"")=10,LEFT(E58&amp;"",2)="09"),AND(LEN(E58&amp;"")=9,LEFT(E58&amp;"",1)="9")))),COUNTIFS($A$6:$A$505,A58,$B$6:$B$505,B58,$E$6:$E$505,E58)&gt;1),"REVIEW","READY"))</f>
        <v/>
      </c>
      <c r="N58" s="27" t="str">
        <f>IF(M58="","",IF(M58="READY","",TRIM(IF(A58="","missing entity_type; ","")&amp;IF(B58="","missing entity_key; ","")&amp;IF(C58="","missing contact_order; ","")&amp;IF(D58="","missing contact_type; ","")&amp;IF(E58="","missing number; ","")&amp;IF(J58="","missing status; ","")&amp;IF(AND(A58="client",COUNTIF(الزبائن!$A$6:$A$505,B58)=0),"client key not found; ","")&amp;IF(AND(A58="proposed_name",COUNTIF('أسماء مقترحة'!$A$6:$A$505,B58)=0),"proposed_name key not found; ","")&amp;IF(AND(D58="mobile",J58&lt;&gt;"invalid",NOT(OR(AND(LEN(E58&amp;"")=10,LEFT(E58&amp;"",2)="09"),AND(LEN(E58&amp;"")=9,LEFT(E58&amp;"",1)="9")))),"mobile must be 09XXXXXXXX or status invalid; ","")&amp;IF(COUNTIFS($A$6:$A$505,A58,$B$6:$B$505,B58,$E$6:$E$505,E58)&gt;1,"duplicate number for same entity; ",""))))</f>
        <v/>
      </c>
    </row>
    <row r="59" spans="1:14">
      <c r="A59" s="23"/>
      <c r="B59" s="24"/>
      <c r="C59" s="25"/>
      <c r="D59" s="25"/>
      <c r="E59" s="24"/>
      <c r="F59" s="24"/>
      <c r="G59" s="25"/>
      <c r="H59" s="25"/>
      <c r="I59" s="25"/>
      <c r="J59" s="25"/>
      <c r="K59" s="25"/>
      <c r="L59" s="25"/>
      <c r="M59" s="25" t="str">
        <f>IF(AND(A59="",B59="",E59=""),"",IF(OR(A59="",B59="",C59="",D59="",E59="",J59="",AND(A59="client",COUNTIF(الزبائن!$A$6:$A$505,B59)=0),AND(A59="proposed_name",COUNTIF('أسماء مقترحة'!$A$6:$A$505,B59)=0),AND(D59="mobile",J59&lt;&gt;"invalid",NOT(OR(AND(LEN(E59&amp;"")=10,LEFT(E59&amp;"",2)="09"),AND(LEN(E59&amp;"")=9,LEFT(E59&amp;"",1)="9")))),COUNTIFS($A$6:$A$505,A59,$B$6:$B$505,B59,$E$6:$E$505,E59)&gt;1),"REVIEW","READY"))</f>
        <v/>
      </c>
      <c r="N59" s="27" t="str">
        <f>IF(M59="","",IF(M59="READY","",TRIM(IF(A59="","missing entity_type; ","")&amp;IF(B59="","missing entity_key; ","")&amp;IF(C59="","missing contact_order; ","")&amp;IF(D59="","missing contact_type; ","")&amp;IF(E59="","missing number; ","")&amp;IF(J59="","missing status; ","")&amp;IF(AND(A59="client",COUNTIF(الزبائن!$A$6:$A$505,B59)=0),"client key not found; ","")&amp;IF(AND(A59="proposed_name",COUNTIF('أسماء مقترحة'!$A$6:$A$505,B59)=0),"proposed_name key not found; ","")&amp;IF(AND(D59="mobile",J59&lt;&gt;"invalid",NOT(OR(AND(LEN(E59&amp;"")=10,LEFT(E59&amp;"",2)="09"),AND(LEN(E59&amp;"")=9,LEFT(E59&amp;"",1)="9")))),"mobile must be 09XXXXXXXX or status invalid; ","")&amp;IF(COUNTIFS($A$6:$A$505,A59,$B$6:$B$505,B59,$E$6:$E$505,E59)&gt;1,"duplicate number for same entity; ",""))))</f>
        <v/>
      </c>
    </row>
    <row r="60" spans="1:14">
      <c r="A60" s="23"/>
      <c r="B60" s="24"/>
      <c r="C60" s="25"/>
      <c r="D60" s="25"/>
      <c r="E60" s="24"/>
      <c r="F60" s="24"/>
      <c r="G60" s="25"/>
      <c r="H60" s="25"/>
      <c r="I60" s="25"/>
      <c r="J60" s="25"/>
      <c r="K60" s="25"/>
      <c r="L60" s="25"/>
      <c r="M60" s="25" t="str">
        <f>IF(AND(A60="",B60="",E60=""),"",IF(OR(A60="",B60="",C60="",D60="",E60="",J60="",AND(A60="client",COUNTIF(الزبائن!$A$6:$A$505,B60)=0),AND(A60="proposed_name",COUNTIF('أسماء مقترحة'!$A$6:$A$505,B60)=0),AND(D60="mobile",J60&lt;&gt;"invalid",NOT(OR(AND(LEN(E60&amp;"")=10,LEFT(E60&amp;"",2)="09"),AND(LEN(E60&amp;"")=9,LEFT(E60&amp;"",1)="9")))),COUNTIFS($A$6:$A$505,A60,$B$6:$B$505,B60,$E$6:$E$505,E60)&gt;1),"REVIEW","READY"))</f>
        <v/>
      </c>
      <c r="N60" s="27" t="str">
        <f>IF(M60="","",IF(M60="READY","",TRIM(IF(A60="","missing entity_type; ","")&amp;IF(B60="","missing entity_key; ","")&amp;IF(C60="","missing contact_order; ","")&amp;IF(D60="","missing contact_type; ","")&amp;IF(E60="","missing number; ","")&amp;IF(J60="","missing status; ","")&amp;IF(AND(A60="client",COUNTIF(الزبائن!$A$6:$A$505,B60)=0),"client key not found; ","")&amp;IF(AND(A60="proposed_name",COUNTIF('أسماء مقترحة'!$A$6:$A$505,B60)=0),"proposed_name key not found; ","")&amp;IF(AND(D60="mobile",J60&lt;&gt;"invalid",NOT(OR(AND(LEN(E60&amp;"")=10,LEFT(E60&amp;"",2)="09"),AND(LEN(E60&amp;"")=9,LEFT(E60&amp;"",1)="9")))),"mobile must be 09XXXXXXXX or status invalid; ","")&amp;IF(COUNTIFS($A$6:$A$505,A60,$B$6:$B$505,B60,$E$6:$E$505,E60)&gt;1,"duplicate number for same entity; ",""))))</f>
        <v/>
      </c>
    </row>
    <row r="61" spans="1:14">
      <c r="A61" s="23"/>
      <c r="B61" s="24"/>
      <c r="C61" s="25"/>
      <c r="D61" s="25"/>
      <c r="E61" s="24"/>
      <c r="F61" s="24"/>
      <c r="G61" s="25"/>
      <c r="H61" s="25"/>
      <c r="I61" s="25"/>
      <c r="J61" s="25"/>
      <c r="K61" s="25"/>
      <c r="L61" s="25"/>
      <c r="M61" s="25" t="str">
        <f>IF(AND(A61="",B61="",E61=""),"",IF(OR(A61="",B61="",C61="",D61="",E61="",J61="",AND(A61="client",COUNTIF(الزبائن!$A$6:$A$505,B61)=0),AND(A61="proposed_name",COUNTIF('أسماء مقترحة'!$A$6:$A$505,B61)=0),AND(D61="mobile",J61&lt;&gt;"invalid",NOT(OR(AND(LEN(E61&amp;"")=10,LEFT(E61&amp;"",2)="09"),AND(LEN(E61&amp;"")=9,LEFT(E61&amp;"",1)="9")))),COUNTIFS($A$6:$A$505,A61,$B$6:$B$505,B61,$E$6:$E$505,E61)&gt;1),"REVIEW","READY"))</f>
        <v/>
      </c>
      <c r="N61" s="27" t="str">
        <f>IF(M61="","",IF(M61="READY","",TRIM(IF(A61="","missing entity_type; ","")&amp;IF(B61="","missing entity_key; ","")&amp;IF(C61="","missing contact_order; ","")&amp;IF(D61="","missing contact_type; ","")&amp;IF(E61="","missing number; ","")&amp;IF(J61="","missing status; ","")&amp;IF(AND(A61="client",COUNTIF(الزبائن!$A$6:$A$505,B61)=0),"client key not found; ","")&amp;IF(AND(A61="proposed_name",COUNTIF('أسماء مقترحة'!$A$6:$A$505,B61)=0),"proposed_name key not found; ","")&amp;IF(AND(D61="mobile",J61&lt;&gt;"invalid",NOT(OR(AND(LEN(E61&amp;"")=10,LEFT(E61&amp;"",2)="09"),AND(LEN(E61&amp;"")=9,LEFT(E61&amp;"",1)="9")))),"mobile must be 09XXXXXXXX or status invalid; ","")&amp;IF(COUNTIFS($A$6:$A$505,A61,$B$6:$B$505,B61,$E$6:$E$505,E61)&gt;1,"duplicate number for same entity; ",""))))</f>
        <v/>
      </c>
    </row>
    <row r="62" spans="1:14">
      <c r="A62" s="23"/>
      <c r="B62" s="24"/>
      <c r="C62" s="25"/>
      <c r="D62" s="25"/>
      <c r="E62" s="24"/>
      <c r="F62" s="24"/>
      <c r="G62" s="25"/>
      <c r="H62" s="25"/>
      <c r="I62" s="25"/>
      <c r="J62" s="25"/>
      <c r="K62" s="25"/>
      <c r="L62" s="25"/>
      <c r="M62" s="25" t="str">
        <f>IF(AND(A62="",B62="",E62=""),"",IF(OR(A62="",B62="",C62="",D62="",E62="",J62="",AND(A62="client",COUNTIF(الزبائن!$A$6:$A$505,B62)=0),AND(A62="proposed_name",COUNTIF('أسماء مقترحة'!$A$6:$A$505,B62)=0),AND(D62="mobile",J62&lt;&gt;"invalid",NOT(OR(AND(LEN(E62&amp;"")=10,LEFT(E62&amp;"",2)="09"),AND(LEN(E62&amp;"")=9,LEFT(E62&amp;"",1)="9")))),COUNTIFS($A$6:$A$505,A62,$B$6:$B$505,B62,$E$6:$E$505,E62)&gt;1),"REVIEW","READY"))</f>
        <v/>
      </c>
      <c r="N62" s="27" t="str">
        <f>IF(M62="","",IF(M62="READY","",TRIM(IF(A62="","missing entity_type; ","")&amp;IF(B62="","missing entity_key; ","")&amp;IF(C62="","missing contact_order; ","")&amp;IF(D62="","missing contact_type; ","")&amp;IF(E62="","missing number; ","")&amp;IF(J62="","missing status; ","")&amp;IF(AND(A62="client",COUNTIF(الزبائن!$A$6:$A$505,B62)=0),"client key not found; ","")&amp;IF(AND(A62="proposed_name",COUNTIF('أسماء مقترحة'!$A$6:$A$505,B62)=0),"proposed_name key not found; ","")&amp;IF(AND(D62="mobile",J62&lt;&gt;"invalid",NOT(OR(AND(LEN(E62&amp;"")=10,LEFT(E62&amp;"",2)="09"),AND(LEN(E62&amp;"")=9,LEFT(E62&amp;"",1)="9")))),"mobile must be 09XXXXXXXX or status invalid; ","")&amp;IF(COUNTIFS($A$6:$A$505,A62,$B$6:$B$505,B62,$E$6:$E$505,E62)&gt;1,"duplicate number for same entity; ",""))))</f>
        <v/>
      </c>
    </row>
    <row r="63" spans="1:14">
      <c r="A63" s="23"/>
      <c r="B63" s="24"/>
      <c r="C63" s="25"/>
      <c r="D63" s="25"/>
      <c r="E63" s="24"/>
      <c r="F63" s="24"/>
      <c r="G63" s="25"/>
      <c r="H63" s="25"/>
      <c r="I63" s="25"/>
      <c r="J63" s="25"/>
      <c r="K63" s="25"/>
      <c r="L63" s="25"/>
      <c r="M63" s="25" t="str">
        <f>IF(AND(A63="",B63="",E63=""),"",IF(OR(A63="",B63="",C63="",D63="",E63="",J63="",AND(A63="client",COUNTIF(الزبائن!$A$6:$A$505,B63)=0),AND(A63="proposed_name",COUNTIF('أسماء مقترحة'!$A$6:$A$505,B63)=0),AND(D63="mobile",J63&lt;&gt;"invalid",NOT(OR(AND(LEN(E63&amp;"")=10,LEFT(E63&amp;"",2)="09"),AND(LEN(E63&amp;"")=9,LEFT(E63&amp;"",1)="9")))),COUNTIFS($A$6:$A$505,A63,$B$6:$B$505,B63,$E$6:$E$505,E63)&gt;1),"REVIEW","READY"))</f>
        <v/>
      </c>
      <c r="N63" s="27" t="str">
        <f>IF(M63="","",IF(M63="READY","",TRIM(IF(A63="","missing entity_type; ","")&amp;IF(B63="","missing entity_key; ","")&amp;IF(C63="","missing contact_order; ","")&amp;IF(D63="","missing contact_type; ","")&amp;IF(E63="","missing number; ","")&amp;IF(J63="","missing status; ","")&amp;IF(AND(A63="client",COUNTIF(الزبائن!$A$6:$A$505,B63)=0),"client key not found; ","")&amp;IF(AND(A63="proposed_name",COUNTIF('أسماء مقترحة'!$A$6:$A$505,B63)=0),"proposed_name key not found; ","")&amp;IF(AND(D63="mobile",J63&lt;&gt;"invalid",NOT(OR(AND(LEN(E63&amp;"")=10,LEFT(E63&amp;"",2)="09"),AND(LEN(E63&amp;"")=9,LEFT(E63&amp;"",1)="9")))),"mobile must be 09XXXXXXXX or status invalid; ","")&amp;IF(COUNTIFS($A$6:$A$505,A63,$B$6:$B$505,B63,$E$6:$E$505,E63)&gt;1,"duplicate number for same entity; ",""))))</f>
        <v/>
      </c>
    </row>
    <row r="64" spans="1:14">
      <c r="A64" s="23"/>
      <c r="B64" s="24"/>
      <c r="C64" s="25"/>
      <c r="D64" s="25"/>
      <c r="E64" s="24"/>
      <c r="F64" s="24"/>
      <c r="G64" s="25"/>
      <c r="H64" s="25"/>
      <c r="I64" s="25"/>
      <c r="J64" s="25"/>
      <c r="K64" s="25"/>
      <c r="L64" s="25"/>
      <c r="M64" s="25" t="str">
        <f>IF(AND(A64="",B64="",E64=""),"",IF(OR(A64="",B64="",C64="",D64="",E64="",J64="",AND(A64="client",COUNTIF(الزبائن!$A$6:$A$505,B64)=0),AND(A64="proposed_name",COUNTIF('أسماء مقترحة'!$A$6:$A$505,B64)=0),AND(D64="mobile",J64&lt;&gt;"invalid",NOT(OR(AND(LEN(E64&amp;"")=10,LEFT(E64&amp;"",2)="09"),AND(LEN(E64&amp;"")=9,LEFT(E64&amp;"",1)="9")))),COUNTIFS($A$6:$A$505,A64,$B$6:$B$505,B64,$E$6:$E$505,E64)&gt;1),"REVIEW","READY"))</f>
        <v/>
      </c>
      <c r="N64" s="27" t="str">
        <f>IF(M64="","",IF(M64="READY","",TRIM(IF(A64="","missing entity_type; ","")&amp;IF(B64="","missing entity_key; ","")&amp;IF(C64="","missing contact_order; ","")&amp;IF(D64="","missing contact_type; ","")&amp;IF(E64="","missing number; ","")&amp;IF(J64="","missing status; ","")&amp;IF(AND(A64="client",COUNTIF(الزبائن!$A$6:$A$505,B64)=0),"client key not found; ","")&amp;IF(AND(A64="proposed_name",COUNTIF('أسماء مقترحة'!$A$6:$A$505,B64)=0),"proposed_name key not found; ","")&amp;IF(AND(D64="mobile",J64&lt;&gt;"invalid",NOT(OR(AND(LEN(E64&amp;"")=10,LEFT(E64&amp;"",2)="09"),AND(LEN(E64&amp;"")=9,LEFT(E64&amp;"",1)="9")))),"mobile must be 09XXXXXXXX or status invalid; ","")&amp;IF(COUNTIFS($A$6:$A$505,A64,$B$6:$B$505,B64,$E$6:$E$505,E64)&gt;1,"duplicate number for same entity; ",""))))</f>
        <v/>
      </c>
    </row>
    <row r="65" spans="1:14">
      <c r="A65" s="23"/>
      <c r="B65" s="24"/>
      <c r="C65" s="25"/>
      <c r="D65" s="25"/>
      <c r="E65" s="24"/>
      <c r="F65" s="24"/>
      <c r="G65" s="25"/>
      <c r="H65" s="25"/>
      <c r="I65" s="25"/>
      <c r="J65" s="25"/>
      <c r="K65" s="25"/>
      <c r="L65" s="25"/>
      <c r="M65" s="25" t="str">
        <f>IF(AND(A65="",B65="",E65=""),"",IF(OR(A65="",B65="",C65="",D65="",E65="",J65="",AND(A65="client",COUNTIF(الزبائن!$A$6:$A$505,B65)=0),AND(A65="proposed_name",COUNTIF('أسماء مقترحة'!$A$6:$A$505,B65)=0),AND(D65="mobile",J65&lt;&gt;"invalid",NOT(OR(AND(LEN(E65&amp;"")=10,LEFT(E65&amp;"",2)="09"),AND(LEN(E65&amp;"")=9,LEFT(E65&amp;"",1)="9")))),COUNTIFS($A$6:$A$505,A65,$B$6:$B$505,B65,$E$6:$E$505,E65)&gt;1),"REVIEW","READY"))</f>
        <v/>
      </c>
      <c r="N65" s="27" t="str">
        <f>IF(M65="","",IF(M65="READY","",TRIM(IF(A65="","missing entity_type; ","")&amp;IF(B65="","missing entity_key; ","")&amp;IF(C65="","missing contact_order; ","")&amp;IF(D65="","missing contact_type; ","")&amp;IF(E65="","missing number; ","")&amp;IF(J65="","missing status; ","")&amp;IF(AND(A65="client",COUNTIF(الزبائن!$A$6:$A$505,B65)=0),"client key not found; ","")&amp;IF(AND(A65="proposed_name",COUNTIF('أسماء مقترحة'!$A$6:$A$505,B65)=0),"proposed_name key not found; ","")&amp;IF(AND(D65="mobile",J65&lt;&gt;"invalid",NOT(OR(AND(LEN(E65&amp;"")=10,LEFT(E65&amp;"",2)="09"),AND(LEN(E65&amp;"")=9,LEFT(E65&amp;"",1)="9")))),"mobile must be 09XXXXXXXX or status invalid; ","")&amp;IF(COUNTIFS($A$6:$A$505,A65,$B$6:$B$505,B65,$E$6:$E$505,E65)&gt;1,"duplicate number for same entity; ",""))))</f>
        <v/>
      </c>
    </row>
    <row r="66" spans="1:14">
      <c r="A66" s="23"/>
      <c r="B66" s="24"/>
      <c r="C66" s="25"/>
      <c r="D66" s="25"/>
      <c r="E66" s="24"/>
      <c r="F66" s="24"/>
      <c r="G66" s="25"/>
      <c r="H66" s="25"/>
      <c r="I66" s="25"/>
      <c r="J66" s="25"/>
      <c r="K66" s="25"/>
      <c r="L66" s="25"/>
      <c r="M66" s="25" t="str">
        <f>IF(AND(A66="",B66="",E66=""),"",IF(OR(A66="",B66="",C66="",D66="",E66="",J66="",AND(A66="client",COUNTIF(الزبائن!$A$6:$A$505,B66)=0),AND(A66="proposed_name",COUNTIF('أسماء مقترحة'!$A$6:$A$505,B66)=0),AND(D66="mobile",J66&lt;&gt;"invalid",NOT(OR(AND(LEN(E66&amp;"")=10,LEFT(E66&amp;"",2)="09"),AND(LEN(E66&amp;"")=9,LEFT(E66&amp;"",1)="9")))),COUNTIFS($A$6:$A$505,A66,$B$6:$B$505,B66,$E$6:$E$505,E66)&gt;1),"REVIEW","READY"))</f>
        <v/>
      </c>
      <c r="N66" s="27" t="str">
        <f>IF(M66="","",IF(M66="READY","",TRIM(IF(A66="","missing entity_type; ","")&amp;IF(B66="","missing entity_key; ","")&amp;IF(C66="","missing contact_order; ","")&amp;IF(D66="","missing contact_type; ","")&amp;IF(E66="","missing number; ","")&amp;IF(J66="","missing status; ","")&amp;IF(AND(A66="client",COUNTIF(الزبائن!$A$6:$A$505,B66)=0),"client key not found; ","")&amp;IF(AND(A66="proposed_name",COUNTIF('أسماء مقترحة'!$A$6:$A$505,B66)=0),"proposed_name key not found; ","")&amp;IF(AND(D66="mobile",J66&lt;&gt;"invalid",NOT(OR(AND(LEN(E66&amp;"")=10,LEFT(E66&amp;"",2)="09"),AND(LEN(E66&amp;"")=9,LEFT(E66&amp;"",1)="9")))),"mobile must be 09XXXXXXXX or status invalid; ","")&amp;IF(COUNTIFS($A$6:$A$505,A66,$B$6:$B$505,B66,$E$6:$E$505,E66)&gt;1,"duplicate number for same entity; ",""))))</f>
        <v/>
      </c>
    </row>
    <row r="67" spans="1:14">
      <c r="A67" s="23"/>
      <c r="B67" s="24"/>
      <c r="C67" s="25"/>
      <c r="D67" s="25"/>
      <c r="E67" s="24"/>
      <c r="F67" s="24"/>
      <c r="G67" s="25"/>
      <c r="H67" s="25"/>
      <c r="I67" s="25"/>
      <c r="J67" s="25"/>
      <c r="K67" s="25"/>
      <c r="L67" s="25"/>
      <c r="M67" s="25" t="str">
        <f>IF(AND(A67="",B67="",E67=""),"",IF(OR(A67="",B67="",C67="",D67="",E67="",J67="",AND(A67="client",COUNTIF(الزبائن!$A$6:$A$505,B67)=0),AND(A67="proposed_name",COUNTIF('أسماء مقترحة'!$A$6:$A$505,B67)=0),AND(D67="mobile",J67&lt;&gt;"invalid",NOT(OR(AND(LEN(E67&amp;"")=10,LEFT(E67&amp;"",2)="09"),AND(LEN(E67&amp;"")=9,LEFT(E67&amp;"",1)="9")))),COUNTIFS($A$6:$A$505,A67,$B$6:$B$505,B67,$E$6:$E$505,E67)&gt;1),"REVIEW","READY"))</f>
        <v/>
      </c>
      <c r="N67" s="27" t="str">
        <f>IF(M67="","",IF(M67="READY","",TRIM(IF(A67="","missing entity_type; ","")&amp;IF(B67="","missing entity_key; ","")&amp;IF(C67="","missing contact_order; ","")&amp;IF(D67="","missing contact_type; ","")&amp;IF(E67="","missing number; ","")&amp;IF(J67="","missing status; ","")&amp;IF(AND(A67="client",COUNTIF(الزبائن!$A$6:$A$505,B67)=0),"client key not found; ","")&amp;IF(AND(A67="proposed_name",COUNTIF('أسماء مقترحة'!$A$6:$A$505,B67)=0),"proposed_name key not found; ","")&amp;IF(AND(D67="mobile",J67&lt;&gt;"invalid",NOT(OR(AND(LEN(E67&amp;"")=10,LEFT(E67&amp;"",2)="09"),AND(LEN(E67&amp;"")=9,LEFT(E67&amp;"",1)="9")))),"mobile must be 09XXXXXXXX or status invalid; ","")&amp;IF(COUNTIFS($A$6:$A$505,A67,$B$6:$B$505,B67,$E$6:$E$505,E67)&gt;1,"duplicate number for same entity; ",""))))</f>
        <v/>
      </c>
    </row>
    <row r="68" spans="1:14">
      <c r="A68" s="23"/>
      <c r="B68" s="24"/>
      <c r="C68" s="25"/>
      <c r="D68" s="25"/>
      <c r="E68" s="24"/>
      <c r="F68" s="24"/>
      <c r="G68" s="25"/>
      <c r="H68" s="25"/>
      <c r="I68" s="25"/>
      <c r="J68" s="25"/>
      <c r="K68" s="25"/>
      <c r="L68" s="25"/>
      <c r="M68" s="25" t="str">
        <f>IF(AND(A68="",B68="",E68=""),"",IF(OR(A68="",B68="",C68="",D68="",E68="",J68="",AND(A68="client",COUNTIF(الزبائن!$A$6:$A$505,B68)=0),AND(A68="proposed_name",COUNTIF('أسماء مقترحة'!$A$6:$A$505,B68)=0),AND(D68="mobile",J68&lt;&gt;"invalid",NOT(OR(AND(LEN(E68&amp;"")=10,LEFT(E68&amp;"",2)="09"),AND(LEN(E68&amp;"")=9,LEFT(E68&amp;"",1)="9")))),COUNTIFS($A$6:$A$505,A68,$B$6:$B$505,B68,$E$6:$E$505,E68)&gt;1),"REVIEW","READY"))</f>
        <v/>
      </c>
      <c r="N68" s="27" t="str">
        <f>IF(M68="","",IF(M68="READY","",TRIM(IF(A68="","missing entity_type; ","")&amp;IF(B68="","missing entity_key; ","")&amp;IF(C68="","missing contact_order; ","")&amp;IF(D68="","missing contact_type; ","")&amp;IF(E68="","missing number; ","")&amp;IF(J68="","missing status; ","")&amp;IF(AND(A68="client",COUNTIF(الزبائن!$A$6:$A$505,B68)=0),"client key not found; ","")&amp;IF(AND(A68="proposed_name",COUNTIF('أسماء مقترحة'!$A$6:$A$505,B68)=0),"proposed_name key not found; ","")&amp;IF(AND(D68="mobile",J68&lt;&gt;"invalid",NOT(OR(AND(LEN(E68&amp;"")=10,LEFT(E68&amp;"",2)="09"),AND(LEN(E68&amp;"")=9,LEFT(E68&amp;"",1)="9")))),"mobile must be 09XXXXXXXX or status invalid; ","")&amp;IF(COUNTIFS($A$6:$A$505,A68,$B$6:$B$505,B68,$E$6:$E$505,E68)&gt;1,"duplicate number for same entity; ",""))))</f>
        <v/>
      </c>
    </row>
    <row r="69" spans="1:14">
      <c r="A69" s="23"/>
      <c r="B69" s="24"/>
      <c r="C69" s="25"/>
      <c r="D69" s="25"/>
      <c r="E69" s="24"/>
      <c r="F69" s="24"/>
      <c r="G69" s="25"/>
      <c r="H69" s="25"/>
      <c r="I69" s="25"/>
      <c r="J69" s="25"/>
      <c r="K69" s="25"/>
      <c r="L69" s="25"/>
      <c r="M69" s="25" t="str">
        <f>IF(AND(A69="",B69="",E69=""),"",IF(OR(A69="",B69="",C69="",D69="",E69="",J69="",AND(A69="client",COUNTIF(الزبائن!$A$6:$A$505,B69)=0),AND(A69="proposed_name",COUNTIF('أسماء مقترحة'!$A$6:$A$505,B69)=0),AND(D69="mobile",J69&lt;&gt;"invalid",NOT(OR(AND(LEN(E69&amp;"")=10,LEFT(E69&amp;"",2)="09"),AND(LEN(E69&amp;"")=9,LEFT(E69&amp;"",1)="9")))),COUNTIFS($A$6:$A$505,A69,$B$6:$B$505,B69,$E$6:$E$505,E69)&gt;1),"REVIEW","READY"))</f>
        <v/>
      </c>
      <c r="N69" s="27" t="str">
        <f>IF(M69="","",IF(M69="READY","",TRIM(IF(A69="","missing entity_type; ","")&amp;IF(B69="","missing entity_key; ","")&amp;IF(C69="","missing contact_order; ","")&amp;IF(D69="","missing contact_type; ","")&amp;IF(E69="","missing number; ","")&amp;IF(J69="","missing status; ","")&amp;IF(AND(A69="client",COUNTIF(الزبائن!$A$6:$A$505,B69)=0),"client key not found; ","")&amp;IF(AND(A69="proposed_name",COUNTIF('أسماء مقترحة'!$A$6:$A$505,B69)=0),"proposed_name key not found; ","")&amp;IF(AND(D69="mobile",J69&lt;&gt;"invalid",NOT(OR(AND(LEN(E69&amp;"")=10,LEFT(E69&amp;"",2)="09"),AND(LEN(E69&amp;"")=9,LEFT(E69&amp;"",1)="9")))),"mobile must be 09XXXXXXXX or status invalid; ","")&amp;IF(COUNTIFS($A$6:$A$505,A69,$B$6:$B$505,B69,$E$6:$E$505,E69)&gt;1,"duplicate number for same entity; ",""))))</f>
        <v/>
      </c>
    </row>
    <row r="70" spans="1:14">
      <c r="A70" s="23"/>
      <c r="B70" s="24"/>
      <c r="C70" s="25"/>
      <c r="D70" s="25"/>
      <c r="E70" s="24"/>
      <c r="F70" s="24"/>
      <c r="G70" s="25"/>
      <c r="H70" s="25"/>
      <c r="I70" s="25"/>
      <c r="J70" s="25"/>
      <c r="K70" s="25"/>
      <c r="L70" s="25"/>
      <c r="M70" s="25" t="str">
        <f>IF(AND(A70="",B70="",E70=""),"",IF(OR(A70="",B70="",C70="",D70="",E70="",J70="",AND(A70="client",COUNTIF(الزبائن!$A$6:$A$505,B70)=0),AND(A70="proposed_name",COUNTIF('أسماء مقترحة'!$A$6:$A$505,B70)=0),AND(D70="mobile",J70&lt;&gt;"invalid",NOT(OR(AND(LEN(E70&amp;"")=10,LEFT(E70&amp;"",2)="09"),AND(LEN(E70&amp;"")=9,LEFT(E70&amp;"",1)="9")))),COUNTIFS($A$6:$A$505,A70,$B$6:$B$505,B70,$E$6:$E$505,E70)&gt;1),"REVIEW","READY"))</f>
        <v/>
      </c>
      <c r="N70" s="27" t="str">
        <f>IF(M70="","",IF(M70="READY","",TRIM(IF(A70="","missing entity_type; ","")&amp;IF(B70="","missing entity_key; ","")&amp;IF(C70="","missing contact_order; ","")&amp;IF(D70="","missing contact_type; ","")&amp;IF(E70="","missing number; ","")&amp;IF(J70="","missing status; ","")&amp;IF(AND(A70="client",COUNTIF(الزبائن!$A$6:$A$505,B70)=0),"client key not found; ","")&amp;IF(AND(A70="proposed_name",COUNTIF('أسماء مقترحة'!$A$6:$A$505,B70)=0),"proposed_name key not found; ","")&amp;IF(AND(D70="mobile",J70&lt;&gt;"invalid",NOT(OR(AND(LEN(E70&amp;"")=10,LEFT(E70&amp;"",2)="09"),AND(LEN(E70&amp;"")=9,LEFT(E70&amp;"",1)="9")))),"mobile must be 09XXXXXXXX or status invalid; ","")&amp;IF(COUNTIFS($A$6:$A$505,A70,$B$6:$B$505,B70,$E$6:$E$505,E70)&gt;1,"duplicate number for same entity; ",""))))</f>
        <v/>
      </c>
    </row>
    <row r="71" spans="1:14">
      <c r="A71" s="23"/>
      <c r="B71" s="24"/>
      <c r="C71" s="25"/>
      <c r="D71" s="25"/>
      <c r="E71" s="24"/>
      <c r="F71" s="24"/>
      <c r="G71" s="25"/>
      <c r="H71" s="25"/>
      <c r="I71" s="25"/>
      <c r="J71" s="25"/>
      <c r="K71" s="25"/>
      <c r="L71" s="25"/>
      <c r="M71" s="25" t="str">
        <f>IF(AND(A71="",B71="",E71=""),"",IF(OR(A71="",B71="",C71="",D71="",E71="",J71="",AND(A71="client",COUNTIF(الزبائن!$A$6:$A$505,B71)=0),AND(A71="proposed_name",COUNTIF('أسماء مقترحة'!$A$6:$A$505,B71)=0),AND(D71="mobile",J71&lt;&gt;"invalid",NOT(OR(AND(LEN(E71&amp;"")=10,LEFT(E71&amp;"",2)="09"),AND(LEN(E71&amp;"")=9,LEFT(E71&amp;"",1)="9")))),COUNTIFS($A$6:$A$505,A71,$B$6:$B$505,B71,$E$6:$E$505,E71)&gt;1),"REVIEW","READY"))</f>
        <v/>
      </c>
      <c r="N71" s="27" t="str">
        <f>IF(M71="","",IF(M71="READY","",TRIM(IF(A71="","missing entity_type; ","")&amp;IF(B71="","missing entity_key; ","")&amp;IF(C71="","missing contact_order; ","")&amp;IF(D71="","missing contact_type; ","")&amp;IF(E71="","missing number; ","")&amp;IF(J71="","missing status; ","")&amp;IF(AND(A71="client",COUNTIF(الزبائن!$A$6:$A$505,B71)=0),"client key not found; ","")&amp;IF(AND(A71="proposed_name",COUNTIF('أسماء مقترحة'!$A$6:$A$505,B71)=0),"proposed_name key not found; ","")&amp;IF(AND(D71="mobile",J71&lt;&gt;"invalid",NOT(OR(AND(LEN(E71&amp;"")=10,LEFT(E71&amp;"",2)="09"),AND(LEN(E71&amp;"")=9,LEFT(E71&amp;"",1)="9")))),"mobile must be 09XXXXXXXX or status invalid; ","")&amp;IF(COUNTIFS($A$6:$A$505,A71,$B$6:$B$505,B71,$E$6:$E$505,E71)&gt;1,"duplicate number for same entity; ",""))))</f>
        <v/>
      </c>
    </row>
    <row r="72" spans="1:14">
      <c r="A72" s="23"/>
      <c r="B72" s="24"/>
      <c r="C72" s="25"/>
      <c r="D72" s="25"/>
      <c r="E72" s="24"/>
      <c r="F72" s="24"/>
      <c r="G72" s="25"/>
      <c r="H72" s="25"/>
      <c r="I72" s="25"/>
      <c r="J72" s="25"/>
      <c r="K72" s="25"/>
      <c r="L72" s="25"/>
      <c r="M72" s="25" t="str">
        <f>IF(AND(A72="",B72="",E72=""),"",IF(OR(A72="",B72="",C72="",D72="",E72="",J72="",AND(A72="client",COUNTIF(الزبائن!$A$6:$A$505,B72)=0),AND(A72="proposed_name",COUNTIF('أسماء مقترحة'!$A$6:$A$505,B72)=0),AND(D72="mobile",J72&lt;&gt;"invalid",NOT(OR(AND(LEN(E72&amp;"")=10,LEFT(E72&amp;"",2)="09"),AND(LEN(E72&amp;"")=9,LEFT(E72&amp;"",1)="9")))),COUNTIFS($A$6:$A$505,A72,$B$6:$B$505,B72,$E$6:$E$505,E72)&gt;1),"REVIEW","READY"))</f>
        <v/>
      </c>
      <c r="N72" s="27" t="str">
        <f>IF(M72="","",IF(M72="READY","",TRIM(IF(A72="","missing entity_type; ","")&amp;IF(B72="","missing entity_key; ","")&amp;IF(C72="","missing contact_order; ","")&amp;IF(D72="","missing contact_type; ","")&amp;IF(E72="","missing number; ","")&amp;IF(J72="","missing status; ","")&amp;IF(AND(A72="client",COUNTIF(الزبائن!$A$6:$A$505,B72)=0),"client key not found; ","")&amp;IF(AND(A72="proposed_name",COUNTIF('أسماء مقترحة'!$A$6:$A$505,B72)=0),"proposed_name key not found; ","")&amp;IF(AND(D72="mobile",J72&lt;&gt;"invalid",NOT(OR(AND(LEN(E72&amp;"")=10,LEFT(E72&amp;"",2)="09"),AND(LEN(E72&amp;"")=9,LEFT(E72&amp;"",1)="9")))),"mobile must be 09XXXXXXXX or status invalid; ","")&amp;IF(COUNTIFS($A$6:$A$505,A72,$B$6:$B$505,B72,$E$6:$E$505,E72)&gt;1,"duplicate number for same entity; ",""))))</f>
        <v/>
      </c>
    </row>
    <row r="73" spans="1:14">
      <c r="A73" s="23"/>
      <c r="B73" s="24"/>
      <c r="C73" s="25"/>
      <c r="D73" s="25"/>
      <c r="E73" s="24"/>
      <c r="F73" s="24"/>
      <c r="G73" s="25"/>
      <c r="H73" s="25"/>
      <c r="I73" s="25"/>
      <c r="J73" s="25"/>
      <c r="K73" s="25"/>
      <c r="L73" s="25"/>
      <c r="M73" s="25" t="str">
        <f>IF(AND(A73="",B73="",E73=""),"",IF(OR(A73="",B73="",C73="",D73="",E73="",J73="",AND(A73="client",COUNTIF(الزبائن!$A$6:$A$505,B73)=0),AND(A73="proposed_name",COUNTIF('أسماء مقترحة'!$A$6:$A$505,B73)=0),AND(D73="mobile",J73&lt;&gt;"invalid",NOT(OR(AND(LEN(E73&amp;"")=10,LEFT(E73&amp;"",2)="09"),AND(LEN(E73&amp;"")=9,LEFT(E73&amp;"",1)="9")))),COUNTIFS($A$6:$A$505,A73,$B$6:$B$505,B73,$E$6:$E$505,E73)&gt;1),"REVIEW","READY"))</f>
        <v/>
      </c>
      <c r="N73" s="27" t="str">
        <f>IF(M73="","",IF(M73="READY","",TRIM(IF(A73="","missing entity_type; ","")&amp;IF(B73="","missing entity_key; ","")&amp;IF(C73="","missing contact_order; ","")&amp;IF(D73="","missing contact_type; ","")&amp;IF(E73="","missing number; ","")&amp;IF(J73="","missing status; ","")&amp;IF(AND(A73="client",COUNTIF(الزبائن!$A$6:$A$505,B73)=0),"client key not found; ","")&amp;IF(AND(A73="proposed_name",COUNTIF('أسماء مقترحة'!$A$6:$A$505,B73)=0),"proposed_name key not found; ","")&amp;IF(AND(D73="mobile",J73&lt;&gt;"invalid",NOT(OR(AND(LEN(E73&amp;"")=10,LEFT(E73&amp;"",2)="09"),AND(LEN(E73&amp;"")=9,LEFT(E73&amp;"",1)="9")))),"mobile must be 09XXXXXXXX or status invalid; ","")&amp;IF(COUNTIFS($A$6:$A$505,A73,$B$6:$B$505,B73,$E$6:$E$505,E73)&gt;1,"duplicate number for same entity; ",""))))</f>
        <v/>
      </c>
    </row>
    <row r="74" spans="1:14">
      <c r="A74" s="23"/>
      <c r="B74" s="24"/>
      <c r="C74" s="25"/>
      <c r="D74" s="25"/>
      <c r="E74" s="24"/>
      <c r="F74" s="24"/>
      <c r="G74" s="25"/>
      <c r="H74" s="25"/>
      <c r="I74" s="25"/>
      <c r="J74" s="25"/>
      <c r="K74" s="25"/>
      <c r="L74" s="25"/>
      <c r="M74" s="25" t="str">
        <f>IF(AND(A74="",B74="",E74=""),"",IF(OR(A74="",B74="",C74="",D74="",E74="",J74="",AND(A74="client",COUNTIF(الزبائن!$A$6:$A$505,B74)=0),AND(A74="proposed_name",COUNTIF('أسماء مقترحة'!$A$6:$A$505,B74)=0),AND(D74="mobile",J74&lt;&gt;"invalid",NOT(OR(AND(LEN(E74&amp;"")=10,LEFT(E74&amp;"",2)="09"),AND(LEN(E74&amp;"")=9,LEFT(E74&amp;"",1)="9")))),COUNTIFS($A$6:$A$505,A74,$B$6:$B$505,B74,$E$6:$E$505,E74)&gt;1),"REVIEW","READY"))</f>
        <v/>
      </c>
      <c r="N74" s="27" t="str">
        <f>IF(M74="","",IF(M74="READY","",TRIM(IF(A74="","missing entity_type; ","")&amp;IF(B74="","missing entity_key; ","")&amp;IF(C74="","missing contact_order; ","")&amp;IF(D74="","missing contact_type; ","")&amp;IF(E74="","missing number; ","")&amp;IF(J74="","missing status; ","")&amp;IF(AND(A74="client",COUNTIF(الزبائن!$A$6:$A$505,B74)=0),"client key not found; ","")&amp;IF(AND(A74="proposed_name",COUNTIF('أسماء مقترحة'!$A$6:$A$505,B74)=0),"proposed_name key not found; ","")&amp;IF(AND(D74="mobile",J74&lt;&gt;"invalid",NOT(OR(AND(LEN(E74&amp;"")=10,LEFT(E74&amp;"",2)="09"),AND(LEN(E74&amp;"")=9,LEFT(E74&amp;"",1)="9")))),"mobile must be 09XXXXXXXX or status invalid; ","")&amp;IF(COUNTIFS($A$6:$A$505,A74,$B$6:$B$505,B74,$E$6:$E$505,E74)&gt;1,"duplicate number for same entity; ",""))))</f>
        <v/>
      </c>
    </row>
    <row r="75" spans="1:14">
      <c r="A75" s="23"/>
      <c r="B75" s="24"/>
      <c r="C75" s="25"/>
      <c r="D75" s="25"/>
      <c r="E75" s="24"/>
      <c r="F75" s="24"/>
      <c r="G75" s="25"/>
      <c r="H75" s="25"/>
      <c r="I75" s="25"/>
      <c r="J75" s="25"/>
      <c r="K75" s="25"/>
      <c r="L75" s="25"/>
      <c r="M75" s="25" t="str">
        <f>IF(AND(A75="",B75="",E75=""),"",IF(OR(A75="",B75="",C75="",D75="",E75="",J75="",AND(A75="client",COUNTIF(الزبائن!$A$6:$A$505,B75)=0),AND(A75="proposed_name",COUNTIF('أسماء مقترحة'!$A$6:$A$505,B75)=0),AND(D75="mobile",J75&lt;&gt;"invalid",NOT(OR(AND(LEN(E75&amp;"")=10,LEFT(E75&amp;"",2)="09"),AND(LEN(E75&amp;"")=9,LEFT(E75&amp;"",1)="9")))),COUNTIFS($A$6:$A$505,A75,$B$6:$B$505,B75,$E$6:$E$505,E75)&gt;1),"REVIEW","READY"))</f>
        <v/>
      </c>
      <c r="N75" s="27" t="str">
        <f>IF(M75="","",IF(M75="READY","",TRIM(IF(A75="","missing entity_type; ","")&amp;IF(B75="","missing entity_key; ","")&amp;IF(C75="","missing contact_order; ","")&amp;IF(D75="","missing contact_type; ","")&amp;IF(E75="","missing number; ","")&amp;IF(J75="","missing status; ","")&amp;IF(AND(A75="client",COUNTIF(الزبائن!$A$6:$A$505,B75)=0),"client key not found; ","")&amp;IF(AND(A75="proposed_name",COUNTIF('أسماء مقترحة'!$A$6:$A$505,B75)=0),"proposed_name key not found; ","")&amp;IF(AND(D75="mobile",J75&lt;&gt;"invalid",NOT(OR(AND(LEN(E75&amp;"")=10,LEFT(E75&amp;"",2)="09"),AND(LEN(E75&amp;"")=9,LEFT(E75&amp;"",1)="9")))),"mobile must be 09XXXXXXXX or status invalid; ","")&amp;IF(COUNTIFS($A$6:$A$505,A75,$B$6:$B$505,B75,$E$6:$E$505,E75)&gt;1,"duplicate number for same entity; ",""))))</f>
        <v/>
      </c>
    </row>
    <row r="76" spans="1:14">
      <c r="A76" s="23"/>
      <c r="B76" s="24"/>
      <c r="C76" s="25"/>
      <c r="D76" s="25"/>
      <c r="E76" s="24"/>
      <c r="F76" s="24"/>
      <c r="G76" s="25"/>
      <c r="H76" s="25"/>
      <c r="I76" s="25"/>
      <c r="J76" s="25"/>
      <c r="K76" s="25"/>
      <c r="L76" s="25"/>
      <c r="M76" s="25" t="str">
        <f>IF(AND(A76="",B76="",E76=""),"",IF(OR(A76="",B76="",C76="",D76="",E76="",J76="",AND(A76="client",COUNTIF(الزبائن!$A$6:$A$505,B76)=0),AND(A76="proposed_name",COUNTIF('أسماء مقترحة'!$A$6:$A$505,B76)=0),AND(D76="mobile",J76&lt;&gt;"invalid",NOT(OR(AND(LEN(E76&amp;"")=10,LEFT(E76&amp;"",2)="09"),AND(LEN(E76&amp;"")=9,LEFT(E76&amp;"",1)="9")))),COUNTIFS($A$6:$A$505,A76,$B$6:$B$505,B76,$E$6:$E$505,E76)&gt;1),"REVIEW","READY"))</f>
        <v/>
      </c>
      <c r="N76" s="27" t="str">
        <f>IF(M76="","",IF(M76="READY","",TRIM(IF(A76="","missing entity_type; ","")&amp;IF(B76="","missing entity_key; ","")&amp;IF(C76="","missing contact_order; ","")&amp;IF(D76="","missing contact_type; ","")&amp;IF(E76="","missing number; ","")&amp;IF(J76="","missing status; ","")&amp;IF(AND(A76="client",COUNTIF(الزبائن!$A$6:$A$505,B76)=0),"client key not found; ","")&amp;IF(AND(A76="proposed_name",COUNTIF('أسماء مقترحة'!$A$6:$A$505,B76)=0),"proposed_name key not found; ","")&amp;IF(AND(D76="mobile",J76&lt;&gt;"invalid",NOT(OR(AND(LEN(E76&amp;"")=10,LEFT(E76&amp;"",2)="09"),AND(LEN(E76&amp;"")=9,LEFT(E76&amp;"",1)="9")))),"mobile must be 09XXXXXXXX or status invalid; ","")&amp;IF(COUNTIFS($A$6:$A$505,A76,$B$6:$B$505,B76,$E$6:$E$505,E76)&gt;1,"duplicate number for same entity; ",""))))</f>
        <v/>
      </c>
    </row>
    <row r="77" spans="1:14">
      <c r="A77" s="23"/>
      <c r="B77" s="24"/>
      <c r="C77" s="25"/>
      <c r="D77" s="25"/>
      <c r="E77" s="24"/>
      <c r="F77" s="24"/>
      <c r="G77" s="25"/>
      <c r="H77" s="25"/>
      <c r="I77" s="25"/>
      <c r="J77" s="25"/>
      <c r="K77" s="25"/>
      <c r="L77" s="25"/>
      <c r="M77" s="25" t="str">
        <f>IF(AND(A77="",B77="",E77=""),"",IF(OR(A77="",B77="",C77="",D77="",E77="",J77="",AND(A77="client",COUNTIF(الزبائن!$A$6:$A$505,B77)=0),AND(A77="proposed_name",COUNTIF('أسماء مقترحة'!$A$6:$A$505,B77)=0),AND(D77="mobile",J77&lt;&gt;"invalid",NOT(OR(AND(LEN(E77&amp;"")=10,LEFT(E77&amp;"",2)="09"),AND(LEN(E77&amp;"")=9,LEFT(E77&amp;"",1)="9")))),COUNTIFS($A$6:$A$505,A77,$B$6:$B$505,B77,$E$6:$E$505,E77)&gt;1),"REVIEW","READY"))</f>
        <v/>
      </c>
      <c r="N77" s="27" t="str">
        <f>IF(M77="","",IF(M77="READY","",TRIM(IF(A77="","missing entity_type; ","")&amp;IF(B77="","missing entity_key; ","")&amp;IF(C77="","missing contact_order; ","")&amp;IF(D77="","missing contact_type; ","")&amp;IF(E77="","missing number; ","")&amp;IF(J77="","missing status; ","")&amp;IF(AND(A77="client",COUNTIF(الزبائن!$A$6:$A$505,B77)=0),"client key not found; ","")&amp;IF(AND(A77="proposed_name",COUNTIF('أسماء مقترحة'!$A$6:$A$505,B77)=0),"proposed_name key not found; ","")&amp;IF(AND(D77="mobile",J77&lt;&gt;"invalid",NOT(OR(AND(LEN(E77&amp;"")=10,LEFT(E77&amp;"",2)="09"),AND(LEN(E77&amp;"")=9,LEFT(E77&amp;"",1)="9")))),"mobile must be 09XXXXXXXX or status invalid; ","")&amp;IF(COUNTIFS($A$6:$A$505,A77,$B$6:$B$505,B77,$E$6:$E$505,E77)&gt;1,"duplicate number for same entity; ",""))))</f>
        <v/>
      </c>
    </row>
    <row r="78" spans="1:14">
      <c r="A78" s="23"/>
      <c r="B78" s="24"/>
      <c r="C78" s="25"/>
      <c r="D78" s="25"/>
      <c r="E78" s="24"/>
      <c r="F78" s="24"/>
      <c r="G78" s="25"/>
      <c r="H78" s="25"/>
      <c r="I78" s="25"/>
      <c r="J78" s="25"/>
      <c r="K78" s="25"/>
      <c r="L78" s="25"/>
      <c r="M78" s="25" t="str">
        <f>IF(AND(A78="",B78="",E78=""),"",IF(OR(A78="",B78="",C78="",D78="",E78="",J78="",AND(A78="client",COUNTIF(الزبائن!$A$6:$A$505,B78)=0),AND(A78="proposed_name",COUNTIF('أسماء مقترحة'!$A$6:$A$505,B78)=0),AND(D78="mobile",J78&lt;&gt;"invalid",NOT(OR(AND(LEN(E78&amp;"")=10,LEFT(E78&amp;"",2)="09"),AND(LEN(E78&amp;"")=9,LEFT(E78&amp;"",1)="9")))),COUNTIFS($A$6:$A$505,A78,$B$6:$B$505,B78,$E$6:$E$505,E78)&gt;1),"REVIEW","READY"))</f>
        <v/>
      </c>
      <c r="N78" s="27" t="str">
        <f>IF(M78="","",IF(M78="READY","",TRIM(IF(A78="","missing entity_type; ","")&amp;IF(B78="","missing entity_key; ","")&amp;IF(C78="","missing contact_order; ","")&amp;IF(D78="","missing contact_type; ","")&amp;IF(E78="","missing number; ","")&amp;IF(J78="","missing status; ","")&amp;IF(AND(A78="client",COUNTIF(الزبائن!$A$6:$A$505,B78)=0),"client key not found; ","")&amp;IF(AND(A78="proposed_name",COUNTIF('أسماء مقترحة'!$A$6:$A$505,B78)=0),"proposed_name key not found; ","")&amp;IF(AND(D78="mobile",J78&lt;&gt;"invalid",NOT(OR(AND(LEN(E78&amp;"")=10,LEFT(E78&amp;"",2)="09"),AND(LEN(E78&amp;"")=9,LEFT(E78&amp;"",1)="9")))),"mobile must be 09XXXXXXXX or status invalid; ","")&amp;IF(COUNTIFS($A$6:$A$505,A78,$B$6:$B$505,B78,$E$6:$E$505,E78)&gt;1,"duplicate number for same entity; ",""))))</f>
        <v/>
      </c>
    </row>
    <row r="79" spans="1:14">
      <c r="A79" s="23"/>
      <c r="B79" s="24"/>
      <c r="C79" s="25"/>
      <c r="D79" s="25"/>
      <c r="E79" s="24"/>
      <c r="F79" s="24"/>
      <c r="G79" s="25"/>
      <c r="H79" s="25"/>
      <c r="I79" s="25"/>
      <c r="J79" s="25"/>
      <c r="K79" s="25"/>
      <c r="L79" s="25"/>
      <c r="M79" s="25" t="str">
        <f>IF(AND(A79="",B79="",E79=""),"",IF(OR(A79="",B79="",C79="",D79="",E79="",J79="",AND(A79="client",COUNTIF(الزبائن!$A$6:$A$505,B79)=0),AND(A79="proposed_name",COUNTIF('أسماء مقترحة'!$A$6:$A$505,B79)=0),AND(D79="mobile",J79&lt;&gt;"invalid",NOT(OR(AND(LEN(E79&amp;"")=10,LEFT(E79&amp;"",2)="09"),AND(LEN(E79&amp;"")=9,LEFT(E79&amp;"",1)="9")))),COUNTIFS($A$6:$A$505,A79,$B$6:$B$505,B79,$E$6:$E$505,E79)&gt;1),"REVIEW","READY"))</f>
        <v/>
      </c>
      <c r="N79" s="27" t="str">
        <f>IF(M79="","",IF(M79="READY","",TRIM(IF(A79="","missing entity_type; ","")&amp;IF(B79="","missing entity_key; ","")&amp;IF(C79="","missing contact_order; ","")&amp;IF(D79="","missing contact_type; ","")&amp;IF(E79="","missing number; ","")&amp;IF(J79="","missing status; ","")&amp;IF(AND(A79="client",COUNTIF(الزبائن!$A$6:$A$505,B79)=0),"client key not found; ","")&amp;IF(AND(A79="proposed_name",COUNTIF('أسماء مقترحة'!$A$6:$A$505,B79)=0),"proposed_name key not found; ","")&amp;IF(AND(D79="mobile",J79&lt;&gt;"invalid",NOT(OR(AND(LEN(E79&amp;"")=10,LEFT(E79&amp;"",2)="09"),AND(LEN(E79&amp;"")=9,LEFT(E79&amp;"",1)="9")))),"mobile must be 09XXXXXXXX or status invalid; ","")&amp;IF(COUNTIFS($A$6:$A$505,A79,$B$6:$B$505,B79,$E$6:$E$505,E79)&gt;1,"duplicate number for same entity; ",""))))</f>
        <v/>
      </c>
    </row>
    <row r="80" spans="1:14">
      <c r="A80" s="23"/>
      <c r="B80" s="24"/>
      <c r="C80" s="25"/>
      <c r="D80" s="25"/>
      <c r="E80" s="24"/>
      <c r="F80" s="24"/>
      <c r="G80" s="25"/>
      <c r="H80" s="25"/>
      <c r="I80" s="25"/>
      <c r="J80" s="25"/>
      <c r="K80" s="25"/>
      <c r="L80" s="25"/>
      <c r="M80" s="25" t="str">
        <f>IF(AND(A80="",B80="",E80=""),"",IF(OR(A80="",B80="",C80="",D80="",E80="",J80="",AND(A80="client",COUNTIF(الزبائن!$A$6:$A$505,B80)=0),AND(A80="proposed_name",COUNTIF('أسماء مقترحة'!$A$6:$A$505,B80)=0),AND(D80="mobile",J80&lt;&gt;"invalid",NOT(OR(AND(LEN(E80&amp;"")=10,LEFT(E80&amp;"",2)="09"),AND(LEN(E80&amp;"")=9,LEFT(E80&amp;"",1)="9")))),COUNTIFS($A$6:$A$505,A80,$B$6:$B$505,B80,$E$6:$E$505,E80)&gt;1),"REVIEW","READY"))</f>
        <v/>
      </c>
      <c r="N80" s="27" t="str">
        <f>IF(M80="","",IF(M80="READY","",TRIM(IF(A80="","missing entity_type; ","")&amp;IF(B80="","missing entity_key; ","")&amp;IF(C80="","missing contact_order; ","")&amp;IF(D80="","missing contact_type; ","")&amp;IF(E80="","missing number; ","")&amp;IF(J80="","missing status; ","")&amp;IF(AND(A80="client",COUNTIF(الزبائن!$A$6:$A$505,B80)=0),"client key not found; ","")&amp;IF(AND(A80="proposed_name",COUNTIF('أسماء مقترحة'!$A$6:$A$505,B80)=0),"proposed_name key not found; ","")&amp;IF(AND(D80="mobile",J80&lt;&gt;"invalid",NOT(OR(AND(LEN(E80&amp;"")=10,LEFT(E80&amp;"",2)="09"),AND(LEN(E80&amp;"")=9,LEFT(E80&amp;"",1)="9")))),"mobile must be 09XXXXXXXX or status invalid; ","")&amp;IF(COUNTIFS($A$6:$A$505,A80,$B$6:$B$505,B80,$E$6:$E$505,E80)&gt;1,"duplicate number for same entity; ",""))))</f>
        <v/>
      </c>
    </row>
    <row r="81" spans="1:14">
      <c r="A81" s="23"/>
      <c r="B81" s="24"/>
      <c r="C81" s="25"/>
      <c r="D81" s="25"/>
      <c r="E81" s="24"/>
      <c r="F81" s="24"/>
      <c r="G81" s="25"/>
      <c r="H81" s="25"/>
      <c r="I81" s="25"/>
      <c r="J81" s="25"/>
      <c r="K81" s="25"/>
      <c r="L81" s="25"/>
      <c r="M81" s="25" t="str">
        <f>IF(AND(A81="",B81="",E81=""),"",IF(OR(A81="",B81="",C81="",D81="",E81="",J81="",AND(A81="client",COUNTIF(الزبائن!$A$6:$A$505,B81)=0),AND(A81="proposed_name",COUNTIF('أسماء مقترحة'!$A$6:$A$505,B81)=0),AND(D81="mobile",J81&lt;&gt;"invalid",NOT(OR(AND(LEN(E81&amp;"")=10,LEFT(E81&amp;"",2)="09"),AND(LEN(E81&amp;"")=9,LEFT(E81&amp;"",1)="9")))),COUNTIFS($A$6:$A$505,A81,$B$6:$B$505,B81,$E$6:$E$505,E81)&gt;1),"REVIEW","READY"))</f>
        <v/>
      </c>
      <c r="N81" s="27" t="str">
        <f>IF(M81="","",IF(M81="READY","",TRIM(IF(A81="","missing entity_type; ","")&amp;IF(B81="","missing entity_key; ","")&amp;IF(C81="","missing contact_order; ","")&amp;IF(D81="","missing contact_type; ","")&amp;IF(E81="","missing number; ","")&amp;IF(J81="","missing status; ","")&amp;IF(AND(A81="client",COUNTIF(الزبائن!$A$6:$A$505,B81)=0),"client key not found; ","")&amp;IF(AND(A81="proposed_name",COUNTIF('أسماء مقترحة'!$A$6:$A$505,B81)=0),"proposed_name key not found; ","")&amp;IF(AND(D81="mobile",J81&lt;&gt;"invalid",NOT(OR(AND(LEN(E81&amp;"")=10,LEFT(E81&amp;"",2)="09"),AND(LEN(E81&amp;"")=9,LEFT(E81&amp;"",1)="9")))),"mobile must be 09XXXXXXXX or status invalid; ","")&amp;IF(COUNTIFS($A$6:$A$505,A81,$B$6:$B$505,B81,$E$6:$E$505,E81)&gt;1,"duplicate number for same entity; ",""))))</f>
        <v/>
      </c>
    </row>
    <row r="82" spans="1:14">
      <c r="A82" s="23"/>
      <c r="B82" s="24"/>
      <c r="C82" s="25"/>
      <c r="D82" s="25"/>
      <c r="E82" s="24"/>
      <c r="F82" s="24"/>
      <c r="G82" s="25"/>
      <c r="H82" s="25"/>
      <c r="I82" s="25"/>
      <c r="J82" s="25"/>
      <c r="K82" s="25"/>
      <c r="L82" s="25"/>
      <c r="M82" s="25" t="str">
        <f>IF(AND(A82="",B82="",E82=""),"",IF(OR(A82="",B82="",C82="",D82="",E82="",J82="",AND(A82="client",COUNTIF(الزبائن!$A$6:$A$505,B82)=0),AND(A82="proposed_name",COUNTIF('أسماء مقترحة'!$A$6:$A$505,B82)=0),AND(D82="mobile",J82&lt;&gt;"invalid",NOT(OR(AND(LEN(E82&amp;"")=10,LEFT(E82&amp;"",2)="09"),AND(LEN(E82&amp;"")=9,LEFT(E82&amp;"",1)="9")))),COUNTIFS($A$6:$A$505,A82,$B$6:$B$505,B82,$E$6:$E$505,E82)&gt;1),"REVIEW","READY"))</f>
        <v/>
      </c>
      <c r="N82" s="27" t="str">
        <f>IF(M82="","",IF(M82="READY","",TRIM(IF(A82="","missing entity_type; ","")&amp;IF(B82="","missing entity_key; ","")&amp;IF(C82="","missing contact_order; ","")&amp;IF(D82="","missing contact_type; ","")&amp;IF(E82="","missing number; ","")&amp;IF(J82="","missing status; ","")&amp;IF(AND(A82="client",COUNTIF(الزبائن!$A$6:$A$505,B82)=0),"client key not found; ","")&amp;IF(AND(A82="proposed_name",COUNTIF('أسماء مقترحة'!$A$6:$A$505,B82)=0),"proposed_name key not found; ","")&amp;IF(AND(D82="mobile",J82&lt;&gt;"invalid",NOT(OR(AND(LEN(E82&amp;"")=10,LEFT(E82&amp;"",2)="09"),AND(LEN(E82&amp;"")=9,LEFT(E82&amp;"",1)="9")))),"mobile must be 09XXXXXXXX or status invalid; ","")&amp;IF(COUNTIFS($A$6:$A$505,A82,$B$6:$B$505,B82,$E$6:$E$505,E82)&gt;1,"duplicate number for same entity; ",""))))</f>
        <v/>
      </c>
    </row>
    <row r="83" spans="1:14">
      <c r="A83" s="23"/>
      <c r="B83" s="24"/>
      <c r="C83" s="25"/>
      <c r="D83" s="25"/>
      <c r="E83" s="24"/>
      <c r="F83" s="24"/>
      <c r="G83" s="25"/>
      <c r="H83" s="25"/>
      <c r="I83" s="25"/>
      <c r="J83" s="25"/>
      <c r="K83" s="25"/>
      <c r="L83" s="25"/>
      <c r="M83" s="25" t="str">
        <f>IF(AND(A83="",B83="",E83=""),"",IF(OR(A83="",B83="",C83="",D83="",E83="",J83="",AND(A83="client",COUNTIF(الزبائن!$A$6:$A$505,B83)=0),AND(A83="proposed_name",COUNTIF('أسماء مقترحة'!$A$6:$A$505,B83)=0),AND(D83="mobile",J83&lt;&gt;"invalid",NOT(OR(AND(LEN(E83&amp;"")=10,LEFT(E83&amp;"",2)="09"),AND(LEN(E83&amp;"")=9,LEFT(E83&amp;"",1)="9")))),COUNTIFS($A$6:$A$505,A83,$B$6:$B$505,B83,$E$6:$E$505,E83)&gt;1),"REVIEW","READY"))</f>
        <v/>
      </c>
      <c r="N83" s="27" t="str">
        <f>IF(M83="","",IF(M83="READY","",TRIM(IF(A83="","missing entity_type; ","")&amp;IF(B83="","missing entity_key; ","")&amp;IF(C83="","missing contact_order; ","")&amp;IF(D83="","missing contact_type; ","")&amp;IF(E83="","missing number; ","")&amp;IF(J83="","missing status; ","")&amp;IF(AND(A83="client",COUNTIF(الزبائن!$A$6:$A$505,B83)=0),"client key not found; ","")&amp;IF(AND(A83="proposed_name",COUNTIF('أسماء مقترحة'!$A$6:$A$505,B83)=0),"proposed_name key not found; ","")&amp;IF(AND(D83="mobile",J83&lt;&gt;"invalid",NOT(OR(AND(LEN(E83&amp;"")=10,LEFT(E83&amp;"",2)="09"),AND(LEN(E83&amp;"")=9,LEFT(E83&amp;"",1)="9")))),"mobile must be 09XXXXXXXX or status invalid; ","")&amp;IF(COUNTIFS($A$6:$A$505,A83,$B$6:$B$505,B83,$E$6:$E$505,E83)&gt;1,"duplicate number for same entity; ",""))))</f>
        <v/>
      </c>
    </row>
    <row r="84" spans="1:14">
      <c r="A84" s="23"/>
      <c r="B84" s="24"/>
      <c r="C84" s="25"/>
      <c r="D84" s="25"/>
      <c r="E84" s="24"/>
      <c r="F84" s="24"/>
      <c r="G84" s="25"/>
      <c r="H84" s="25"/>
      <c r="I84" s="25"/>
      <c r="J84" s="25"/>
      <c r="K84" s="25"/>
      <c r="L84" s="25"/>
      <c r="M84" s="25" t="str">
        <f>IF(AND(A84="",B84="",E84=""),"",IF(OR(A84="",B84="",C84="",D84="",E84="",J84="",AND(A84="client",COUNTIF(الزبائن!$A$6:$A$505,B84)=0),AND(A84="proposed_name",COUNTIF('أسماء مقترحة'!$A$6:$A$505,B84)=0),AND(D84="mobile",J84&lt;&gt;"invalid",NOT(OR(AND(LEN(E84&amp;"")=10,LEFT(E84&amp;"",2)="09"),AND(LEN(E84&amp;"")=9,LEFT(E84&amp;"",1)="9")))),COUNTIFS($A$6:$A$505,A84,$B$6:$B$505,B84,$E$6:$E$505,E84)&gt;1),"REVIEW","READY"))</f>
        <v/>
      </c>
      <c r="N84" s="27" t="str">
        <f>IF(M84="","",IF(M84="READY","",TRIM(IF(A84="","missing entity_type; ","")&amp;IF(B84="","missing entity_key; ","")&amp;IF(C84="","missing contact_order; ","")&amp;IF(D84="","missing contact_type; ","")&amp;IF(E84="","missing number; ","")&amp;IF(J84="","missing status; ","")&amp;IF(AND(A84="client",COUNTIF(الزبائن!$A$6:$A$505,B84)=0),"client key not found; ","")&amp;IF(AND(A84="proposed_name",COUNTIF('أسماء مقترحة'!$A$6:$A$505,B84)=0),"proposed_name key not found; ","")&amp;IF(AND(D84="mobile",J84&lt;&gt;"invalid",NOT(OR(AND(LEN(E84&amp;"")=10,LEFT(E84&amp;"",2)="09"),AND(LEN(E84&amp;"")=9,LEFT(E84&amp;"",1)="9")))),"mobile must be 09XXXXXXXX or status invalid; ","")&amp;IF(COUNTIFS($A$6:$A$505,A84,$B$6:$B$505,B84,$E$6:$E$505,E84)&gt;1,"duplicate number for same entity; ",""))))</f>
        <v/>
      </c>
    </row>
    <row r="85" spans="1:14">
      <c r="A85" s="23"/>
      <c r="B85" s="24"/>
      <c r="C85" s="25"/>
      <c r="D85" s="25"/>
      <c r="E85" s="24"/>
      <c r="F85" s="24"/>
      <c r="G85" s="25"/>
      <c r="H85" s="25"/>
      <c r="I85" s="25"/>
      <c r="J85" s="25"/>
      <c r="K85" s="25"/>
      <c r="L85" s="25"/>
      <c r="M85" s="25" t="str">
        <f>IF(AND(A85="",B85="",E85=""),"",IF(OR(A85="",B85="",C85="",D85="",E85="",J85="",AND(A85="client",COUNTIF(الزبائن!$A$6:$A$505,B85)=0),AND(A85="proposed_name",COUNTIF('أسماء مقترحة'!$A$6:$A$505,B85)=0),AND(D85="mobile",J85&lt;&gt;"invalid",NOT(OR(AND(LEN(E85&amp;"")=10,LEFT(E85&amp;"",2)="09"),AND(LEN(E85&amp;"")=9,LEFT(E85&amp;"",1)="9")))),COUNTIFS($A$6:$A$505,A85,$B$6:$B$505,B85,$E$6:$E$505,E85)&gt;1),"REVIEW","READY"))</f>
        <v/>
      </c>
      <c r="N85" s="27" t="str">
        <f>IF(M85="","",IF(M85="READY","",TRIM(IF(A85="","missing entity_type; ","")&amp;IF(B85="","missing entity_key; ","")&amp;IF(C85="","missing contact_order; ","")&amp;IF(D85="","missing contact_type; ","")&amp;IF(E85="","missing number; ","")&amp;IF(J85="","missing status; ","")&amp;IF(AND(A85="client",COUNTIF(الزبائن!$A$6:$A$505,B85)=0),"client key not found; ","")&amp;IF(AND(A85="proposed_name",COUNTIF('أسماء مقترحة'!$A$6:$A$505,B85)=0),"proposed_name key not found; ","")&amp;IF(AND(D85="mobile",J85&lt;&gt;"invalid",NOT(OR(AND(LEN(E85&amp;"")=10,LEFT(E85&amp;"",2)="09"),AND(LEN(E85&amp;"")=9,LEFT(E85&amp;"",1)="9")))),"mobile must be 09XXXXXXXX or status invalid; ","")&amp;IF(COUNTIFS($A$6:$A$505,A85,$B$6:$B$505,B85,$E$6:$E$505,E85)&gt;1,"duplicate number for same entity; ",""))))</f>
        <v/>
      </c>
    </row>
    <row r="86" spans="1:14">
      <c r="A86" s="23"/>
      <c r="B86" s="24"/>
      <c r="C86" s="25"/>
      <c r="D86" s="25"/>
      <c r="E86" s="24"/>
      <c r="F86" s="24"/>
      <c r="G86" s="25"/>
      <c r="H86" s="25"/>
      <c r="I86" s="25"/>
      <c r="J86" s="25"/>
      <c r="K86" s="25"/>
      <c r="L86" s="25"/>
      <c r="M86" s="25" t="str">
        <f>IF(AND(A86="",B86="",E86=""),"",IF(OR(A86="",B86="",C86="",D86="",E86="",J86="",AND(A86="client",COUNTIF(الزبائن!$A$6:$A$505,B86)=0),AND(A86="proposed_name",COUNTIF('أسماء مقترحة'!$A$6:$A$505,B86)=0),AND(D86="mobile",J86&lt;&gt;"invalid",NOT(OR(AND(LEN(E86&amp;"")=10,LEFT(E86&amp;"",2)="09"),AND(LEN(E86&amp;"")=9,LEFT(E86&amp;"",1)="9")))),COUNTIFS($A$6:$A$505,A86,$B$6:$B$505,B86,$E$6:$E$505,E86)&gt;1),"REVIEW","READY"))</f>
        <v/>
      </c>
      <c r="N86" s="27" t="str">
        <f>IF(M86="","",IF(M86="READY","",TRIM(IF(A86="","missing entity_type; ","")&amp;IF(B86="","missing entity_key; ","")&amp;IF(C86="","missing contact_order; ","")&amp;IF(D86="","missing contact_type; ","")&amp;IF(E86="","missing number; ","")&amp;IF(J86="","missing status; ","")&amp;IF(AND(A86="client",COUNTIF(الزبائن!$A$6:$A$505,B86)=0),"client key not found; ","")&amp;IF(AND(A86="proposed_name",COUNTIF('أسماء مقترحة'!$A$6:$A$505,B86)=0),"proposed_name key not found; ","")&amp;IF(AND(D86="mobile",J86&lt;&gt;"invalid",NOT(OR(AND(LEN(E86&amp;"")=10,LEFT(E86&amp;"",2)="09"),AND(LEN(E86&amp;"")=9,LEFT(E86&amp;"",1)="9")))),"mobile must be 09XXXXXXXX or status invalid; ","")&amp;IF(COUNTIFS($A$6:$A$505,A86,$B$6:$B$505,B86,$E$6:$E$505,E86)&gt;1,"duplicate number for same entity; ",""))))</f>
        <v/>
      </c>
    </row>
    <row r="87" spans="1:14">
      <c r="A87" s="23"/>
      <c r="B87" s="24"/>
      <c r="C87" s="25"/>
      <c r="D87" s="25"/>
      <c r="E87" s="24"/>
      <c r="F87" s="24"/>
      <c r="G87" s="25"/>
      <c r="H87" s="25"/>
      <c r="I87" s="25"/>
      <c r="J87" s="25"/>
      <c r="K87" s="25"/>
      <c r="L87" s="25"/>
      <c r="M87" s="25" t="str">
        <f>IF(AND(A87="",B87="",E87=""),"",IF(OR(A87="",B87="",C87="",D87="",E87="",J87="",AND(A87="client",COUNTIF(الزبائن!$A$6:$A$505,B87)=0),AND(A87="proposed_name",COUNTIF('أسماء مقترحة'!$A$6:$A$505,B87)=0),AND(D87="mobile",J87&lt;&gt;"invalid",NOT(OR(AND(LEN(E87&amp;"")=10,LEFT(E87&amp;"",2)="09"),AND(LEN(E87&amp;"")=9,LEFT(E87&amp;"",1)="9")))),COUNTIFS($A$6:$A$505,A87,$B$6:$B$505,B87,$E$6:$E$505,E87)&gt;1),"REVIEW","READY"))</f>
        <v/>
      </c>
      <c r="N87" s="27" t="str">
        <f>IF(M87="","",IF(M87="READY","",TRIM(IF(A87="","missing entity_type; ","")&amp;IF(B87="","missing entity_key; ","")&amp;IF(C87="","missing contact_order; ","")&amp;IF(D87="","missing contact_type; ","")&amp;IF(E87="","missing number; ","")&amp;IF(J87="","missing status; ","")&amp;IF(AND(A87="client",COUNTIF(الزبائن!$A$6:$A$505,B87)=0),"client key not found; ","")&amp;IF(AND(A87="proposed_name",COUNTIF('أسماء مقترحة'!$A$6:$A$505,B87)=0),"proposed_name key not found; ","")&amp;IF(AND(D87="mobile",J87&lt;&gt;"invalid",NOT(OR(AND(LEN(E87&amp;"")=10,LEFT(E87&amp;"",2)="09"),AND(LEN(E87&amp;"")=9,LEFT(E87&amp;"",1)="9")))),"mobile must be 09XXXXXXXX or status invalid; ","")&amp;IF(COUNTIFS($A$6:$A$505,A87,$B$6:$B$505,B87,$E$6:$E$505,E87)&gt;1,"duplicate number for same entity; ",""))))</f>
        <v/>
      </c>
    </row>
    <row r="88" spans="1:14">
      <c r="A88" s="23"/>
      <c r="B88" s="24"/>
      <c r="C88" s="25"/>
      <c r="D88" s="25"/>
      <c r="E88" s="24"/>
      <c r="F88" s="24"/>
      <c r="G88" s="25"/>
      <c r="H88" s="25"/>
      <c r="I88" s="25"/>
      <c r="J88" s="25"/>
      <c r="K88" s="25"/>
      <c r="L88" s="25"/>
      <c r="M88" s="25" t="str">
        <f>IF(AND(A88="",B88="",E88=""),"",IF(OR(A88="",B88="",C88="",D88="",E88="",J88="",AND(A88="client",COUNTIF(الزبائن!$A$6:$A$505,B88)=0),AND(A88="proposed_name",COUNTIF('أسماء مقترحة'!$A$6:$A$505,B88)=0),AND(D88="mobile",J88&lt;&gt;"invalid",NOT(OR(AND(LEN(E88&amp;"")=10,LEFT(E88&amp;"",2)="09"),AND(LEN(E88&amp;"")=9,LEFT(E88&amp;"",1)="9")))),COUNTIFS($A$6:$A$505,A88,$B$6:$B$505,B88,$E$6:$E$505,E88)&gt;1),"REVIEW","READY"))</f>
        <v/>
      </c>
      <c r="N88" s="27" t="str">
        <f>IF(M88="","",IF(M88="READY","",TRIM(IF(A88="","missing entity_type; ","")&amp;IF(B88="","missing entity_key; ","")&amp;IF(C88="","missing contact_order; ","")&amp;IF(D88="","missing contact_type; ","")&amp;IF(E88="","missing number; ","")&amp;IF(J88="","missing status; ","")&amp;IF(AND(A88="client",COUNTIF(الزبائن!$A$6:$A$505,B88)=0),"client key not found; ","")&amp;IF(AND(A88="proposed_name",COUNTIF('أسماء مقترحة'!$A$6:$A$505,B88)=0),"proposed_name key not found; ","")&amp;IF(AND(D88="mobile",J88&lt;&gt;"invalid",NOT(OR(AND(LEN(E88&amp;"")=10,LEFT(E88&amp;"",2)="09"),AND(LEN(E88&amp;"")=9,LEFT(E88&amp;"",1)="9")))),"mobile must be 09XXXXXXXX or status invalid; ","")&amp;IF(COUNTIFS($A$6:$A$505,A88,$B$6:$B$505,B88,$E$6:$E$505,E88)&gt;1,"duplicate number for same entity; ",""))))</f>
        <v/>
      </c>
    </row>
    <row r="89" spans="1:14">
      <c r="A89" s="23"/>
      <c r="B89" s="24"/>
      <c r="C89" s="25"/>
      <c r="D89" s="25"/>
      <c r="E89" s="24"/>
      <c r="F89" s="24"/>
      <c r="G89" s="25"/>
      <c r="H89" s="25"/>
      <c r="I89" s="25"/>
      <c r="J89" s="25"/>
      <c r="K89" s="25"/>
      <c r="L89" s="25"/>
      <c r="M89" s="25" t="str">
        <f>IF(AND(A89="",B89="",E89=""),"",IF(OR(A89="",B89="",C89="",D89="",E89="",J89="",AND(A89="client",COUNTIF(الزبائن!$A$6:$A$505,B89)=0),AND(A89="proposed_name",COUNTIF('أسماء مقترحة'!$A$6:$A$505,B89)=0),AND(D89="mobile",J89&lt;&gt;"invalid",NOT(OR(AND(LEN(E89&amp;"")=10,LEFT(E89&amp;"",2)="09"),AND(LEN(E89&amp;"")=9,LEFT(E89&amp;"",1)="9")))),COUNTIFS($A$6:$A$505,A89,$B$6:$B$505,B89,$E$6:$E$505,E89)&gt;1),"REVIEW","READY"))</f>
        <v/>
      </c>
      <c r="N89" s="27" t="str">
        <f>IF(M89="","",IF(M89="READY","",TRIM(IF(A89="","missing entity_type; ","")&amp;IF(B89="","missing entity_key; ","")&amp;IF(C89="","missing contact_order; ","")&amp;IF(D89="","missing contact_type; ","")&amp;IF(E89="","missing number; ","")&amp;IF(J89="","missing status; ","")&amp;IF(AND(A89="client",COUNTIF(الزبائن!$A$6:$A$505,B89)=0),"client key not found; ","")&amp;IF(AND(A89="proposed_name",COUNTIF('أسماء مقترحة'!$A$6:$A$505,B89)=0),"proposed_name key not found; ","")&amp;IF(AND(D89="mobile",J89&lt;&gt;"invalid",NOT(OR(AND(LEN(E89&amp;"")=10,LEFT(E89&amp;"",2)="09"),AND(LEN(E89&amp;"")=9,LEFT(E89&amp;"",1)="9")))),"mobile must be 09XXXXXXXX or status invalid; ","")&amp;IF(COUNTIFS($A$6:$A$505,A89,$B$6:$B$505,B89,$E$6:$E$505,E89)&gt;1,"duplicate number for same entity; ",""))))</f>
        <v/>
      </c>
    </row>
    <row r="90" spans="1:14">
      <c r="A90" s="23"/>
      <c r="B90" s="24"/>
      <c r="C90" s="25"/>
      <c r="D90" s="25"/>
      <c r="E90" s="24"/>
      <c r="F90" s="24"/>
      <c r="G90" s="25"/>
      <c r="H90" s="25"/>
      <c r="I90" s="25"/>
      <c r="J90" s="25"/>
      <c r="K90" s="25"/>
      <c r="L90" s="25"/>
      <c r="M90" s="25" t="str">
        <f>IF(AND(A90="",B90="",E90=""),"",IF(OR(A90="",B90="",C90="",D90="",E90="",J90="",AND(A90="client",COUNTIF(الزبائن!$A$6:$A$505,B90)=0),AND(A90="proposed_name",COUNTIF('أسماء مقترحة'!$A$6:$A$505,B90)=0),AND(D90="mobile",J90&lt;&gt;"invalid",NOT(OR(AND(LEN(E90&amp;"")=10,LEFT(E90&amp;"",2)="09"),AND(LEN(E90&amp;"")=9,LEFT(E90&amp;"",1)="9")))),COUNTIFS($A$6:$A$505,A90,$B$6:$B$505,B90,$E$6:$E$505,E90)&gt;1),"REVIEW","READY"))</f>
        <v/>
      </c>
      <c r="N90" s="27" t="str">
        <f>IF(M90="","",IF(M90="READY","",TRIM(IF(A90="","missing entity_type; ","")&amp;IF(B90="","missing entity_key; ","")&amp;IF(C90="","missing contact_order; ","")&amp;IF(D90="","missing contact_type; ","")&amp;IF(E90="","missing number; ","")&amp;IF(J90="","missing status; ","")&amp;IF(AND(A90="client",COUNTIF(الزبائن!$A$6:$A$505,B90)=0),"client key not found; ","")&amp;IF(AND(A90="proposed_name",COUNTIF('أسماء مقترحة'!$A$6:$A$505,B90)=0),"proposed_name key not found; ","")&amp;IF(AND(D90="mobile",J90&lt;&gt;"invalid",NOT(OR(AND(LEN(E90&amp;"")=10,LEFT(E90&amp;"",2)="09"),AND(LEN(E90&amp;"")=9,LEFT(E90&amp;"",1)="9")))),"mobile must be 09XXXXXXXX or status invalid; ","")&amp;IF(COUNTIFS($A$6:$A$505,A90,$B$6:$B$505,B90,$E$6:$E$505,E90)&gt;1,"duplicate number for same entity; ",""))))</f>
        <v/>
      </c>
    </row>
    <row r="91" spans="1:14">
      <c r="A91" s="23"/>
      <c r="B91" s="24"/>
      <c r="C91" s="25"/>
      <c r="D91" s="25"/>
      <c r="E91" s="24"/>
      <c r="F91" s="24"/>
      <c r="G91" s="25"/>
      <c r="H91" s="25"/>
      <c r="I91" s="25"/>
      <c r="J91" s="25"/>
      <c r="K91" s="25"/>
      <c r="L91" s="25"/>
      <c r="M91" s="25" t="str">
        <f>IF(AND(A91="",B91="",E91=""),"",IF(OR(A91="",B91="",C91="",D91="",E91="",J91="",AND(A91="client",COUNTIF(الزبائن!$A$6:$A$505,B91)=0),AND(A91="proposed_name",COUNTIF('أسماء مقترحة'!$A$6:$A$505,B91)=0),AND(D91="mobile",J91&lt;&gt;"invalid",NOT(OR(AND(LEN(E91&amp;"")=10,LEFT(E91&amp;"",2)="09"),AND(LEN(E91&amp;"")=9,LEFT(E91&amp;"",1)="9")))),COUNTIFS($A$6:$A$505,A91,$B$6:$B$505,B91,$E$6:$E$505,E91)&gt;1),"REVIEW","READY"))</f>
        <v/>
      </c>
      <c r="N91" s="27" t="str">
        <f>IF(M91="","",IF(M91="READY","",TRIM(IF(A91="","missing entity_type; ","")&amp;IF(B91="","missing entity_key; ","")&amp;IF(C91="","missing contact_order; ","")&amp;IF(D91="","missing contact_type; ","")&amp;IF(E91="","missing number; ","")&amp;IF(J91="","missing status; ","")&amp;IF(AND(A91="client",COUNTIF(الزبائن!$A$6:$A$505,B91)=0),"client key not found; ","")&amp;IF(AND(A91="proposed_name",COUNTIF('أسماء مقترحة'!$A$6:$A$505,B91)=0),"proposed_name key not found; ","")&amp;IF(AND(D91="mobile",J91&lt;&gt;"invalid",NOT(OR(AND(LEN(E91&amp;"")=10,LEFT(E91&amp;"",2)="09"),AND(LEN(E91&amp;"")=9,LEFT(E91&amp;"",1)="9")))),"mobile must be 09XXXXXXXX or status invalid; ","")&amp;IF(COUNTIFS($A$6:$A$505,A91,$B$6:$B$505,B91,$E$6:$E$505,E91)&gt;1,"duplicate number for same entity; ",""))))</f>
        <v/>
      </c>
    </row>
    <row r="92" spans="1:14">
      <c r="A92" s="23"/>
      <c r="B92" s="24"/>
      <c r="C92" s="25"/>
      <c r="D92" s="25"/>
      <c r="E92" s="24"/>
      <c r="F92" s="24"/>
      <c r="G92" s="25"/>
      <c r="H92" s="25"/>
      <c r="I92" s="25"/>
      <c r="J92" s="25"/>
      <c r="K92" s="25"/>
      <c r="L92" s="25"/>
      <c r="M92" s="25" t="str">
        <f>IF(AND(A92="",B92="",E92=""),"",IF(OR(A92="",B92="",C92="",D92="",E92="",J92="",AND(A92="client",COUNTIF(الزبائن!$A$6:$A$505,B92)=0),AND(A92="proposed_name",COUNTIF('أسماء مقترحة'!$A$6:$A$505,B92)=0),AND(D92="mobile",J92&lt;&gt;"invalid",NOT(OR(AND(LEN(E92&amp;"")=10,LEFT(E92&amp;"",2)="09"),AND(LEN(E92&amp;"")=9,LEFT(E92&amp;"",1)="9")))),COUNTIFS($A$6:$A$505,A92,$B$6:$B$505,B92,$E$6:$E$505,E92)&gt;1),"REVIEW","READY"))</f>
        <v/>
      </c>
      <c r="N92" s="27" t="str">
        <f>IF(M92="","",IF(M92="READY","",TRIM(IF(A92="","missing entity_type; ","")&amp;IF(B92="","missing entity_key; ","")&amp;IF(C92="","missing contact_order; ","")&amp;IF(D92="","missing contact_type; ","")&amp;IF(E92="","missing number; ","")&amp;IF(J92="","missing status; ","")&amp;IF(AND(A92="client",COUNTIF(الزبائن!$A$6:$A$505,B92)=0),"client key not found; ","")&amp;IF(AND(A92="proposed_name",COUNTIF('أسماء مقترحة'!$A$6:$A$505,B92)=0),"proposed_name key not found; ","")&amp;IF(AND(D92="mobile",J92&lt;&gt;"invalid",NOT(OR(AND(LEN(E92&amp;"")=10,LEFT(E92&amp;"",2)="09"),AND(LEN(E92&amp;"")=9,LEFT(E92&amp;"",1)="9")))),"mobile must be 09XXXXXXXX or status invalid; ","")&amp;IF(COUNTIFS($A$6:$A$505,A92,$B$6:$B$505,B92,$E$6:$E$505,E92)&gt;1,"duplicate number for same entity; ",""))))</f>
        <v/>
      </c>
    </row>
    <row r="93" spans="1:14">
      <c r="A93" s="23"/>
      <c r="B93" s="24"/>
      <c r="C93" s="25"/>
      <c r="D93" s="25"/>
      <c r="E93" s="24"/>
      <c r="F93" s="24"/>
      <c r="G93" s="25"/>
      <c r="H93" s="25"/>
      <c r="I93" s="25"/>
      <c r="J93" s="25"/>
      <c r="K93" s="25"/>
      <c r="L93" s="25"/>
      <c r="M93" s="25" t="str">
        <f>IF(AND(A93="",B93="",E93=""),"",IF(OR(A93="",B93="",C93="",D93="",E93="",J93="",AND(A93="client",COUNTIF(الزبائن!$A$6:$A$505,B93)=0),AND(A93="proposed_name",COUNTIF('أسماء مقترحة'!$A$6:$A$505,B93)=0),AND(D93="mobile",J93&lt;&gt;"invalid",NOT(OR(AND(LEN(E93&amp;"")=10,LEFT(E93&amp;"",2)="09"),AND(LEN(E93&amp;"")=9,LEFT(E93&amp;"",1)="9")))),COUNTIFS($A$6:$A$505,A93,$B$6:$B$505,B93,$E$6:$E$505,E93)&gt;1),"REVIEW","READY"))</f>
        <v/>
      </c>
      <c r="N93" s="27" t="str">
        <f>IF(M93="","",IF(M93="READY","",TRIM(IF(A93="","missing entity_type; ","")&amp;IF(B93="","missing entity_key; ","")&amp;IF(C93="","missing contact_order; ","")&amp;IF(D93="","missing contact_type; ","")&amp;IF(E93="","missing number; ","")&amp;IF(J93="","missing status; ","")&amp;IF(AND(A93="client",COUNTIF(الزبائن!$A$6:$A$505,B93)=0),"client key not found; ","")&amp;IF(AND(A93="proposed_name",COUNTIF('أسماء مقترحة'!$A$6:$A$505,B93)=0),"proposed_name key not found; ","")&amp;IF(AND(D93="mobile",J93&lt;&gt;"invalid",NOT(OR(AND(LEN(E93&amp;"")=10,LEFT(E93&amp;"",2)="09"),AND(LEN(E93&amp;"")=9,LEFT(E93&amp;"",1)="9")))),"mobile must be 09XXXXXXXX or status invalid; ","")&amp;IF(COUNTIFS($A$6:$A$505,A93,$B$6:$B$505,B93,$E$6:$E$505,E93)&gt;1,"duplicate number for same entity; ",""))))</f>
        <v/>
      </c>
    </row>
    <row r="94" spans="1:14">
      <c r="A94" s="23"/>
      <c r="B94" s="24"/>
      <c r="C94" s="25"/>
      <c r="D94" s="25"/>
      <c r="E94" s="24"/>
      <c r="F94" s="24"/>
      <c r="G94" s="25"/>
      <c r="H94" s="25"/>
      <c r="I94" s="25"/>
      <c r="J94" s="25"/>
      <c r="K94" s="25"/>
      <c r="L94" s="25"/>
      <c r="M94" s="25" t="str">
        <f>IF(AND(A94="",B94="",E94=""),"",IF(OR(A94="",B94="",C94="",D94="",E94="",J94="",AND(A94="client",COUNTIF(الزبائن!$A$6:$A$505,B94)=0),AND(A94="proposed_name",COUNTIF('أسماء مقترحة'!$A$6:$A$505,B94)=0),AND(D94="mobile",J94&lt;&gt;"invalid",NOT(OR(AND(LEN(E94&amp;"")=10,LEFT(E94&amp;"",2)="09"),AND(LEN(E94&amp;"")=9,LEFT(E94&amp;"",1)="9")))),COUNTIFS($A$6:$A$505,A94,$B$6:$B$505,B94,$E$6:$E$505,E94)&gt;1),"REVIEW","READY"))</f>
        <v/>
      </c>
      <c r="N94" s="27" t="str">
        <f>IF(M94="","",IF(M94="READY","",TRIM(IF(A94="","missing entity_type; ","")&amp;IF(B94="","missing entity_key; ","")&amp;IF(C94="","missing contact_order; ","")&amp;IF(D94="","missing contact_type; ","")&amp;IF(E94="","missing number; ","")&amp;IF(J94="","missing status; ","")&amp;IF(AND(A94="client",COUNTIF(الزبائن!$A$6:$A$505,B94)=0),"client key not found; ","")&amp;IF(AND(A94="proposed_name",COUNTIF('أسماء مقترحة'!$A$6:$A$505,B94)=0),"proposed_name key not found; ","")&amp;IF(AND(D94="mobile",J94&lt;&gt;"invalid",NOT(OR(AND(LEN(E94&amp;"")=10,LEFT(E94&amp;"",2)="09"),AND(LEN(E94&amp;"")=9,LEFT(E94&amp;"",1)="9")))),"mobile must be 09XXXXXXXX or status invalid; ","")&amp;IF(COUNTIFS($A$6:$A$505,A94,$B$6:$B$505,B94,$E$6:$E$505,E94)&gt;1,"duplicate number for same entity; ",""))))</f>
        <v/>
      </c>
    </row>
    <row r="95" spans="1:14">
      <c r="A95" s="23"/>
      <c r="B95" s="24"/>
      <c r="C95" s="25"/>
      <c r="D95" s="25"/>
      <c r="E95" s="24"/>
      <c r="F95" s="24"/>
      <c r="G95" s="25"/>
      <c r="H95" s="25"/>
      <c r="I95" s="25"/>
      <c r="J95" s="25"/>
      <c r="K95" s="25"/>
      <c r="L95" s="25"/>
      <c r="M95" s="25" t="str">
        <f>IF(AND(A95="",B95="",E95=""),"",IF(OR(A95="",B95="",C95="",D95="",E95="",J95="",AND(A95="client",COUNTIF(الزبائن!$A$6:$A$505,B95)=0),AND(A95="proposed_name",COUNTIF('أسماء مقترحة'!$A$6:$A$505,B95)=0),AND(D95="mobile",J95&lt;&gt;"invalid",NOT(OR(AND(LEN(E95&amp;"")=10,LEFT(E95&amp;"",2)="09"),AND(LEN(E95&amp;"")=9,LEFT(E95&amp;"",1)="9")))),COUNTIFS($A$6:$A$505,A95,$B$6:$B$505,B95,$E$6:$E$505,E95)&gt;1),"REVIEW","READY"))</f>
        <v/>
      </c>
      <c r="N95" s="27" t="str">
        <f>IF(M95="","",IF(M95="READY","",TRIM(IF(A95="","missing entity_type; ","")&amp;IF(B95="","missing entity_key; ","")&amp;IF(C95="","missing contact_order; ","")&amp;IF(D95="","missing contact_type; ","")&amp;IF(E95="","missing number; ","")&amp;IF(J95="","missing status; ","")&amp;IF(AND(A95="client",COUNTIF(الزبائن!$A$6:$A$505,B95)=0),"client key not found; ","")&amp;IF(AND(A95="proposed_name",COUNTIF('أسماء مقترحة'!$A$6:$A$505,B95)=0),"proposed_name key not found; ","")&amp;IF(AND(D95="mobile",J95&lt;&gt;"invalid",NOT(OR(AND(LEN(E95&amp;"")=10,LEFT(E95&amp;"",2)="09"),AND(LEN(E95&amp;"")=9,LEFT(E95&amp;"",1)="9")))),"mobile must be 09XXXXXXXX or status invalid; ","")&amp;IF(COUNTIFS($A$6:$A$505,A95,$B$6:$B$505,B95,$E$6:$E$505,E95)&gt;1,"duplicate number for same entity; ",""))))</f>
        <v/>
      </c>
    </row>
    <row r="96" spans="1:14">
      <c r="A96" s="23"/>
      <c r="B96" s="24"/>
      <c r="C96" s="25"/>
      <c r="D96" s="25"/>
      <c r="E96" s="24"/>
      <c r="F96" s="24"/>
      <c r="G96" s="25"/>
      <c r="H96" s="25"/>
      <c r="I96" s="25"/>
      <c r="J96" s="25"/>
      <c r="K96" s="25"/>
      <c r="L96" s="25"/>
      <c r="M96" s="25" t="str">
        <f>IF(AND(A96="",B96="",E96=""),"",IF(OR(A96="",B96="",C96="",D96="",E96="",J96="",AND(A96="client",COUNTIF(الزبائن!$A$6:$A$505,B96)=0),AND(A96="proposed_name",COUNTIF('أسماء مقترحة'!$A$6:$A$505,B96)=0),AND(D96="mobile",J96&lt;&gt;"invalid",NOT(OR(AND(LEN(E96&amp;"")=10,LEFT(E96&amp;"",2)="09"),AND(LEN(E96&amp;"")=9,LEFT(E96&amp;"",1)="9")))),COUNTIFS($A$6:$A$505,A96,$B$6:$B$505,B96,$E$6:$E$505,E96)&gt;1),"REVIEW","READY"))</f>
        <v/>
      </c>
      <c r="N96" s="27" t="str">
        <f>IF(M96="","",IF(M96="READY","",TRIM(IF(A96="","missing entity_type; ","")&amp;IF(B96="","missing entity_key; ","")&amp;IF(C96="","missing contact_order; ","")&amp;IF(D96="","missing contact_type; ","")&amp;IF(E96="","missing number; ","")&amp;IF(J96="","missing status; ","")&amp;IF(AND(A96="client",COUNTIF(الزبائن!$A$6:$A$505,B96)=0),"client key not found; ","")&amp;IF(AND(A96="proposed_name",COUNTIF('أسماء مقترحة'!$A$6:$A$505,B96)=0),"proposed_name key not found; ","")&amp;IF(AND(D96="mobile",J96&lt;&gt;"invalid",NOT(OR(AND(LEN(E96&amp;"")=10,LEFT(E96&amp;"",2)="09"),AND(LEN(E96&amp;"")=9,LEFT(E96&amp;"",1)="9")))),"mobile must be 09XXXXXXXX or status invalid; ","")&amp;IF(COUNTIFS($A$6:$A$505,A96,$B$6:$B$505,B96,$E$6:$E$505,E96)&gt;1,"duplicate number for same entity; ",""))))</f>
        <v/>
      </c>
    </row>
    <row r="97" spans="1:14">
      <c r="A97" s="23"/>
      <c r="B97" s="24"/>
      <c r="C97" s="25"/>
      <c r="D97" s="25"/>
      <c r="E97" s="24"/>
      <c r="F97" s="24"/>
      <c r="G97" s="25"/>
      <c r="H97" s="25"/>
      <c r="I97" s="25"/>
      <c r="J97" s="25"/>
      <c r="K97" s="25"/>
      <c r="L97" s="25"/>
      <c r="M97" s="25" t="str">
        <f>IF(AND(A97="",B97="",E97=""),"",IF(OR(A97="",B97="",C97="",D97="",E97="",J97="",AND(A97="client",COUNTIF(الزبائن!$A$6:$A$505,B97)=0),AND(A97="proposed_name",COUNTIF('أسماء مقترحة'!$A$6:$A$505,B97)=0),AND(D97="mobile",J97&lt;&gt;"invalid",NOT(OR(AND(LEN(E97&amp;"")=10,LEFT(E97&amp;"",2)="09"),AND(LEN(E97&amp;"")=9,LEFT(E97&amp;"",1)="9")))),COUNTIFS($A$6:$A$505,A97,$B$6:$B$505,B97,$E$6:$E$505,E97)&gt;1),"REVIEW","READY"))</f>
        <v/>
      </c>
      <c r="N97" s="27" t="str">
        <f>IF(M97="","",IF(M97="READY","",TRIM(IF(A97="","missing entity_type; ","")&amp;IF(B97="","missing entity_key; ","")&amp;IF(C97="","missing contact_order; ","")&amp;IF(D97="","missing contact_type; ","")&amp;IF(E97="","missing number; ","")&amp;IF(J97="","missing status; ","")&amp;IF(AND(A97="client",COUNTIF(الزبائن!$A$6:$A$505,B97)=0),"client key not found; ","")&amp;IF(AND(A97="proposed_name",COUNTIF('أسماء مقترحة'!$A$6:$A$505,B97)=0),"proposed_name key not found; ","")&amp;IF(AND(D97="mobile",J97&lt;&gt;"invalid",NOT(OR(AND(LEN(E97&amp;"")=10,LEFT(E97&amp;"",2)="09"),AND(LEN(E97&amp;"")=9,LEFT(E97&amp;"",1)="9")))),"mobile must be 09XXXXXXXX or status invalid; ","")&amp;IF(COUNTIFS($A$6:$A$505,A97,$B$6:$B$505,B97,$E$6:$E$505,E97)&gt;1,"duplicate number for same entity; ",""))))</f>
        <v/>
      </c>
    </row>
    <row r="98" spans="1:14">
      <c r="A98" s="23"/>
      <c r="B98" s="24"/>
      <c r="C98" s="25"/>
      <c r="D98" s="25"/>
      <c r="E98" s="24"/>
      <c r="F98" s="24"/>
      <c r="G98" s="25"/>
      <c r="H98" s="25"/>
      <c r="I98" s="25"/>
      <c r="J98" s="25"/>
      <c r="K98" s="25"/>
      <c r="L98" s="25"/>
      <c r="M98" s="25" t="str">
        <f>IF(AND(A98="",B98="",E98=""),"",IF(OR(A98="",B98="",C98="",D98="",E98="",J98="",AND(A98="client",COUNTIF(الزبائن!$A$6:$A$505,B98)=0),AND(A98="proposed_name",COUNTIF('أسماء مقترحة'!$A$6:$A$505,B98)=0),AND(D98="mobile",J98&lt;&gt;"invalid",NOT(OR(AND(LEN(E98&amp;"")=10,LEFT(E98&amp;"",2)="09"),AND(LEN(E98&amp;"")=9,LEFT(E98&amp;"",1)="9")))),COUNTIFS($A$6:$A$505,A98,$B$6:$B$505,B98,$E$6:$E$505,E98)&gt;1),"REVIEW","READY"))</f>
        <v/>
      </c>
      <c r="N98" s="27" t="str">
        <f>IF(M98="","",IF(M98="READY","",TRIM(IF(A98="","missing entity_type; ","")&amp;IF(B98="","missing entity_key; ","")&amp;IF(C98="","missing contact_order; ","")&amp;IF(D98="","missing contact_type; ","")&amp;IF(E98="","missing number; ","")&amp;IF(J98="","missing status; ","")&amp;IF(AND(A98="client",COUNTIF(الزبائن!$A$6:$A$505,B98)=0),"client key not found; ","")&amp;IF(AND(A98="proposed_name",COUNTIF('أسماء مقترحة'!$A$6:$A$505,B98)=0),"proposed_name key not found; ","")&amp;IF(AND(D98="mobile",J98&lt;&gt;"invalid",NOT(OR(AND(LEN(E98&amp;"")=10,LEFT(E98&amp;"",2)="09"),AND(LEN(E98&amp;"")=9,LEFT(E98&amp;"",1)="9")))),"mobile must be 09XXXXXXXX or status invalid; ","")&amp;IF(COUNTIFS($A$6:$A$505,A98,$B$6:$B$505,B98,$E$6:$E$505,E98)&gt;1,"duplicate number for same entity; ",""))))</f>
        <v/>
      </c>
    </row>
    <row r="99" spans="1:14">
      <c r="A99" s="23"/>
      <c r="B99" s="24"/>
      <c r="C99" s="25"/>
      <c r="D99" s="25"/>
      <c r="E99" s="24"/>
      <c r="F99" s="24"/>
      <c r="G99" s="25"/>
      <c r="H99" s="25"/>
      <c r="I99" s="25"/>
      <c r="J99" s="25"/>
      <c r="K99" s="25"/>
      <c r="L99" s="25"/>
      <c r="M99" s="25" t="str">
        <f>IF(AND(A99="",B99="",E99=""),"",IF(OR(A99="",B99="",C99="",D99="",E99="",J99="",AND(A99="client",COUNTIF(الزبائن!$A$6:$A$505,B99)=0),AND(A99="proposed_name",COUNTIF('أسماء مقترحة'!$A$6:$A$505,B99)=0),AND(D99="mobile",J99&lt;&gt;"invalid",NOT(OR(AND(LEN(E99&amp;"")=10,LEFT(E99&amp;"",2)="09"),AND(LEN(E99&amp;"")=9,LEFT(E99&amp;"",1)="9")))),COUNTIFS($A$6:$A$505,A99,$B$6:$B$505,B99,$E$6:$E$505,E99)&gt;1),"REVIEW","READY"))</f>
        <v/>
      </c>
      <c r="N99" s="27" t="str">
        <f>IF(M99="","",IF(M99="READY","",TRIM(IF(A99="","missing entity_type; ","")&amp;IF(B99="","missing entity_key; ","")&amp;IF(C99="","missing contact_order; ","")&amp;IF(D99="","missing contact_type; ","")&amp;IF(E99="","missing number; ","")&amp;IF(J99="","missing status; ","")&amp;IF(AND(A99="client",COUNTIF(الزبائن!$A$6:$A$505,B99)=0),"client key not found; ","")&amp;IF(AND(A99="proposed_name",COUNTIF('أسماء مقترحة'!$A$6:$A$505,B99)=0),"proposed_name key not found; ","")&amp;IF(AND(D99="mobile",J99&lt;&gt;"invalid",NOT(OR(AND(LEN(E99&amp;"")=10,LEFT(E99&amp;"",2)="09"),AND(LEN(E99&amp;"")=9,LEFT(E99&amp;"",1)="9")))),"mobile must be 09XXXXXXXX or status invalid; ","")&amp;IF(COUNTIFS($A$6:$A$505,A99,$B$6:$B$505,B99,$E$6:$E$505,E99)&gt;1,"duplicate number for same entity; ",""))))</f>
        <v/>
      </c>
    </row>
    <row r="100" spans="1:14">
      <c r="A100" s="23"/>
      <c r="B100" s="24"/>
      <c r="C100" s="25"/>
      <c r="D100" s="25"/>
      <c r="E100" s="24"/>
      <c r="F100" s="24"/>
      <c r="G100" s="25"/>
      <c r="H100" s="25"/>
      <c r="I100" s="25"/>
      <c r="J100" s="25"/>
      <c r="K100" s="25"/>
      <c r="L100" s="25"/>
      <c r="M100" s="25" t="str">
        <f>IF(AND(A100="",B100="",E100=""),"",IF(OR(A100="",B100="",C100="",D100="",E100="",J100="",AND(A100="client",COUNTIF(الزبائن!$A$6:$A$505,B100)=0),AND(A100="proposed_name",COUNTIF('أسماء مقترحة'!$A$6:$A$505,B100)=0),AND(D100="mobile",J100&lt;&gt;"invalid",NOT(OR(AND(LEN(E100&amp;"")=10,LEFT(E100&amp;"",2)="09"),AND(LEN(E100&amp;"")=9,LEFT(E100&amp;"",1)="9")))),COUNTIFS($A$6:$A$505,A100,$B$6:$B$505,B100,$E$6:$E$505,E100)&gt;1),"REVIEW","READY"))</f>
        <v/>
      </c>
      <c r="N100" s="27" t="str">
        <f>IF(M100="","",IF(M100="READY","",TRIM(IF(A100="","missing entity_type; ","")&amp;IF(B100="","missing entity_key; ","")&amp;IF(C100="","missing contact_order; ","")&amp;IF(D100="","missing contact_type; ","")&amp;IF(E100="","missing number; ","")&amp;IF(J100="","missing status; ","")&amp;IF(AND(A100="client",COUNTIF(الزبائن!$A$6:$A$505,B100)=0),"client key not found; ","")&amp;IF(AND(A100="proposed_name",COUNTIF('أسماء مقترحة'!$A$6:$A$505,B100)=0),"proposed_name key not found; ","")&amp;IF(AND(D100="mobile",J100&lt;&gt;"invalid",NOT(OR(AND(LEN(E100&amp;"")=10,LEFT(E100&amp;"",2)="09"),AND(LEN(E100&amp;"")=9,LEFT(E100&amp;"",1)="9")))),"mobile must be 09XXXXXXXX or status invalid; ","")&amp;IF(COUNTIFS($A$6:$A$505,A100,$B$6:$B$505,B100,$E$6:$E$505,E100)&gt;1,"duplicate number for same entity; ",""))))</f>
        <v/>
      </c>
    </row>
    <row r="101" spans="1:14">
      <c r="A101" s="23"/>
      <c r="B101" s="24"/>
      <c r="C101" s="25"/>
      <c r="D101" s="25"/>
      <c r="E101" s="24"/>
      <c r="F101" s="24"/>
      <c r="G101" s="25"/>
      <c r="H101" s="25"/>
      <c r="I101" s="25"/>
      <c r="J101" s="25"/>
      <c r="K101" s="25"/>
      <c r="L101" s="25"/>
      <c r="M101" s="25" t="str">
        <f>IF(AND(A101="",B101="",E101=""),"",IF(OR(A101="",B101="",C101="",D101="",E101="",J101="",AND(A101="client",COUNTIF(الزبائن!$A$6:$A$505,B101)=0),AND(A101="proposed_name",COUNTIF('أسماء مقترحة'!$A$6:$A$505,B101)=0),AND(D101="mobile",J101&lt;&gt;"invalid",NOT(OR(AND(LEN(E101&amp;"")=10,LEFT(E101&amp;"",2)="09"),AND(LEN(E101&amp;"")=9,LEFT(E101&amp;"",1)="9")))),COUNTIFS($A$6:$A$505,A101,$B$6:$B$505,B101,$E$6:$E$505,E101)&gt;1),"REVIEW","READY"))</f>
        <v/>
      </c>
      <c r="N101" s="27" t="str">
        <f>IF(M101="","",IF(M101="READY","",TRIM(IF(A101="","missing entity_type; ","")&amp;IF(B101="","missing entity_key; ","")&amp;IF(C101="","missing contact_order; ","")&amp;IF(D101="","missing contact_type; ","")&amp;IF(E101="","missing number; ","")&amp;IF(J101="","missing status; ","")&amp;IF(AND(A101="client",COUNTIF(الزبائن!$A$6:$A$505,B101)=0),"client key not found; ","")&amp;IF(AND(A101="proposed_name",COUNTIF('أسماء مقترحة'!$A$6:$A$505,B101)=0),"proposed_name key not found; ","")&amp;IF(AND(D101="mobile",J101&lt;&gt;"invalid",NOT(OR(AND(LEN(E101&amp;"")=10,LEFT(E101&amp;"",2)="09"),AND(LEN(E101&amp;"")=9,LEFT(E101&amp;"",1)="9")))),"mobile must be 09XXXXXXXX or status invalid; ","")&amp;IF(COUNTIFS($A$6:$A$505,A101,$B$6:$B$505,B101,$E$6:$E$505,E101)&gt;1,"duplicate number for same entity; ",""))))</f>
        <v/>
      </c>
    </row>
    <row r="102" spans="1:14">
      <c r="A102" s="23"/>
      <c r="B102" s="24"/>
      <c r="C102" s="25"/>
      <c r="D102" s="25"/>
      <c r="E102" s="24"/>
      <c r="F102" s="24"/>
      <c r="G102" s="25"/>
      <c r="H102" s="25"/>
      <c r="I102" s="25"/>
      <c r="J102" s="25"/>
      <c r="K102" s="25"/>
      <c r="L102" s="25"/>
      <c r="M102" s="25" t="str">
        <f>IF(AND(A102="",B102="",E102=""),"",IF(OR(A102="",B102="",C102="",D102="",E102="",J102="",AND(A102="client",COUNTIF(الزبائن!$A$6:$A$505,B102)=0),AND(A102="proposed_name",COUNTIF('أسماء مقترحة'!$A$6:$A$505,B102)=0),AND(D102="mobile",J102&lt;&gt;"invalid",NOT(OR(AND(LEN(E102&amp;"")=10,LEFT(E102&amp;"",2)="09"),AND(LEN(E102&amp;"")=9,LEFT(E102&amp;"",1)="9")))),COUNTIFS($A$6:$A$505,A102,$B$6:$B$505,B102,$E$6:$E$505,E102)&gt;1),"REVIEW","READY"))</f>
        <v/>
      </c>
      <c r="N102" s="27" t="str">
        <f>IF(M102="","",IF(M102="READY","",TRIM(IF(A102="","missing entity_type; ","")&amp;IF(B102="","missing entity_key; ","")&amp;IF(C102="","missing contact_order; ","")&amp;IF(D102="","missing contact_type; ","")&amp;IF(E102="","missing number; ","")&amp;IF(J102="","missing status; ","")&amp;IF(AND(A102="client",COUNTIF(الزبائن!$A$6:$A$505,B102)=0),"client key not found; ","")&amp;IF(AND(A102="proposed_name",COUNTIF('أسماء مقترحة'!$A$6:$A$505,B102)=0),"proposed_name key not found; ","")&amp;IF(AND(D102="mobile",J102&lt;&gt;"invalid",NOT(OR(AND(LEN(E102&amp;"")=10,LEFT(E102&amp;"",2)="09"),AND(LEN(E102&amp;"")=9,LEFT(E102&amp;"",1)="9")))),"mobile must be 09XXXXXXXX or status invalid; ","")&amp;IF(COUNTIFS($A$6:$A$505,A102,$B$6:$B$505,B102,$E$6:$E$505,E102)&gt;1,"duplicate number for same entity; ",""))))</f>
        <v/>
      </c>
    </row>
    <row r="103" spans="1:14">
      <c r="A103" s="23"/>
      <c r="B103" s="24"/>
      <c r="C103" s="25"/>
      <c r="D103" s="25"/>
      <c r="E103" s="24"/>
      <c r="F103" s="24"/>
      <c r="G103" s="25"/>
      <c r="H103" s="25"/>
      <c r="I103" s="25"/>
      <c r="J103" s="25"/>
      <c r="K103" s="25"/>
      <c r="L103" s="25"/>
      <c r="M103" s="25" t="str">
        <f>IF(AND(A103="",B103="",E103=""),"",IF(OR(A103="",B103="",C103="",D103="",E103="",J103="",AND(A103="client",COUNTIF(الزبائن!$A$6:$A$505,B103)=0),AND(A103="proposed_name",COUNTIF('أسماء مقترحة'!$A$6:$A$505,B103)=0),AND(D103="mobile",J103&lt;&gt;"invalid",NOT(OR(AND(LEN(E103&amp;"")=10,LEFT(E103&amp;"",2)="09"),AND(LEN(E103&amp;"")=9,LEFT(E103&amp;"",1)="9")))),COUNTIFS($A$6:$A$505,A103,$B$6:$B$505,B103,$E$6:$E$505,E103)&gt;1),"REVIEW","READY"))</f>
        <v/>
      </c>
      <c r="N103" s="27" t="str">
        <f>IF(M103="","",IF(M103="READY","",TRIM(IF(A103="","missing entity_type; ","")&amp;IF(B103="","missing entity_key; ","")&amp;IF(C103="","missing contact_order; ","")&amp;IF(D103="","missing contact_type; ","")&amp;IF(E103="","missing number; ","")&amp;IF(J103="","missing status; ","")&amp;IF(AND(A103="client",COUNTIF(الزبائن!$A$6:$A$505,B103)=0),"client key not found; ","")&amp;IF(AND(A103="proposed_name",COUNTIF('أسماء مقترحة'!$A$6:$A$505,B103)=0),"proposed_name key not found; ","")&amp;IF(AND(D103="mobile",J103&lt;&gt;"invalid",NOT(OR(AND(LEN(E103&amp;"")=10,LEFT(E103&amp;"",2)="09"),AND(LEN(E103&amp;"")=9,LEFT(E103&amp;"",1)="9")))),"mobile must be 09XXXXXXXX or status invalid; ","")&amp;IF(COUNTIFS($A$6:$A$505,A103,$B$6:$B$505,B103,$E$6:$E$505,E103)&gt;1,"duplicate number for same entity; ",""))))</f>
        <v/>
      </c>
    </row>
    <row r="104" spans="1:14">
      <c r="A104" s="23"/>
      <c r="B104" s="24"/>
      <c r="C104" s="25"/>
      <c r="D104" s="25"/>
      <c r="E104" s="24"/>
      <c r="F104" s="24"/>
      <c r="G104" s="25"/>
      <c r="H104" s="25"/>
      <c r="I104" s="25"/>
      <c r="J104" s="25"/>
      <c r="K104" s="25"/>
      <c r="L104" s="25"/>
      <c r="M104" s="25" t="str">
        <f>IF(AND(A104="",B104="",E104=""),"",IF(OR(A104="",B104="",C104="",D104="",E104="",J104="",AND(A104="client",COUNTIF(الزبائن!$A$6:$A$505,B104)=0),AND(A104="proposed_name",COUNTIF('أسماء مقترحة'!$A$6:$A$505,B104)=0),AND(D104="mobile",J104&lt;&gt;"invalid",NOT(OR(AND(LEN(E104&amp;"")=10,LEFT(E104&amp;"",2)="09"),AND(LEN(E104&amp;"")=9,LEFT(E104&amp;"",1)="9")))),COUNTIFS($A$6:$A$505,A104,$B$6:$B$505,B104,$E$6:$E$505,E104)&gt;1),"REVIEW","READY"))</f>
        <v/>
      </c>
      <c r="N104" s="27" t="str">
        <f>IF(M104="","",IF(M104="READY","",TRIM(IF(A104="","missing entity_type; ","")&amp;IF(B104="","missing entity_key; ","")&amp;IF(C104="","missing contact_order; ","")&amp;IF(D104="","missing contact_type; ","")&amp;IF(E104="","missing number; ","")&amp;IF(J104="","missing status; ","")&amp;IF(AND(A104="client",COUNTIF(الزبائن!$A$6:$A$505,B104)=0),"client key not found; ","")&amp;IF(AND(A104="proposed_name",COUNTIF('أسماء مقترحة'!$A$6:$A$505,B104)=0),"proposed_name key not found; ","")&amp;IF(AND(D104="mobile",J104&lt;&gt;"invalid",NOT(OR(AND(LEN(E104&amp;"")=10,LEFT(E104&amp;"",2)="09"),AND(LEN(E104&amp;"")=9,LEFT(E104&amp;"",1)="9")))),"mobile must be 09XXXXXXXX or status invalid; ","")&amp;IF(COUNTIFS($A$6:$A$505,A104,$B$6:$B$505,B104,$E$6:$E$505,E104)&gt;1,"duplicate number for same entity; ",""))))</f>
        <v/>
      </c>
    </row>
    <row r="105" spans="1:14">
      <c r="A105" s="23"/>
      <c r="B105" s="24"/>
      <c r="C105" s="25"/>
      <c r="D105" s="25"/>
      <c r="E105" s="24"/>
      <c r="F105" s="24"/>
      <c r="G105" s="25"/>
      <c r="H105" s="25"/>
      <c r="I105" s="25"/>
      <c r="J105" s="25"/>
      <c r="K105" s="25"/>
      <c r="L105" s="25"/>
      <c r="M105" s="25" t="str">
        <f>IF(AND(A105="",B105="",E105=""),"",IF(OR(A105="",B105="",C105="",D105="",E105="",J105="",AND(A105="client",COUNTIF(الزبائن!$A$6:$A$505,B105)=0),AND(A105="proposed_name",COUNTIF('أسماء مقترحة'!$A$6:$A$505,B105)=0),AND(D105="mobile",J105&lt;&gt;"invalid",NOT(OR(AND(LEN(E105&amp;"")=10,LEFT(E105&amp;"",2)="09"),AND(LEN(E105&amp;"")=9,LEFT(E105&amp;"",1)="9")))),COUNTIFS($A$6:$A$505,A105,$B$6:$B$505,B105,$E$6:$E$505,E105)&gt;1),"REVIEW","READY"))</f>
        <v/>
      </c>
      <c r="N105" s="27" t="str">
        <f>IF(M105="","",IF(M105="READY","",TRIM(IF(A105="","missing entity_type; ","")&amp;IF(B105="","missing entity_key; ","")&amp;IF(C105="","missing contact_order; ","")&amp;IF(D105="","missing contact_type; ","")&amp;IF(E105="","missing number; ","")&amp;IF(J105="","missing status; ","")&amp;IF(AND(A105="client",COUNTIF(الزبائن!$A$6:$A$505,B105)=0),"client key not found; ","")&amp;IF(AND(A105="proposed_name",COUNTIF('أسماء مقترحة'!$A$6:$A$505,B105)=0),"proposed_name key not found; ","")&amp;IF(AND(D105="mobile",J105&lt;&gt;"invalid",NOT(OR(AND(LEN(E105&amp;"")=10,LEFT(E105&amp;"",2)="09"),AND(LEN(E105&amp;"")=9,LEFT(E105&amp;"",1)="9")))),"mobile must be 09XXXXXXXX or status invalid; ","")&amp;IF(COUNTIFS($A$6:$A$505,A105,$B$6:$B$505,B105,$E$6:$E$505,E105)&gt;1,"duplicate number for same entity; ",""))))</f>
        <v/>
      </c>
    </row>
    <row r="106" spans="1:14">
      <c r="A106" s="23"/>
      <c r="B106" s="24"/>
      <c r="C106" s="25"/>
      <c r="D106" s="25"/>
      <c r="E106" s="24"/>
      <c r="F106" s="24"/>
      <c r="G106" s="25"/>
      <c r="H106" s="25"/>
      <c r="I106" s="25"/>
      <c r="J106" s="25"/>
      <c r="K106" s="25"/>
      <c r="L106" s="25"/>
      <c r="M106" s="25" t="str">
        <f>IF(AND(A106="",B106="",E106=""),"",IF(OR(A106="",B106="",C106="",D106="",E106="",J106="",AND(A106="client",COUNTIF(الزبائن!$A$6:$A$505,B106)=0),AND(A106="proposed_name",COUNTIF('أسماء مقترحة'!$A$6:$A$505,B106)=0),AND(D106="mobile",J106&lt;&gt;"invalid",NOT(OR(AND(LEN(E106&amp;"")=10,LEFT(E106&amp;"",2)="09"),AND(LEN(E106&amp;"")=9,LEFT(E106&amp;"",1)="9")))),COUNTIFS($A$6:$A$505,A106,$B$6:$B$505,B106,$E$6:$E$505,E106)&gt;1),"REVIEW","READY"))</f>
        <v/>
      </c>
      <c r="N106" s="27" t="str">
        <f>IF(M106="","",IF(M106="READY","",TRIM(IF(A106="","missing entity_type; ","")&amp;IF(B106="","missing entity_key; ","")&amp;IF(C106="","missing contact_order; ","")&amp;IF(D106="","missing contact_type; ","")&amp;IF(E106="","missing number; ","")&amp;IF(J106="","missing status; ","")&amp;IF(AND(A106="client",COUNTIF(الزبائن!$A$6:$A$505,B106)=0),"client key not found; ","")&amp;IF(AND(A106="proposed_name",COUNTIF('أسماء مقترحة'!$A$6:$A$505,B106)=0),"proposed_name key not found; ","")&amp;IF(AND(D106="mobile",J106&lt;&gt;"invalid",NOT(OR(AND(LEN(E106&amp;"")=10,LEFT(E106&amp;"",2)="09"),AND(LEN(E106&amp;"")=9,LEFT(E106&amp;"",1)="9")))),"mobile must be 09XXXXXXXX or status invalid; ","")&amp;IF(COUNTIFS($A$6:$A$505,A106,$B$6:$B$505,B106,$E$6:$E$505,E106)&gt;1,"duplicate number for same entity; ",""))))</f>
        <v/>
      </c>
    </row>
    <row r="107" spans="1:14">
      <c r="A107" s="23"/>
      <c r="B107" s="24"/>
      <c r="C107" s="25"/>
      <c r="D107" s="25"/>
      <c r="E107" s="24"/>
      <c r="F107" s="24"/>
      <c r="G107" s="25"/>
      <c r="H107" s="25"/>
      <c r="I107" s="25"/>
      <c r="J107" s="25"/>
      <c r="K107" s="25"/>
      <c r="L107" s="25"/>
      <c r="M107" s="25" t="str">
        <f>IF(AND(A107="",B107="",E107=""),"",IF(OR(A107="",B107="",C107="",D107="",E107="",J107="",AND(A107="client",COUNTIF(الزبائن!$A$6:$A$505,B107)=0),AND(A107="proposed_name",COUNTIF('أسماء مقترحة'!$A$6:$A$505,B107)=0),AND(D107="mobile",J107&lt;&gt;"invalid",NOT(OR(AND(LEN(E107&amp;"")=10,LEFT(E107&amp;"",2)="09"),AND(LEN(E107&amp;"")=9,LEFT(E107&amp;"",1)="9")))),COUNTIFS($A$6:$A$505,A107,$B$6:$B$505,B107,$E$6:$E$505,E107)&gt;1),"REVIEW","READY"))</f>
        <v/>
      </c>
      <c r="N107" s="27" t="str">
        <f>IF(M107="","",IF(M107="READY","",TRIM(IF(A107="","missing entity_type; ","")&amp;IF(B107="","missing entity_key; ","")&amp;IF(C107="","missing contact_order; ","")&amp;IF(D107="","missing contact_type; ","")&amp;IF(E107="","missing number; ","")&amp;IF(J107="","missing status; ","")&amp;IF(AND(A107="client",COUNTIF(الزبائن!$A$6:$A$505,B107)=0),"client key not found; ","")&amp;IF(AND(A107="proposed_name",COUNTIF('أسماء مقترحة'!$A$6:$A$505,B107)=0),"proposed_name key not found; ","")&amp;IF(AND(D107="mobile",J107&lt;&gt;"invalid",NOT(OR(AND(LEN(E107&amp;"")=10,LEFT(E107&amp;"",2)="09"),AND(LEN(E107&amp;"")=9,LEFT(E107&amp;"",1)="9")))),"mobile must be 09XXXXXXXX or status invalid; ","")&amp;IF(COUNTIFS($A$6:$A$505,A107,$B$6:$B$505,B107,$E$6:$E$505,E107)&gt;1,"duplicate number for same entity; ",""))))</f>
        <v/>
      </c>
    </row>
    <row r="108" spans="1:14">
      <c r="A108" s="23"/>
      <c r="B108" s="24"/>
      <c r="C108" s="25"/>
      <c r="D108" s="25"/>
      <c r="E108" s="24"/>
      <c r="F108" s="24"/>
      <c r="G108" s="25"/>
      <c r="H108" s="25"/>
      <c r="I108" s="25"/>
      <c r="J108" s="25"/>
      <c r="K108" s="25"/>
      <c r="L108" s="25"/>
      <c r="M108" s="25" t="str">
        <f>IF(AND(A108="",B108="",E108=""),"",IF(OR(A108="",B108="",C108="",D108="",E108="",J108="",AND(A108="client",COUNTIF(الزبائن!$A$6:$A$505,B108)=0),AND(A108="proposed_name",COUNTIF('أسماء مقترحة'!$A$6:$A$505,B108)=0),AND(D108="mobile",J108&lt;&gt;"invalid",NOT(OR(AND(LEN(E108&amp;"")=10,LEFT(E108&amp;"",2)="09"),AND(LEN(E108&amp;"")=9,LEFT(E108&amp;"",1)="9")))),COUNTIFS($A$6:$A$505,A108,$B$6:$B$505,B108,$E$6:$E$505,E108)&gt;1),"REVIEW","READY"))</f>
        <v/>
      </c>
      <c r="N108" s="27" t="str">
        <f>IF(M108="","",IF(M108="READY","",TRIM(IF(A108="","missing entity_type; ","")&amp;IF(B108="","missing entity_key; ","")&amp;IF(C108="","missing contact_order; ","")&amp;IF(D108="","missing contact_type; ","")&amp;IF(E108="","missing number; ","")&amp;IF(J108="","missing status; ","")&amp;IF(AND(A108="client",COUNTIF(الزبائن!$A$6:$A$505,B108)=0),"client key not found; ","")&amp;IF(AND(A108="proposed_name",COUNTIF('أسماء مقترحة'!$A$6:$A$505,B108)=0),"proposed_name key not found; ","")&amp;IF(AND(D108="mobile",J108&lt;&gt;"invalid",NOT(OR(AND(LEN(E108&amp;"")=10,LEFT(E108&amp;"",2)="09"),AND(LEN(E108&amp;"")=9,LEFT(E108&amp;"",1)="9")))),"mobile must be 09XXXXXXXX or status invalid; ","")&amp;IF(COUNTIFS($A$6:$A$505,A108,$B$6:$B$505,B108,$E$6:$E$505,E108)&gt;1,"duplicate number for same entity; ",""))))</f>
        <v/>
      </c>
    </row>
    <row r="109" spans="1:14">
      <c r="A109" s="23"/>
      <c r="B109" s="24"/>
      <c r="C109" s="25"/>
      <c r="D109" s="25"/>
      <c r="E109" s="24"/>
      <c r="F109" s="24"/>
      <c r="G109" s="25"/>
      <c r="H109" s="25"/>
      <c r="I109" s="25"/>
      <c r="J109" s="25"/>
      <c r="K109" s="25"/>
      <c r="L109" s="25"/>
      <c r="M109" s="25" t="str">
        <f>IF(AND(A109="",B109="",E109=""),"",IF(OR(A109="",B109="",C109="",D109="",E109="",J109="",AND(A109="client",COUNTIF(الزبائن!$A$6:$A$505,B109)=0),AND(A109="proposed_name",COUNTIF('أسماء مقترحة'!$A$6:$A$505,B109)=0),AND(D109="mobile",J109&lt;&gt;"invalid",NOT(OR(AND(LEN(E109&amp;"")=10,LEFT(E109&amp;"",2)="09"),AND(LEN(E109&amp;"")=9,LEFT(E109&amp;"",1)="9")))),COUNTIFS($A$6:$A$505,A109,$B$6:$B$505,B109,$E$6:$E$505,E109)&gt;1),"REVIEW","READY"))</f>
        <v/>
      </c>
      <c r="N109" s="27" t="str">
        <f>IF(M109="","",IF(M109="READY","",TRIM(IF(A109="","missing entity_type; ","")&amp;IF(B109="","missing entity_key; ","")&amp;IF(C109="","missing contact_order; ","")&amp;IF(D109="","missing contact_type; ","")&amp;IF(E109="","missing number; ","")&amp;IF(J109="","missing status; ","")&amp;IF(AND(A109="client",COUNTIF(الزبائن!$A$6:$A$505,B109)=0),"client key not found; ","")&amp;IF(AND(A109="proposed_name",COUNTIF('أسماء مقترحة'!$A$6:$A$505,B109)=0),"proposed_name key not found; ","")&amp;IF(AND(D109="mobile",J109&lt;&gt;"invalid",NOT(OR(AND(LEN(E109&amp;"")=10,LEFT(E109&amp;"",2)="09"),AND(LEN(E109&amp;"")=9,LEFT(E109&amp;"",1)="9")))),"mobile must be 09XXXXXXXX or status invalid; ","")&amp;IF(COUNTIFS($A$6:$A$505,A109,$B$6:$B$505,B109,$E$6:$E$505,E109)&gt;1,"duplicate number for same entity; ",""))))</f>
        <v/>
      </c>
    </row>
    <row r="110" spans="1:14">
      <c r="A110" s="23"/>
      <c r="B110" s="24"/>
      <c r="C110" s="25"/>
      <c r="D110" s="25"/>
      <c r="E110" s="24"/>
      <c r="F110" s="24"/>
      <c r="G110" s="25"/>
      <c r="H110" s="25"/>
      <c r="I110" s="25"/>
      <c r="J110" s="25"/>
      <c r="K110" s="25"/>
      <c r="L110" s="25"/>
      <c r="M110" s="25" t="str">
        <f>IF(AND(A110="",B110="",E110=""),"",IF(OR(A110="",B110="",C110="",D110="",E110="",J110="",AND(A110="client",COUNTIF(الزبائن!$A$6:$A$505,B110)=0),AND(A110="proposed_name",COUNTIF('أسماء مقترحة'!$A$6:$A$505,B110)=0),AND(D110="mobile",J110&lt;&gt;"invalid",NOT(OR(AND(LEN(E110&amp;"")=10,LEFT(E110&amp;"",2)="09"),AND(LEN(E110&amp;"")=9,LEFT(E110&amp;"",1)="9")))),COUNTIFS($A$6:$A$505,A110,$B$6:$B$505,B110,$E$6:$E$505,E110)&gt;1),"REVIEW","READY"))</f>
        <v/>
      </c>
      <c r="N110" s="27" t="str">
        <f>IF(M110="","",IF(M110="READY","",TRIM(IF(A110="","missing entity_type; ","")&amp;IF(B110="","missing entity_key; ","")&amp;IF(C110="","missing contact_order; ","")&amp;IF(D110="","missing contact_type; ","")&amp;IF(E110="","missing number; ","")&amp;IF(J110="","missing status; ","")&amp;IF(AND(A110="client",COUNTIF(الزبائن!$A$6:$A$505,B110)=0),"client key not found; ","")&amp;IF(AND(A110="proposed_name",COUNTIF('أسماء مقترحة'!$A$6:$A$505,B110)=0),"proposed_name key not found; ","")&amp;IF(AND(D110="mobile",J110&lt;&gt;"invalid",NOT(OR(AND(LEN(E110&amp;"")=10,LEFT(E110&amp;"",2)="09"),AND(LEN(E110&amp;"")=9,LEFT(E110&amp;"",1)="9")))),"mobile must be 09XXXXXXXX or status invalid; ","")&amp;IF(COUNTIFS($A$6:$A$505,A110,$B$6:$B$505,B110,$E$6:$E$505,E110)&gt;1,"duplicate number for same entity; ",""))))</f>
        <v/>
      </c>
    </row>
    <row r="111" spans="1:14">
      <c r="A111" s="23"/>
      <c r="B111" s="24"/>
      <c r="C111" s="25"/>
      <c r="D111" s="25"/>
      <c r="E111" s="24"/>
      <c r="F111" s="24"/>
      <c r="G111" s="25"/>
      <c r="H111" s="25"/>
      <c r="I111" s="25"/>
      <c r="J111" s="25"/>
      <c r="K111" s="25"/>
      <c r="L111" s="25"/>
      <c r="M111" s="25" t="str">
        <f>IF(AND(A111="",B111="",E111=""),"",IF(OR(A111="",B111="",C111="",D111="",E111="",J111="",AND(A111="client",COUNTIF(الزبائن!$A$6:$A$505,B111)=0),AND(A111="proposed_name",COUNTIF('أسماء مقترحة'!$A$6:$A$505,B111)=0),AND(D111="mobile",J111&lt;&gt;"invalid",NOT(OR(AND(LEN(E111&amp;"")=10,LEFT(E111&amp;"",2)="09"),AND(LEN(E111&amp;"")=9,LEFT(E111&amp;"",1)="9")))),COUNTIFS($A$6:$A$505,A111,$B$6:$B$505,B111,$E$6:$E$505,E111)&gt;1),"REVIEW","READY"))</f>
        <v/>
      </c>
      <c r="N111" s="27" t="str">
        <f>IF(M111="","",IF(M111="READY","",TRIM(IF(A111="","missing entity_type; ","")&amp;IF(B111="","missing entity_key; ","")&amp;IF(C111="","missing contact_order; ","")&amp;IF(D111="","missing contact_type; ","")&amp;IF(E111="","missing number; ","")&amp;IF(J111="","missing status; ","")&amp;IF(AND(A111="client",COUNTIF(الزبائن!$A$6:$A$505,B111)=0),"client key not found; ","")&amp;IF(AND(A111="proposed_name",COUNTIF('أسماء مقترحة'!$A$6:$A$505,B111)=0),"proposed_name key not found; ","")&amp;IF(AND(D111="mobile",J111&lt;&gt;"invalid",NOT(OR(AND(LEN(E111&amp;"")=10,LEFT(E111&amp;"",2)="09"),AND(LEN(E111&amp;"")=9,LEFT(E111&amp;"",1)="9")))),"mobile must be 09XXXXXXXX or status invalid; ","")&amp;IF(COUNTIFS($A$6:$A$505,A111,$B$6:$B$505,B111,$E$6:$E$505,E111)&gt;1,"duplicate number for same entity; ",""))))</f>
        <v/>
      </c>
    </row>
    <row r="112" spans="1:14">
      <c r="A112" s="23"/>
      <c r="B112" s="24"/>
      <c r="C112" s="25"/>
      <c r="D112" s="25"/>
      <c r="E112" s="24"/>
      <c r="F112" s="24"/>
      <c r="G112" s="25"/>
      <c r="H112" s="25"/>
      <c r="I112" s="25"/>
      <c r="J112" s="25"/>
      <c r="K112" s="25"/>
      <c r="L112" s="25"/>
      <c r="M112" s="25" t="str">
        <f>IF(AND(A112="",B112="",E112=""),"",IF(OR(A112="",B112="",C112="",D112="",E112="",J112="",AND(A112="client",COUNTIF(الزبائن!$A$6:$A$505,B112)=0),AND(A112="proposed_name",COUNTIF('أسماء مقترحة'!$A$6:$A$505,B112)=0),AND(D112="mobile",J112&lt;&gt;"invalid",NOT(OR(AND(LEN(E112&amp;"")=10,LEFT(E112&amp;"",2)="09"),AND(LEN(E112&amp;"")=9,LEFT(E112&amp;"",1)="9")))),COUNTIFS($A$6:$A$505,A112,$B$6:$B$505,B112,$E$6:$E$505,E112)&gt;1),"REVIEW","READY"))</f>
        <v/>
      </c>
      <c r="N112" s="27" t="str">
        <f>IF(M112="","",IF(M112="READY","",TRIM(IF(A112="","missing entity_type; ","")&amp;IF(B112="","missing entity_key; ","")&amp;IF(C112="","missing contact_order; ","")&amp;IF(D112="","missing contact_type; ","")&amp;IF(E112="","missing number; ","")&amp;IF(J112="","missing status; ","")&amp;IF(AND(A112="client",COUNTIF(الزبائن!$A$6:$A$505,B112)=0),"client key not found; ","")&amp;IF(AND(A112="proposed_name",COUNTIF('أسماء مقترحة'!$A$6:$A$505,B112)=0),"proposed_name key not found; ","")&amp;IF(AND(D112="mobile",J112&lt;&gt;"invalid",NOT(OR(AND(LEN(E112&amp;"")=10,LEFT(E112&amp;"",2)="09"),AND(LEN(E112&amp;"")=9,LEFT(E112&amp;"",1)="9")))),"mobile must be 09XXXXXXXX or status invalid; ","")&amp;IF(COUNTIFS($A$6:$A$505,A112,$B$6:$B$505,B112,$E$6:$E$505,E112)&gt;1,"duplicate number for same entity; ",""))))</f>
        <v/>
      </c>
    </row>
    <row r="113" spans="1:14">
      <c r="A113" s="23"/>
      <c r="B113" s="24"/>
      <c r="C113" s="25"/>
      <c r="D113" s="25"/>
      <c r="E113" s="24"/>
      <c r="F113" s="24"/>
      <c r="G113" s="25"/>
      <c r="H113" s="25"/>
      <c r="I113" s="25"/>
      <c r="J113" s="25"/>
      <c r="K113" s="25"/>
      <c r="L113" s="25"/>
      <c r="M113" s="25" t="str">
        <f>IF(AND(A113="",B113="",E113=""),"",IF(OR(A113="",B113="",C113="",D113="",E113="",J113="",AND(A113="client",COUNTIF(الزبائن!$A$6:$A$505,B113)=0),AND(A113="proposed_name",COUNTIF('أسماء مقترحة'!$A$6:$A$505,B113)=0),AND(D113="mobile",J113&lt;&gt;"invalid",NOT(OR(AND(LEN(E113&amp;"")=10,LEFT(E113&amp;"",2)="09"),AND(LEN(E113&amp;"")=9,LEFT(E113&amp;"",1)="9")))),COUNTIFS($A$6:$A$505,A113,$B$6:$B$505,B113,$E$6:$E$505,E113)&gt;1),"REVIEW","READY"))</f>
        <v/>
      </c>
      <c r="N113" s="27" t="str">
        <f>IF(M113="","",IF(M113="READY","",TRIM(IF(A113="","missing entity_type; ","")&amp;IF(B113="","missing entity_key; ","")&amp;IF(C113="","missing contact_order; ","")&amp;IF(D113="","missing contact_type; ","")&amp;IF(E113="","missing number; ","")&amp;IF(J113="","missing status; ","")&amp;IF(AND(A113="client",COUNTIF(الزبائن!$A$6:$A$505,B113)=0),"client key not found; ","")&amp;IF(AND(A113="proposed_name",COUNTIF('أسماء مقترحة'!$A$6:$A$505,B113)=0),"proposed_name key not found; ","")&amp;IF(AND(D113="mobile",J113&lt;&gt;"invalid",NOT(OR(AND(LEN(E113&amp;"")=10,LEFT(E113&amp;"",2)="09"),AND(LEN(E113&amp;"")=9,LEFT(E113&amp;"",1)="9")))),"mobile must be 09XXXXXXXX or status invalid; ","")&amp;IF(COUNTIFS($A$6:$A$505,A113,$B$6:$B$505,B113,$E$6:$E$505,E113)&gt;1,"duplicate number for same entity; ",""))))</f>
        <v/>
      </c>
    </row>
    <row r="114" spans="1:14">
      <c r="A114" s="23"/>
      <c r="B114" s="24"/>
      <c r="C114" s="25"/>
      <c r="D114" s="25"/>
      <c r="E114" s="24"/>
      <c r="F114" s="24"/>
      <c r="G114" s="25"/>
      <c r="H114" s="25"/>
      <c r="I114" s="25"/>
      <c r="J114" s="25"/>
      <c r="K114" s="25"/>
      <c r="L114" s="25"/>
      <c r="M114" s="25" t="str">
        <f>IF(AND(A114="",B114="",E114=""),"",IF(OR(A114="",B114="",C114="",D114="",E114="",J114="",AND(A114="client",COUNTIF(الزبائن!$A$6:$A$505,B114)=0),AND(A114="proposed_name",COUNTIF('أسماء مقترحة'!$A$6:$A$505,B114)=0),AND(D114="mobile",J114&lt;&gt;"invalid",NOT(OR(AND(LEN(E114&amp;"")=10,LEFT(E114&amp;"",2)="09"),AND(LEN(E114&amp;"")=9,LEFT(E114&amp;"",1)="9")))),COUNTIFS($A$6:$A$505,A114,$B$6:$B$505,B114,$E$6:$E$505,E114)&gt;1),"REVIEW","READY"))</f>
        <v/>
      </c>
      <c r="N114" s="27" t="str">
        <f>IF(M114="","",IF(M114="READY","",TRIM(IF(A114="","missing entity_type; ","")&amp;IF(B114="","missing entity_key; ","")&amp;IF(C114="","missing contact_order; ","")&amp;IF(D114="","missing contact_type; ","")&amp;IF(E114="","missing number; ","")&amp;IF(J114="","missing status; ","")&amp;IF(AND(A114="client",COUNTIF(الزبائن!$A$6:$A$505,B114)=0),"client key not found; ","")&amp;IF(AND(A114="proposed_name",COUNTIF('أسماء مقترحة'!$A$6:$A$505,B114)=0),"proposed_name key not found; ","")&amp;IF(AND(D114="mobile",J114&lt;&gt;"invalid",NOT(OR(AND(LEN(E114&amp;"")=10,LEFT(E114&amp;"",2)="09"),AND(LEN(E114&amp;"")=9,LEFT(E114&amp;"",1)="9")))),"mobile must be 09XXXXXXXX or status invalid; ","")&amp;IF(COUNTIFS($A$6:$A$505,A114,$B$6:$B$505,B114,$E$6:$E$505,E114)&gt;1,"duplicate number for same entity; ",""))))</f>
        <v/>
      </c>
    </row>
    <row r="115" spans="1:14">
      <c r="A115" s="23"/>
      <c r="B115" s="24"/>
      <c r="C115" s="25"/>
      <c r="D115" s="25"/>
      <c r="E115" s="24"/>
      <c r="F115" s="24"/>
      <c r="G115" s="25"/>
      <c r="H115" s="25"/>
      <c r="I115" s="25"/>
      <c r="J115" s="25"/>
      <c r="K115" s="25"/>
      <c r="L115" s="25"/>
      <c r="M115" s="25" t="str">
        <f>IF(AND(A115="",B115="",E115=""),"",IF(OR(A115="",B115="",C115="",D115="",E115="",J115="",AND(A115="client",COUNTIF(الزبائن!$A$6:$A$505,B115)=0),AND(A115="proposed_name",COUNTIF('أسماء مقترحة'!$A$6:$A$505,B115)=0),AND(D115="mobile",J115&lt;&gt;"invalid",NOT(OR(AND(LEN(E115&amp;"")=10,LEFT(E115&amp;"",2)="09"),AND(LEN(E115&amp;"")=9,LEFT(E115&amp;"",1)="9")))),COUNTIFS($A$6:$A$505,A115,$B$6:$B$505,B115,$E$6:$E$505,E115)&gt;1),"REVIEW","READY"))</f>
        <v/>
      </c>
      <c r="N115" s="27" t="str">
        <f>IF(M115="","",IF(M115="READY","",TRIM(IF(A115="","missing entity_type; ","")&amp;IF(B115="","missing entity_key; ","")&amp;IF(C115="","missing contact_order; ","")&amp;IF(D115="","missing contact_type; ","")&amp;IF(E115="","missing number; ","")&amp;IF(J115="","missing status; ","")&amp;IF(AND(A115="client",COUNTIF(الزبائن!$A$6:$A$505,B115)=0),"client key not found; ","")&amp;IF(AND(A115="proposed_name",COUNTIF('أسماء مقترحة'!$A$6:$A$505,B115)=0),"proposed_name key not found; ","")&amp;IF(AND(D115="mobile",J115&lt;&gt;"invalid",NOT(OR(AND(LEN(E115&amp;"")=10,LEFT(E115&amp;"",2)="09"),AND(LEN(E115&amp;"")=9,LEFT(E115&amp;"",1)="9")))),"mobile must be 09XXXXXXXX or status invalid; ","")&amp;IF(COUNTIFS($A$6:$A$505,A115,$B$6:$B$505,B115,$E$6:$E$505,E115)&gt;1,"duplicate number for same entity; ",""))))</f>
        <v/>
      </c>
    </row>
    <row r="116" spans="1:14">
      <c r="A116" s="23"/>
      <c r="B116" s="24"/>
      <c r="C116" s="25"/>
      <c r="D116" s="25"/>
      <c r="E116" s="24"/>
      <c r="F116" s="24"/>
      <c r="G116" s="25"/>
      <c r="H116" s="25"/>
      <c r="I116" s="25"/>
      <c r="J116" s="25"/>
      <c r="K116" s="25"/>
      <c r="L116" s="25"/>
      <c r="M116" s="25" t="str">
        <f>IF(AND(A116="",B116="",E116=""),"",IF(OR(A116="",B116="",C116="",D116="",E116="",J116="",AND(A116="client",COUNTIF(الزبائن!$A$6:$A$505,B116)=0),AND(A116="proposed_name",COUNTIF('أسماء مقترحة'!$A$6:$A$505,B116)=0),AND(D116="mobile",J116&lt;&gt;"invalid",NOT(OR(AND(LEN(E116&amp;"")=10,LEFT(E116&amp;"",2)="09"),AND(LEN(E116&amp;"")=9,LEFT(E116&amp;"",1)="9")))),COUNTIFS($A$6:$A$505,A116,$B$6:$B$505,B116,$E$6:$E$505,E116)&gt;1),"REVIEW","READY"))</f>
        <v/>
      </c>
      <c r="N116" s="27" t="str">
        <f>IF(M116="","",IF(M116="READY","",TRIM(IF(A116="","missing entity_type; ","")&amp;IF(B116="","missing entity_key; ","")&amp;IF(C116="","missing contact_order; ","")&amp;IF(D116="","missing contact_type; ","")&amp;IF(E116="","missing number; ","")&amp;IF(J116="","missing status; ","")&amp;IF(AND(A116="client",COUNTIF(الزبائن!$A$6:$A$505,B116)=0),"client key not found; ","")&amp;IF(AND(A116="proposed_name",COUNTIF('أسماء مقترحة'!$A$6:$A$505,B116)=0),"proposed_name key not found; ","")&amp;IF(AND(D116="mobile",J116&lt;&gt;"invalid",NOT(OR(AND(LEN(E116&amp;"")=10,LEFT(E116&amp;"",2)="09"),AND(LEN(E116&amp;"")=9,LEFT(E116&amp;"",1)="9")))),"mobile must be 09XXXXXXXX or status invalid; ","")&amp;IF(COUNTIFS($A$6:$A$505,A116,$B$6:$B$505,B116,$E$6:$E$505,E116)&gt;1,"duplicate number for same entity; ",""))))</f>
        <v/>
      </c>
    </row>
    <row r="117" spans="1:14">
      <c r="A117" s="23"/>
      <c r="B117" s="24"/>
      <c r="C117" s="25"/>
      <c r="D117" s="25"/>
      <c r="E117" s="24"/>
      <c r="F117" s="24"/>
      <c r="G117" s="25"/>
      <c r="H117" s="25"/>
      <c r="I117" s="25"/>
      <c r="J117" s="25"/>
      <c r="K117" s="25"/>
      <c r="L117" s="25"/>
      <c r="M117" s="25" t="str">
        <f>IF(AND(A117="",B117="",E117=""),"",IF(OR(A117="",B117="",C117="",D117="",E117="",J117="",AND(A117="client",COUNTIF(الزبائن!$A$6:$A$505,B117)=0),AND(A117="proposed_name",COUNTIF('أسماء مقترحة'!$A$6:$A$505,B117)=0),AND(D117="mobile",J117&lt;&gt;"invalid",NOT(OR(AND(LEN(E117&amp;"")=10,LEFT(E117&amp;"",2)="09"),AND(LEN(E117&amp;"")=9,LEFT(E117&amp;"",1)="9")))),COUNTIFS($A$6:$A$505,A117,$B$6:$B$505,B117,$E$6:$E$505,E117)&gt;1),"REVIEW","READY"))</f>
        <v/>
      </c>
      <c r="N117" s="27" t="str">
        <f>IF(M117="","",IF(M117="READY","",TRIM(IF(A117="","missing entity_type; ","")&amp;IF(B117="","missing entity_key; ","")&amp;IF(C117="","missing contact_order; ","")&amp;IF(D117="","missing contact_type; ","")&amp;IF(E117="","missing number; ","")&amp;IF(J117="","missing status; ","")&amp;IF(AND(A117="client",COUNTIF(الزبائن!$A$6:$A$505,B117)=0),"client key not found; ","")&amp;IF(AND(A117="proposed_name",COUNTIF('أسماء مقترحة'!$A$6:$A$505,B117)=0),"proposed_name key not found; ","")&amp;IF(AND(D117="mobile",J117&lt;&gt;"invalid",NOT(OR(AND(LEN(E117&amp;"")=10,LEFT(E117&amp;"",2)="09"),AND(LEN(E117&amp;"")=9,LEFT(E117&amp;"",1)="9")))),"mobile must be 09XXXXXXXX or status invalid; ","")&amp;IF(COUNTIFS($A$6:$A$505,A117,$B$6:$B$505,B117,$E$6:$E$505,E117)&gt;1,"duplicate number for same entity; ",""))))</f>
        <v/>
      </c>
    </row>
    <row r="118" spans="1:14">
      <c r="A118" s="23"/>
      <c r="B118" s="24"/>
      <c r="C118" s="25"/>
      <c r="D118" s="25"/>
      <c r="E118" s="24"/>
      <c r="F118" s="24"/>
      <c r="G118" s="25"/>
      <c r="H118" s="25"/>
      <c r="I118" s="25"/>
      <c r="J118" s="25"/>
      <c r="K118" s="25"/>
      <c r="L118" s="25"/>
      <c r="M118" s="25" t="str">
        <f>IF(AND(A118="",B118="",E118=""),"",IF(OR(A118="",B118="",C118="",D118="",E118="",J118="",AND(A118="client",COUNTIF(الزبائن!$A$6:$A$505,B118)=0),AND(A118="proposed_name",COUNTIF('أسماء مقترحة'!$A$6:$A$505,B118)=0),AND(D118="mobile",J118&lt;&gt;"invalid",NOT(OR(AND(LEN(E118&amp;"")=10,LEFT(E118&amp;"",2)="09"),AND(LEN(E118&amp;"")=9,LEFT(E118&amp;"",1)="9")))),COUNTIFS($A$6:$A$505,A118,$B$6:$B$505,B118,$E$6:$E$505,E118)&gt;1),"REVIEW","READY"))</f>
        <v/>
      </c>
      <c r="N118" s="27" t="str">
        <f>IF(M118="","",IF(M118="READY","",TRIM(IF(A118="","missing entity_type; ","")&amp;IF(B118="","missing entity_key; ","")&amp;IF(C118="","missing contact_order; ","")&amp;IF(D118="","missing contact_type; ","")&amp;IF(E118="","missing number; ","")&amp;IF(J118="","missing status; ","")&amp;IF(AND(A118="client",COUNTIF(الزبائن!$A$6:$A$505,B118)=0),"client key not found; ","")&amp;IF(AND(A118="proposed_name",COUNTIF('أسماء مقترحة'!$A$6:$A$505,B118)=0),"proposed_name key not found; ","")&amp;IF(AND(D118="mobile",J118&lt;&gt;"invalid",NOT(OR(AND(LEN(E118&amp;"")=10,LEFT(E118&amp;"",2)="09"),AND(LEN(E118&amp;"")=9,LEFT(E118&amp;"",1)="9")))),"mobile must be 09XXXXXXXX or status invalid; ","")&amp;IF(COUNTIFS($A$6:$A$505,A118,$B$6:$B$505,B118,$E$6:$E$505,E118)&gt;1,"duplicate number for same entity; ",""))))</f>
        <v/>
      </c>
    </row>
    <row r="119" spans="1:14">
      <c r="A119" s="23"/>
      <c r="B119" s="24"/>
      <c r="C119" s="25"/>
      <c r="D119" s="25"/>
      <c r="E119" s="24"/>
      <c r="F119" s="24"/>
      <c r="G119" s="25"/>
      <c r="H119" s="25"/>
      <c r="I119" s="25"/>
      <c r="J119" s="25"/>
      <c r="K119" s="25"/>
      <c r="L119" s="25"/>
      <c r="M119" s="25" t="str">
        <f>IF(AND(A119="",B119="",E119=""),"",IF(OR(A119="",B119="",C119="",D119="",E119="",J119="",AND(A119="client",COUNTIF(الزبائن!$A$6:$A$505,B119)=0),AND(A119="proposed_name",COUNTIF('أسماء مقترحة'!$A$6:$A$505,B119)=0),AND(D119="mobile",J119&lt;&gt;"invalid",NOT(OR(AND(LEN(E119&amp;"")=10,LEFT(E119&amp;"",2)="09"),AND(LEN(E119&amp;"")=9,LEFT(E119&amp;"",1)="9")))),COUNTIFS($A$6:$A$505,A119,$B$6:$B$505,B119,$E$6:$E$505,E119)&gt;1),"REVIEW","READY"))</f>
        <v/>
      </c>
      <c r="N119" s="27" t="str">
        <f>IF(M119="","",IF(M119="READY","",TRIM(IF(A119="","missing entity_type; ","")&amp;IF(B119="","missing entity_key; ","")&amp;IF(C119="","missing contact_order; ","")&amp;IF(D119="","missing contact_type; ","")&amp;IF(E119="","missing number; ","")&amp;IF(J119="","missing status; ","")&amp;IF(AND(A119="client",COUNTIF(الزبائن!$A$6:$A$505,B119)=0),"client key not found; ","")&amp;IF(AND(A119="proposed_name",COUNTIF('أسماء مقترحة'!$A$6:$A$505,B119)=0),"proposed_name key not found; ","")&amp;IF(AND(D119="mobile",J119&lt;&gt;"invalid",NOT(OR(AND(LEN(E119&amp;"")=10,LEFT(E119&amp;"",2)="09"),AND(LEN(E119&amp;"")=9,LEFT(E119&amp;"",1)="9")))),"mobile must be 09XXXXXXXX or status invalid; ","")&amp;IF(COUNTIFS($A$6:$A$505,A119,$B$6:$B$505,B119,$E$6:$E$505,E119)&gt;1,"duplicate number for same entity; ",""))))</f>
        <v/>
      </c>
    </row>
    <row r="120" spans="1:14">
      <c r="A120" s="23"/>
      <c r="B120" s="24"/>
      <c r="C120" s="25"/>
      <c r="D120" s="25"/>
      <c r="E120" s="24"/>
      <c r="F120" s="24"/>
      <c r="G120" s="25"/>
      <c r="H120" s="25"/>
      <c r="I120" s="25"/>
      <c r="J120" s="25"/>
      <c r="K120" s="25"/>
      <c r="L120" s="25"/>
      <c r="M120" s="25" t="str">
        <f>IF(AND(A120="",B120="",E120=""),"",IF(OR(A120="",B120="",C120="",D120="",E120="",J120="",AND(A120="client",COUNTIF(الزبائن!$A$6:$A$505,B120)=0),AND(A120="proposed_name",COUNTIF('أسماء مقترحة'!$A$6:$A$505,B120)=0),AND(D120="mobile",J120&lt;&gt;"invalid",NOT(OR(AND(LEN(E120&amp;"")=10,LEFT(E120&amp;"",2)="09"),AND(LEN(E120&amp;"")=9,LEFT(E120&amp;"",1)="9")))),COUNTIFS($A$6:$A$505,A120,$B$6:$B$505,B120,$E$6:$E$505,E120)&gt;1),"REVIEW","READY"))</f>
        <v/>
      </c>
      <c r="N120" s="27" t="str">
        <f>IF(M120="","",IF(M120="READY","",TRIM(IF(A120="","missing entity_type; ","")&amp;IF(B120="","missing entity_key; ","")&amp;IF(C120="","missing contact_order; ","")&amp;IF(D120="","missing contact_type; ","")&amp;IF(E120="","missing number; ","")&amp;IF(J120="","missing status; ","")&amp;IF(AND(A120="client",COUNTIF(الزبائن!$A$6:$A$505,B120)=0),"client key not found; ","")&amp;IF(AND(A120="proposed_name",COUNTIF('أسماء مقترحة'!$A$6:$A$505,B120)=0),"proposed_name key not found; ","")&amp;IF(AND(D120="mobile",J120&lt;&gt;"invalid",NOT(OR(AND(LEN(E120&amp;"")=10,LEFT(E120&amp;"",2)="09"),AND(LEN(E120&amp;"")=9,LEFT(E120&amp;"",1)="9")))),"mobile must be 09XXXXXXXX or status invalid; ","")&amp;IF(COUNTIFS($A$6:$A$505,A120,$B$6:$B$505,B120,$E$6:$E$505,E120)&gt;1,"duplicate number for same entity; ",""))))</f>
        <v/>
      </c>
    </row>
    <row r="121" spans="1:14">
      <c r="A121" s="23"/>
      <c r="B121" s="24"/>
      <c r="C121" s="25"/>
      <c r="D121" s="25"/>
      <c r="E121" s="24"/>
      <c r="F121" s="24"/>
      <c r="G121" s="25"/>
      <c r="H121" s="25"/>
      <c r="I121" s="25"/>
      <c r="J121" s="25"/>
      <c r="K121" s="25"/>
      <c r="L121" s="25"/>
      <c r="M121" s="25" t="str">
        <f>IF(AND(A121="",B121="",E121=""),"",IF(OR(A121="",B121="",C121="",D121="",E121="",J121="",AND(A121="client",COUNTIF(الزبائن!$A$6:$A$505,B121)=0),AND(A121="proposed_name",COUNTIF('أسماء مقترحة'!$A$6:$A$505,B121)=0),AND(D121="mobile",J121&lt;&gt;"invalid",NOT(OR(AND(LEN(E121&amp;"")=10,LEFT(E121&amp;"",2)="09"),AND(LEN(E121&amp;"")=9,LEFT(E121&amp;"",1)="9")))),COUNTIFS($A$6:$A$505,A121,$B$6:$B$505,B121,$E$6:$E$505,E121)&gt;1),"REVIEW","READY"))</f>
        <v/>
      </c>
      <c r="N121" s="27" t="str">
        <f>IF(M121="","",IF(M121="READY","",TRIM(IF(A121="","missing entity_type; ","")&amp;IF(B121="","missing entity_key; ","")&amp;IF(C121="","missing contact_order; ","")&amp;IF(D121="","missing contact_type; ","")&amp;IF(E121="","missing number; ","")&amp;IF(J121="","missing status; ","")&amp;IF(AND(A121="client",COUNTIF(الزبائن!$A$6:$A$505,B121)=0),"client key not found; ","")&amp;IF(AND(A121="proposed_name",COUNTIF('أسماء مقترحة'!$A$6:$A$505,B121)=0),"proposed_name key not found; ","")&amp;IF(AND(D121="mobile",J121&lt;&gt;"invalid",NOT(OR(AND(LEN(E121&amp;"")=10,LEFT(E121&amp;"",2)="09"),AND(LEN(E121&amp;"")=9,LEFT(E121&amp;"",1)="9")))),"mobile must be 09XXXXXXXX or status invalid; ","")&amp;IF(COUNTIFS($A$6:$A$505,A121,$B$6:$B$505,B121,$E$6:$E$505,E121)&gt;1,"duplicate number for same entity; ",""))))</f>
        <v/>
      </c>
    </row>
    <row r="122" spans="1:14">
      <c r="A122" s="23"/>
      <c r="B122" s="24"/>
      <c r="C122" s="25"/>
      <c r="D122" s="25"/>
      <c r="E122" s="24"/>
      <c r="F122" s="24"/>
      <c r="G122" s="25"/>
      <c r="H122" s="25"/>
      <c r="I122" s="25"/>
      <c r="J122" s="25"/>
      <c r="K122" s="25"/>
      <c r="L122" s="25"/>
      <c r="M122" s="25" t="str">
        <f>IF(AND(A122="",B122="",E122=""),"",IF(OR(A122="",B122="",C122="",D122="",E122="",J122="",AND(A122="client",COUNTIF(الزبائن!$A$6:$A$505,B122)=0),AND(A122="proposed_name",COUNTIF('أسماء مقترحة'!$A$6:$A$505,B122)=0),AND(D122="mobile",J122&lt;&gt;"invalid",NOT(OR(AND(LEN(E122&amp;"")=10,LEFT(E122&amp;"",2)="09"),AND(LEN(E122&amp;"")=9,LEFT(E122&amp;"",1)="9")))),COUNTIFS($A$6:$A$505,A122,$B$6:$B$505,B122,$E$6:$E$505,E122)&gt;1),"REVIEW","READY"))</f>
        <v/>
      </c>
      <c r="N122" s="27" t="str">
        <f>IF(M122="","",IF(M122="READY","",TRIM(IF(A122="","missing entity_type; ","")&amp;IF(B122="","missing entity_key; ","")&amp;IF(C122="","missing contact_order; ","")&amp;IF(D122="","missing contact_type; ","")&amp;IF(E122="","missing number; ","")&amp;IF(J122="","missing status; ","")&amp;IF(AND(A122="client",COUNTIF(الزبائن!$A$6:$A$505,B122)=0),"client key not found; ","")&amp;IF(AND(A122="proposed_name",COUNTIF('أسماء مقترحة'!$A$6:$A$505,B122)=0),"proposed_name key not found; ","")&amp;IF(AND(D122="mobile",J122&lt;&gt;"invalid",NOT(OR(AND(LEN(E122&amp;"")=10,LEFT(E122&amp;"",2)="09"),AND(LEN(E122&amp;"")=9,LEFT(E122&amp;"",1)="9")))),"mobile must be 09XXXXXXXX or status invalid; ","")&amp;IF(COUNTIFS($A$6:$A$505,A122,$B$6:$B$505,B122,$E$6:$E$505,E122)&gt;1,"duplicate number for same entity; ",""))))</f>
        <v/>
      </c>
    </row>
    <row r="123" spans="1:14">
      <c r="A123" s="23"/>
      <c r="B123" s="24"/>
      <c r="C123" s="25"/>
      <c r="D123" s="25"/>
      <c r="E123" s="24"/>
      <c r="F123" s="24"/>
      <c r="G123" s="25"/>
      <c r="H123" s="25"/>
      <c r="I123" s="25"/>
      <c r="J123" s="25"/>
      <c r="K123" s="25"/>
      <c r="L123" s="25"/>
      <c r="M123" s="25" t="str">
        <f>IF(AND(A123="",B123="",E123=""),"",IF(OR(A123="",B123="",C123="",D123="",E123="",J123="",AND(A123="client",COUNTIF(الزبائن!$A$6:$A$505,B123)=0),AND(A123="proposed_name",COUNTIF('أسماء مقترحة'!$A$6:$A$505,B123)=0),AND(D123="mobile",J123&lt;&gt;"invalid",NOT(OR(AND(LEN(E123&amp;"")=10,LEFT(E123&amp;"",2)="09"),AND(LEN(E123&amp;"")=9,LEFT(E123&amp;"",1)="9")))),COUNTIFS($A$6:$A$505,A123,$B$6:$B$505,B123,$E$6:$E$505,E123)&gt;1),"REVIEW","READY"))</f>
        <v/>
      </c>
      <c r="N123" s="27" t="str">
        <f>IF(M123="","",IF(M123="READY","",TRIM(IF(A123="","missing entity_type; ","")&amp;IF(B123="","missing entity_key; ","")&amp;IF(C123="","missing contact_order; ","")&amp;IF(D123="","missing contact_type; ","")&amp;IF(E123="","missing number; ","")&amp;IF(J123="","missing status; ","")&amp;IF(AND(A123="client",COUNTIF(الزبائن!$A$6:$A$505,B123)=0),"client key not found; ","")&amp;IF(AND(A123="proposed_name",COUNTIF('أسماء مقترحة'!$A$6:$A$505,B123)=0),"proposed_name key not found; ","")&amp;IF(AND(D123="mobile",J123&lt;&gt;"invalid",NOT(OR(AND(LEN(E123&amp;"")=10,LEFT(E123&amp;"",2)="09"),AND(LEN(E123&amp;"")=9,LEFT(E123&amp;"",1)="9")))),"mobile must be 09XXXXXXXX or status invalid; ","")&amp;IF(COUNTIFS($A$6:$A$505,A123,$B$6:$B$505,B123,$E$6:$E$505,E123)&gt;1,"duplicate number for same entity; ",""))))</f>
        <v/>
      </c>
    </row>
    <row r="124" spans="1:14">
      <c r="A124" s="23"/>
      <c r="B124" s="24"/>
      <c r="C124" s="25"/>
      <c r="D124" s="25"/>
      <c r="E124" s="24"/>
      <c r="F124" s="24"/>
      <c r="G124" s="25"/>
      <c r="H124" s="25"/>
      <c r="I124" s="25"/>
      <c r="J124" s="25"/>
      <c r="K124" s="25"/>
      <c r="L124" s="25"/>
      <c r="M124" s="25" t="str">
        <f>IF(AND(A124="",B124="",E124=""),"",IF(OR(A124="",B124="",C124="",D124="",E124="",J124="",AND(A124="client",COUNTIF(الزبائن!$A$6:$A$505,B124)=0),AND(A124="proposed_name",COUNTIF('أسماء مقترحة'!$A$6:$A$505,B124)=0),AND(D124="mobile",J124&lt;&gt;"invalid",NOT(OR(AND(LEN(E124&amp;"")=10,LEFT(E124&amp;"",2)="09"),AND(LEN(E124&amp;"")=9,LEFT(E124&amp;"",1)="9")))),COUNTIFS($A$6:$A$505,A124,$B$6:$B$505,B124,$E$6:$E$505,E124)&gt;1),"REVIEW","READY"))</f>
        <v/>
      </c>
      <c r="N124" s="27" t="str">
        <f>IF(M124="","",IF(M124="READY","",TRIM(IF(A124="","missing entity_type; ","")&amp;IF(B124="","missing entity_key; ","")&amp;IF(C124="","missing contact_order; ","")&amp;IF(D124="","missing contact_type; ","")&amp;IF(E124="","missing number; ","")&amp;IF(J124="","missing status; ","")&amp;IF(AND(A124="client",COUNTIF(الزبائن!$A$6:$A$505,B124)=0),"client key not found; ","")&amp;IF(AND(A124="proposed_name",COUNTIF('أسماء مقترحة'!$A$6:$A$505,B124)=0),"proposed_name key not found; ","")&amp;IF(AND(D124="mobile",J124&lt;&gt;"invalid",NOT(OR(AND(LEN(E124&amp;"")=10,LEFT(E124&amp;"",2)="09"),AND(LEN(E124&amp;"")=9,LEFT(E124&amp;"",1)="9")))),"mobile must be 09XXXXXXXX or status invalid; ","")&amp;IF(COUNTIFS($A$6:$A$505,A124,$B$6:$B$505,B124,$E$6:$E$505,E124)&gt;1,"duplicate number for same entity; ",""))))</f>
        <v/>
      </c>
    </row>
    <row r="125" spans="1:14">
      <c r="A125" s="23"/>
      <c r="B125" s="24"/>
      <c r="C125" s="25"/>
      <c r="D125" s="25"/>
      <c r="E125" s="24"/>
      <c r="F125" s="24"/>
      <c r="G125" s="25"/>
      <c r="H125" s="25"/>
      <c r="I125" s="25"/>
      <c r="J125" s="25"/>
      <c r="K125" s="25"/>
      <c r="L125" s="25"/>
      <c r="M125" s="25" t="str">
        <f>IF(AND(A125="",B125="",E125=""),"",IF(OR(A125="",B125="",C125="",D125="",E125="",J125="",AND(A125="client",COUNTIF(الزبائن!$A$6:$A$505,B125)=0),AND(A125="proposed_name",COUNTIF('أسماء مقترحة'!$A$6:$A$505,B125)=0),AND(D125="mobile",J125&lt;&gt;"invalid",NOT(OR(AND(LEN(E125&amp;"")=10,LEFT(E125&amp;"",2)="09"),AND(LEN(E125&amp;"")=9,LEFT(E125&amp;"",1)="9")))),COUNTIFS($A$6:$A$505,A125,$B$6:$B$505,B125,$E$6:$E$505,E125)&gt;1),"REVIEW","READY"))</f>
        <v/>
      </c>
      <c r="N125" s="27" t="str">
        <f>IF(M125="","",IF(M125="READY","",TRIM(IF(A125="","missing entity_type; ","")&amp;IF(B125="","missing entity_key; ","")&amp;IF(C125="","missing contact_order; ","")&amp;IF(D125="","missing contact_type; ","")&amp;IF(E125="","missing number; ","")&amp;IF(J125="","missing status; ","")&amp;IF(AND(A125="client",COUNTIF(الزبائن!$A$6:$A$505,B125)=0),"client key not found; ","")&amp;IF(AND(A125="proposed_name",COUNTIF('أسماء مقترحة'!$A$6:$A$505,B125)=0),"proposed_name key not found; ","")&amp;IF(AND(D125="mobile",J125&lt;&gt;"invalid",NOT(OR(AND(LEN(E125&amp;"")=10,LEFT(E125&amp;"",2)="09"),AND(LEN(E125&amp;"")=9,LEFT(E125&amp;"",1)="9")))),"mobile must be 09XXXXXXXX or status invalid; ","")&amp;IF(COUNTIFS($A$6:$A$505,A125,$B$6:$B$505,B125,$E$6:$E$505,E125)&gt;1,"duplicate number for same entity; ",""))))</f>
        <v/>
      </c>
    </row>
    <row r="126" spans="1:14">
      <c r="A126" s="23"/>
      <c r="B126" s="24"/>
      <c r="C126" s="25"/>
      <c r="D126" s="25"/>
      <c r="E126" s="24"/>
      <c r="F126" s="24"/>
      <c r="G126" s="25"/>
      <c r="H126" s="25"/>
      <c r="I126" s="25"/>
      <c r="J126" s="25"/>
      <c r="K126" s="25"/>
      <c r="L126" s="25"/>
      <c r="M126" s="25" t="str">
        <f>IF(AND(A126="",B126="",E126=""),"",IF(OR(A126="",B126="",C126="",D126="",E126="",J126="",AND(A126="client",COUNTIF(الزبائن!$A$6:$A$505,B126)=0),AND(A126="proposed_name",COUNTIF('أسماء مقترحة'!$A$6:$A$505,B126)=0),AND(D126="mobile",J126&lt;&gt;"invalid",NOT(OR(AND(LEN(E126&amp;"")=10,LEFT(E126&amp;"",2)="09"),AND(LEN(E126&amp;"")=9,LEFT(E126&amp;"",1)="9")))),COUNTIFS($A$6:$A$505,A126,$B$6:$B$505,B126,$E$6:$E$505,E126)&gt;1),"REVIEW","READY"))</f>
        <v/>
      </c>
      <c r="N126" s="27" t="str">
        <f>IF(M126="","",IF(M126="READY","",TRIM(IF(A126="","missing entity_type; ","")&amp;IF(B126="","missing entity_key; ","")&amp;IF(C126="","missing contact_order; ","")&amp;IF(D126="","missing contact_type; ","")&amp;IF(E126="","missing number; ","")&amp;IF(J126="","missing status; ","")&amp;IF(AND(A126="client",COUNTIF(الزبائن!$A$6:$A$505,B126)=0),"client key not found; ","")&amp;IF(AND(A126="proposed_name",COUNTIF('أسماء مقترحة'!$A$6:$A$505,B126)=0),"proposed_name key not found; ","")&amp;IF(AND(D126="mobile",J126&lt;&gt;"invalid",NOT(OR(AND(LEN(E126&amp;"")=10,LEFT(E126&amp;"",2)="09"),AND(LEN(E126&amp;"")=9,LEFT(E126&amp;"",1)="9")))),"mobile must be 09XXXXXXXX or status invalid; ","")&amp;IF(COUNTIFS($A$6:$A$505,A126,$B$6:$B$505,B126,$E$6:$E$505,E126)&gt;1,"duplicate number for same entity; ",""))))</f>
        <v/>
      </c>
    </row>
    <row r="127" spans="1:14">
      <c r="A127" s="23"/>
      <c r="B127" s="24"/>
      <c r="C127" s="25"/>
      <c r="D127" s="25"/>
      <c r="E127" s="24"/>
      <c r="F127" s="24"/>
      <c r="G127" s="25"/>
      <c r="H127" s="25"/>
      <c r="I127" s="25"/>
      <c r="J127" s="25"/>
      <c r="K127" s="25"/>
      <c r="L127" s="25"/>
      <c r="M127" s="25" t="str">
        <f>IF(AND(A127="",B127="",E127=""),"",IF(OR(A127="",B127="",C127="",D127="",E127="",J127="",AND(A127="client",COUNTIF(الزبائن!$A$6:$A$505,B127)=0),AND(A127="proposed_name",COUNTIF('أسماء مقترحة'!$A$6:$A$505,B127)=0),AND(D127="mobile",J127&lt;&gt;"invalid",NOT(OR(AND(LEN(E127&amp;"")=10,LEFT(E127&amp;"",2)="09"),AND(LEN(E127&amp;"")=9,LEFT(E127&amp;"",1)="9")))),COUNTIFS($A$6:$A$505,A127,$B$6:$B$505,B127,$E$6:$E$505,E127)&gt;1),"REVIEW","READY"))</f>
        <v/>
      </c>
      <c r="N127" s="27" t="str">
        <f>IF(M127="","",IF(M127="READY","",TRIM(IF(A127="","missing entity_type; ","")&amp;IF(B127="","missing entity_key; ","")&amp;IF(C127="","missing contact_order; ","")&amp;IF(D127="","missing contact_type; ","")&amp;IF(E127="","missing number; ","")&amp;IF(J127="","missing status; ","")&amp;IF(AND(A127="client",COUNTIF(الزبائن!$A$6:$A$505,B127)=0),"client key not found; ","")&amp;IF(AND(A127="proposed_name",COUNTIF('أسماء مقترحة'!$A$6:$A$505,B127)=0),"proposed_name key not found; ","")&amp;IF(AND(D127="mobile",J127&lt;&gt;"invalid",NOT(OR(AND(LEN(E127&amp;"")=10,LEFT(E127&amp;"",2)="09"),AND(LEN(E127&amp;"")=9,LEFT(E127&amp;"",1)="9")))),"mobile must be 09XXXXXXXX or status invalid; ","")&amp;IF(COUNTIFS($A$6:$A$505,A127,$B$6:$B$505,B127,$E$6:$E$505,E127)&gt;1,"duplicate number for same entity; ",""))))</f>
        <v/>
      </c>
    </row>
    <row r="128" spans="1:14">
      <c r="A128" s="23"/>
      <c r="B128" s="24"/>
      <c r="C128" s="25"/>
      <c r="D128" s="25"/>
      <c r="E128" s="24"/>
      <c r="F128" s="24"/>
      <c r="G128" s="25"/>
      <c r="H128" s="25"/>
      <c r="I128" s="25"/>
      <c r="J128" s="25"/>
      <c r="K128" s="25"/>
      <c r="L128" s="25"/>
      <c r="M128" s="25" t="str">
        <f>IF(AND(A128="",B128="",E128=""),"",IF(OR(A128="",B128="",C128="",D128="",E128="",J128="",AND(A128="client",COUNTIF(الزبائن!$A$6:$A$505,B128)=0),AND(A128="proposed_name",COUNTIF('أسماء مقترحة'!$A$6:$A$505,B128)=0),AND(D128="mobile",J128&lt;&gt;"invalid",NOT(OR(AND(LEN(E128&amp;"")=10,LEFT(E128&amp;"",2)="09"),AND(LEN(E128&amp;"")=9,LEFT(E128&amp;"",1)="9")))),COUNTIFS($A$6:$A$505,A128,$B$6:$B$505,B128,$E$6:$E$505,E128)&gt;1),"REVIEW","READY"))</f>
        <v/>
      </c>
      <c r="N128" s="27" t="str">
        <f>IF(M128="","",IF(M128="READY","",TRIM(IF(A128="","missing entity_type; ","")&amp;IF(B128="","missing entity_key; ","")&amp;IF(C128="","missing contact_order; ","")&amp;IF(D128="","missing contact_type; ","")&amp;IF(E128="","missing number; ","")&amp;IF(J128="","missing status; ","")&amp;IF(AND(A128="client",COUNTIF(الزبائن!$A$6:$A$505,B128)=0),"client key not found; ","")&amp;IF(AND(A128="proposed_name",COUNTIF('أسماء مقترحة'!$A$6:$A$505,B128)=0),"proposed_name key not found; ","")&amp;IF(AND(D128="mobile",J128&lt;&gt;"invalid",NOT(OR(AND(LEN(E128&amp;"")=10,LEFT(E128&amp;"",2)="09"),AND(LEN(E128&amp;"")=9,LEFT(E128&amp;"",1)="9")))),"mobile must be 09XXXXXXXX or status invalid; ","")&amp;IF(COUNTIFS($A$6:$A$505,A128,$B$6:$B$505,B128,$E$6:$E$505,E128)&gt;1,"duplicate number for same entity; ",""))))</f>
        <v/>
      </c>
    </row>
    <row r="129" spans="1:14">
      <c r="A129" s="23"/>
      <c r="B129" s="24"/>
      <c r="C129" s="25"/>
      <c r="D129" s="25"/>
      <c r="E129" s="24"/>
      <c r="F129" s="24"/>
      <c r="G129" s="25"/>
      <c r="H129" s="25"/>
      <c r="I129" s="25"/>
      <c r="J129" s="25"/>
      <c r="K129" s="25"/>
      <c r="L129" s="25"/>
      <c r="M129" s="25" t="str">
        <f>IF(AND(A129="",B129="",E129=""),"",IF(OR(A129="",B129="",C129="",D129="",E129="",J129="",AND(A129="client",COUNTIF(الزبائن!$A$6:$A$505,B129)=0),AND(A129="proposed_name",COUNTIF('أسماء مقترحة'!$A$6:$A$505,B129)=0),AND(D129="mobile",J129&lt;&gt;"invalid",NOT(OR(AND(LEN(E129&amp;"")=10,LEFT(E129&amp;"",2)="09"),AND(LEN(E129&amp;"")=9,LEFT(E129&amp;"",1)="9")))),COUNTIFS($A$6:$A$505,A129,$B$6:$B$505,B129,$E$6:$E$505,E129)&gt;1),"REVIEW","READY"))</f>
        <v/>
      </c>
      <c r="N129" s="27" t="str">
        <f>IF(M129="","",IF(M129="READY","",TRIM(IF(A129="","missing entity_type; ","")&amp;IF(B129="","missing entity_key; ","")&amp;IF(C129="","missing contact_order; ","")&amp;IF(D129="","missing contact_type; ","")&amp;IF(E129="","missing number; ","")&amp;IF(J129="","missing status; ","")&amp;IF(AND(A129="client",COUNTIF(الزبائن!$A$6:$A$505,B129)=0),"client key not found; ","")&amp;IF(AND(A129="proposed_name",COUNTIF('أسماء مقترحة'!$A$6:$A$505,B129)=0),"proposed_name key not found; ","")&amp;IF(AND(D129="mobile",J129&lt;&gt;"invalid",NOT(OR(AND(LEN(E129&amp;"")=10,LEFT(E129&amp;"",2)="09"),AND(LEN(E129&amp;"")=9,LEFT(E129&amp;"",1)="9")))),"mobile must be 09XXXXXXXX or status invalid; ","")&amp;IF(COUNTIFS($A$6:$A$505,A129,$B$6:$B$505,B129,$E$6:$E$505,E129)&gt;1,"duplicate number for same entity; ",""))))</f>
        <v/>
      </c>
    </row>
    <row r="130" spans="1:14">
      <c r="A130" s="23"/>
      <c r="B130" s="24"/>
      <c r="C130" s="25"/>
      <c r="D130" s="25"/>
      <c r="E130" s="24"/>
      <c r="F130" s="24"/>
      <c r="G130" s="25"/>
      <c r="H130" s="25"/>
      <c r="I130" s="25"/>
      <c r="J130" s="25"/>
      <c r="K130" s="25"/>
      <c r="L130" s="25"/>
      <c r="M130" s="25" t="str">
        <f>IF(AND(A130="",B130="",E130=""),"",IF(OR(A130="",B130="",C130="",D130="",E130="",J130="",AND(A130="client",COUNTIF(الزبائن!$A$6:$A$505,B130)=0),AND(A130="proposed_name",COUNTIF('أسماء مقترحة'!$A$6:$A$505,B130)=0),AND(D130="mobile",J130&lt;&gt;"invalid",NOT(OR(AND(LEN(E130&amp;"")=10,LEFT(E130&amp;"",2)="09"),AND(LEN(E130&amp;"")=9,LEFT(E130&amp;"",1)="9")))),COUNTIFS($A$6:$A$505,A130,$B$6:$B$505,B130,$E$6:$E$505,E130)&gt;1),"REVIEW","READY"))</f>
        <v/>
      </c>
      <c r="N130" s="27" t="str">
        <f>IF(M130="","",IF(M130="READY","",TRIM(IF(A130="","missing entity_type; ","")&amp;IF(B130="","missing entity_key; ","")&amp;IF(C130="","missing contact_order; ","")&amp;IF(D130="","missing contact_type; ","")&amp;IF(E130="","missing number; ","")&amp;IF(J130="","missing status; ","")&amp;IF(AND(A130="client",COUNTIF(الزبائن!$A$6:$A$505,B130)=0),"client key not found; ","")&amp;IF(AND(A130="proposed_name",COUNTIF('أسماء مقترحة'!$A$6:$A$505,B130)=0),"proposed_name key not found; ","")&amp;IF(AND(D130="mobile",J130&lt;&gt;"invalid",NOT(OR(AND(LEN(E130&amp;"")=10,LEFT(E130&amp;"",2)="09"),AND(LEN(E130&amp;"")=9,LEFT(E130&amp;"",1)="9")))),"mobile must be 09XXXXXXXX or status invalid; ","")&amp;IF(COUNTIFS($A$6:$A$505,A130,$B$6:$B$505,B130,$E$6:$E$505,E130)&gt;1,"duplicate number for same entity; ",""))))</f>
        <v/>
      </c>
    </row>
    <row r="131" spans="1:14">
      <c r="A131" s="23"/>
      <c r="B131" s="24"/>
      <c r="C131" s="25"/>
      <c r="D131" s="25"/>
      <c r="E131" s="24"/>
      <c r="F131" s="24"/>
      <c r="G131" s="25"/>
      <c r="H131" s="25"/>
      <c r="I131" s="25"/>
      <c r="J131" s="25"/>
      <c r="K131" s="25"/>
      <c r="L131" s="25"/>
      <c r="M131" s="25" t="str">
        <f>IF(AND(A131="",B131="",E131=""),"",IF(OR(A131="",B131="",C131="",D131="",E131="",J131="",AND(A131="client",COUNTIF(الزبائن!$A$6:$A$505,B131)=0),AND(A131="proposed_name",COUNTIF('أسماء مقترحة'!$A$6:$A$505,B131)=0),AND(D131="mobile",J131&lt;&gt;"invalid",NOT(OR(AND(LEN(E131&amp;"")=10,LEFT(E131&amp;"",2)="09"),AND(LEN(E131&amp;"")=9,LEFT(E131&amp;"",1)="9")))),COUNTIFS($A$6:$A$505,A131,$B$6:$B$505,B131,$E$6:$E$505,E131)&gt;1),"REVIEW","READY"))</f>
        <v/>
      </c>
      <c r="N131" s="27" t="str">
        <f>IF(M131="","",IF(M131="READY","",TRIM(IF(A131="","missing entity_type; ","")&amp;IF(B131="","missing entity_key; ","")&amp;IF(C131="","missing contact_order; ","")&amp;IF(D131="","missing contact_type; ","")&amp;IF(E131="","missing number; ","")&amp;IF(J131="","missing status; ","")&amp;IF(AND(A131="client",COUNTIF(الزبائن!$A$6:$A$505,B131)=0),"client key not found; ","")&amp;IF(AND(A131="proposed_name",COUNTIF('أسماء مقترحة'!$A$6:$A$505,B131)=0),"proposed_name key not found; ","")&amp;IF(AND(D131="mobile",J131&lt;&gt;"invalid",NOT(OR(AND(LEN(E131&amp;"")=10,LEFT(E131&amp;"",2)="09"),AND(LEN(E131&amp;"")=9,LEFT(E131&amp;"",1)="9")))),"mobile must be 09XXXXXXXX or status invalid; ","")&amp;IF(COUNTIFS($A$6:$A$505,A131,$B$6:$B$505,B131,$E$6:$E$505,E131)&gt;1,"duplicate number for same entity; ",""))))</f>
        <v/>
      </c>
    </row>
    <row r="132" spans="1:14">
      <c r="A132" s="23"/>
      <c r="B132" s="24"/>
      <c r="C132" s="25"/>
      <c r="D132" s="25"/>
      <c r="E132" s="24"/>
      <c r="F132" s="24"/>
      <c r="G132" s="25"/>
      <c r="H132" s="25"/>
      <c r="I132" s="25"/>
      <c r="J132" s="25"/>
      <c r="K132" s="25"/>
      <c r="L132" s="25"/>
      <c r="M132" s="25" t="str">
        <f>IF(AND(A132="",B132="",E132=""),"",IF(OR(A132="",B132="",C132="",D132="",E132="",J132="",AND(A132="client",COUNTIF(الزبائن!$A$6:$A$505,B132)=0),AND(A132="proposed_name",COUNTIF('أسماء مقترحة'!$A$6:$A$505,B132)=0),AND(D132="mobile",J132&lt;&gt;"invalid",NOT(OR(AND(LEN(E132&amp;"")=10,LEFT(E132&amp;"",2)="09"),AND(LEN(E132&amp;"")=9,LEFT(E132&amp;"",1)="9")))),COUNTIFS($A$6:$A$505,A132,$B$6:$B$505,B132,$E$6:$E$505,E132)&gt;1),"REVIEW","READY"))</f>
        <v/>
      </c>
      <c r="N132" s="27" t="str">
        <f>IF(M132="","",IF(M132="READY","",TRIM(IF(A132="","missing entity_type; ","")&amp;IF(B132="","missing entity_key; ","")&amp;IF(C132="","missing contact_order; ","")&amp;IF(D132="","missing contact_type; ","")&amp;IF(E132="","missing number; ","")&amp;IF(J132="","missing status; ","")&amp;IF(AND(A132="client",COUNTIF(الزبائن!$A$6:$A$505,B132)=0),"client key not found; ","")&amp;IF(AND(A132="proposed_name",COUNTIF('أسماء مقترحة'!$A$6:$A$505,B132)=0),"proposed_name key not found; ","")&amp;IF(AND(D132="mobile",J132&lt;&gt;"invalid",NOT(OR(AND(LEN(E132&amp;"")=10,LEFT(E132&amp;"",2)="09"),AND(LEN(E132&amp;"")=9,LEFT(E132&amp;"",1)="9")))),"mobile must be 09XXXXXXXX or status invalid; ","")&amp;IF(COUNTIFS($A$6:$A$505,A132,$B$6:$B$505,B132,$E$6:$E$505,E132)&gt;1,"duplicate number for same entity; ",""))))</f>
        <v/>
      </c>
    </row>
    <row r="133" spans="1:14">
      <c r="A133" s="23"/>
      <c r="B133" s="24"/>
      <c r="C133" s="25"/>
      <c r="D133" s="25"/>
      <c r="E133" s="24"/>
      <c r="F133" s="24"/>
      <c r="G133" s="25"/>
      <c r="H133" s="25"/>
      <c r="I133" s="25"/>
      <c r="J133" s="25"/>
      <c r="K133" s="25"/>
      <c r="L133" s="25"/>
      <c r="M133" s="25" t="str">
        <f>IF(AND(A133="",B133="",E133=""),"",IF(OR(A133="",B133="",C133="",D133="",E133="",J133="",AND(A133="client",COUNTIF(الزبائن!$A$6:$A$505,B133)=0),AND(A133="proposed_name",COUNTIF('أسماء مقترحة'!$A$6:$A$505,B133)=0),AND(D133="mobile",J133&lt;&gt;"invalid",NOT(OR(AND(LEN(E133&amp;"")=10,LEFT(E133&amp;"",2)="09"),AND(LEN(E133&amp;"")=9,LEFT(E133&amp;"",1)="9")))),COUNTIFS($A$6:$A$505,A133,$B$6:$B$505,B133,$E$6:$E$505,E133)&gt;1),"REVIEW","READY"))</f>
        <v/>
      </c>
      <c r="N133" s="27" t="str">
        <f>IF(M133="","",IF(M133="READY","",TRIM(IF(A133="","missing entity_type; ","")&amp;IF(B133="","missing entity_key; ","")&amp;IF(C133="","missing contact_order; ","")&amp;IF(D133="","missing contact_type; ","")&amp;IF(E133="","missing number; ","")&amp;IF(J133="","missing status; ","")&amp;IF(AND(A133="client",COUNTIF(الزبائن!$A$6:$A$505,B133)=0),"client key not found; ","")&amp;IF(AND(A133="proposed_name",COUNTIF('أسماء مقترحة'!$A$6:$A$505,B133)=0),"proposed_name key not found; ","")&amp;IF(AND(D133="mobile",J133&lt;&gt;"invalid",NOT(OR(AND(LEN(E133&amp;"")=10,LEFT(E133&amp;"",2)="09"),AND(LEN(E133&amp;"")=9,LEFT(E133&amp;"",1)="9")))),"mobile must be 09XXXXXXXX or status invalid; ","")&amp;IF(COUNTIFS($A$6:$A$505,A133,$B$6:$B$505,B133,$E$6:$E$505,E133)&gt;1,"duplicate number for same entity; ",""))))</f>
        <v/>
      </c>
    </row>
    <row r="134" spans="1:14">
      <c r="A134" s="23"/>
      <c r="B134" s="24"/>
      <c r="C134" s="25"/>
      <c r="D134" s="25"/>
      <c r="E134" s="24"/>
      <c r="F134" s="24"/>
      <c r="G134" s="25"/>
      <c r="H134" s="25"/>
      <c r="I134" s="25"/>
      <c r="J134" s="25"/>
      <c r="K134" s="25"/>
      <c r="L134" s="25"/>
      <c r="M134" s="25" t="str">
        <f>IF(AND(A134="",B134="",E134=""),"",IF(OR(A134="",B134="",C134="",D134="",E134="",J134="",AND(A134="client",COUNTIF(الزبائن!$A$6:$A$505,B134)=0),AND(A134="proposed_name",COUNTIF('أسماء مقترحة'!$A$6:$A$505,B134)=0),AND(D134="mobile",J134&lt;&gt;"invalid",NOT(OR(AND(LEN(E134&amp;"")=10,LEFT(E134&amp;"",2)="09"),AND(LEN(E134&amp;"")=9,LEFT(E134&amp;"",1)="9")))),COUNTIFS($A$6:$A$505,A134,$B$6:$B$505,B134,$E$6:$E$505,E134)&gt;1),"REVIEW","READY"))</f>
        <v/>
      </c>
      <c r="N134" s="27" t="str">
        <f>IF(M134="","",IF(M134="READY","",TRIM(IF(A134="","missing entity_type; ","")&amp;IF(B134="","missing entity_key; ","")&amp;IF(C134="","missing contact_order; ","")&amp;IF(D134="","missing contact_type; ","")&amp;IF(E134="","missing number; ","")&amp;IF(J134="","missing status; ","")&amp;IF(AND(A134="client",COUNTIF(الزبائن!$A$6:$A$505,B134)=0),"client key not found; ","")&amp;IF(AND(A134="proposed_name",COUNTIF('أسماء مقترحة'!$A$6:$A$505,B134)=0),"proposed_name key not found; ","")&amp;IF(AND(D134="mobile",J134&lt;&gt;"invalid",NOT(OR(AND(LEN(E134&amp;"")=10,LEFT(E134&amp;"",2)="09"),AND(LEN(E134&amp;"")=9,LEFT(E134&amp;"",1)="9")))),"mobile must be 09XXXXXXXX or status invalid; ","")&amp;IF(COUNTIFS($A$6:$A$505,A134,$B$6:$B$505,B134,$E$6:$E$505,E134)&gt;1,"duplicate number for same entity; ",""))))</f>
        <v/>
      </c>
    </row>
    <row r="135" spans="1:14">
      <c r="A135" s="23"/>
      <c r="B135" s="24"/>
      <c r="C135" s="25"/>
      <c r="D135" s="25"/>
      <c r="E135" s="24"/>
      <c r="F135" s="24"/>
      <c r="G135" s="25"/>
      <c r="H135" s="25"/>
      <c r="I135" s="25"/>
      <c r="J135" s="25"/>
      <c r="K135" s="25"/>
      <c r="L135" s="25"/>
      <c r="M135" s="25" t="str">
        <f>IF(AND(A135="",B135="",E135=""),"",IF(OR(A135="",B135="",C135="",D135="",E135="",J135="",AND(A135="client",COUNTIF(الزبائن!$A$6:$A$505,B135)=0),AND(A135="proposed_name",COUNTIF('أسماء مقترحة'!$A$6:$A$505,B135)=0),AND(D135="mobile",J135&lt;&gt;"invalid",NOT(OR(AND(LEN(E135&amp;"")=10,LEFT(E135&amp;"",2)="09"),AND(LEN(E135&amp;"")=9,LEFT(E135&amp;"",1)="9")))),COUNTIFS($A$6:$A$505,A135,$B$6:$B$505,B135,$E$6:$E$505,E135)&gt;1),"REVIEW","READY"))</f>
        <v/>
      </c>
      <c r="N135" s="27" t="str">
        <f>IF(M135="","",IF(M135="READY","",TRIM(IF(A135="","missing entity_type; ","")&amp;IF(B135="","missing entity_key; ","")&amp;IF(C135="","missing contact_order; ","")&amp;IF(D135="","missing contact_type; ","")&amp;IF(E135="","missing number; ","")&amp;IF(J135="","missing status; ","")&amp;IF(AND(A135="client",COUNTIF(الزبائن!$A$6:$A$505,B135)=0),"client key not found; ","")&amp;IF(AND(A135="proposed_name",COUNTIF('أسماء مقترحة'!$A$6:$A$505,B135)=0),"proposed_name key not found; ","")&amp;IF(AND(D135="mobile",J135&lt;&gt;"invalid",NOT(OR(AND(LEN(E135&amp;"")=10,LEFT(E135&amp;"",2)="09"),AND(LEN(E135&amp;"")=9,LEFT(E135&amp;"",1)="9")))),"mobile must be 09XXXXXXXX or status invalid; ","")&amp;IF(COUNTIFS($A$6:$A$505,A135,$B$6:$B$505,B135,$E$6:$E$505,E135)&gt;1,"duplicate number for same entity; ",""))))</f>
        <v/>
      </c>
    </row>
    <row r="136" spans="1:14">
      <c r="A136" s="23"/>
      <c r="B136" s="24"/>
      <c r="C136" s="25"/>
      <c r="D136" s="25"/>
      <c r="E136" s="24"/>
      <c r="F136" s="24"/>
      <c r="G136" s="25"/>
      <c r="H136" s="25"/>
      <c r="I136" s="25"/>
      <c r="J136" s="25"/>
      <c r="K136" s="25"/>
      <c r="L136" s="25"/>
      <c r="M136" s="25" t="str">
        <f>IF(AND(A136="",B136="",E136=""),"",IF(OR(A136="",B136="",C136="",D136="",E136="",J136="",AND(A136="client",COUNTIF(الزبائن!$A$6:$A$505,B136)=0),AND(A136="proposed_name",COUNTIF('أسماء مقترحة'!$A$6:$A$505,B136)=0),AND(D136="mobile",J136&lt;&gt;"invalid",NOT(OR(AND(LEN(E136&amp;"")=10,LEFT(E136&amp;"",2)="09"),AND(LEN(E136&amp;"")=9,LEFT(E136&amp;"",1)="9")))),COUNTIFS($A$6:$A$505,A136,$B$6:$B$505,B136,$E$6:$E$505,E136)&gt;1),"REVIEW","READY"))</f>
        <v/>
      </c>
      <c r="N136" s="27" t="str">
        <f>IF(M136="","",IF(M136="READY","",TRIM(IF(A136="","missing entity_type; ","")&amp;IF(B136="","missing entity_key; ","")&amp;IF(C136="","missing contact_order; ","")&amp;IF(D136="","missing contact_type; ","")&amp;IF(E136="","missing number; ","")&amp;IF(J136="","missing status; ","")&amp;IF(AND(A136="client",COUNTIF(الزبائن!$A$6:$A$505,B136)=0),"client key not found; ","")&amp;IF(AND(A136="proposed_name",COUNTIF('أسماء مقترحة'!$A$6:$A$505,B136)=0),"proposed_name key not found; ","")&amp;IF(AND(D136="mobile",J136&lt;&gt;"invalid",NOT(OR(AND(LEN(E136&amp;"")=10,LEFT(E136&amp;"",2)="09"),AND(LEN(E136&amp;"")=9,LEFT(E136&amp;"",1)="9")))),"mobile must be 09XXXXXXXX or status invalid; ","")&amp;IF(COUNTIFS($A$6:$A$505,A136,$B$6:$B$505,B136,$E$6:$E$505,E136)&gt;1,"duplicate number for same entity; ",""))))</f>
        <v/>
      </c>
    </row>
    <row r="137" spans="1:14">
      <c r="A137" s="23"/>
      <c r="B137" s="24"/>
      <c r="C137" s="25"/>
      <c r="D137" s="25"/>
      <c r="E137" s="24"/>
      <c r="F137" s="24"/>
      <c r="G137" s="25"/>
      <c r="H137" s="25"/>
      <c r="I137" s="25"/>
      <c r="J137" s="25"/>
      <c r="K137" s="25"/>
      <c r="L137" s="25"/>
      <c r="M137" s="25" t="str">
        <f>IF(AND(A137="",B137="",E137=""),"",IF(OR(A137="",B137="",C137="",D137="",E137="",J137="",AND(A137="client",COUNTIF(الزبائن!$A$6:$A$505,B137)=0),AND(A137="proposed_name",COUNTIF('أسماء مقترحة'!$A$6:$A$505,B137)=0),AND(D137="mobile",J137&lt;&gt;"invalid",NOT(OR(AND(LEN(E137&amp;"")=10,LEFT(E137&amp;"",2)="09"),AND(LEN(E137&amp;"")=9,LEFT(E137&amp;"",1)="9")))),COUNTIFS($A$6:$A$505,A137,$B$6:$B$505,B137,$E$6:$E$505,E137)&gt;1),"REVIEW","READY"))</f>
        <v/>
      </c>
      <c r="N137" s="27" t="str">
        <f>IF(M137="","",IF(M137="READY","",TRIM(IF(A137="","missing entity_type; ","")&amp;IF(B137="","missing entity_key; ","")&amp;IF(C137="","missing contact_order; ","")&amp;IF(D137="","missing contact_type; ","")&amp;IF(E137="","missing number; ","")&amp;IF(J137="","missing status; ","")&amp;IF(AND(A137="client",COUNTIF(الزبائن!$A$6:$A$505,B137)=0),"client key not found; ","")&amp;IF(AND(A137="proposed_name",COUNTIF('أسماء مقترحة'!$A$6:$A$505,B137)=0),"proposed_name key not found; ","")&amp;IF(AND(D137="mobile",J137&lt;&gt;"invalid",NOT(OR(AND(LEN(E137&amp;"")=10,LEFT(E137&amp;"",2)="09"),AND(LEN(E137&amp;"")=9,LEFT(E137&amp;"",1)="9")))),"mobile must be 09XXXXXXXX or status invalid; ","")&amp;IF(COUNTIFS($A$6:$A$505,A137,$B$6:$B$505,B137,$E$6:$E$505,E137)&gt;1,"duplicate number for same entity; ",""))))</f>
        <v/>
      </c>
    </row>
    <row r="138" spans="1:14">
      <c r="A138" s="23"/>
      <c r="B138" s="24"/>
      <c r="C138" s="25"/>
      <c r="D138" s="25"/>
      <c r="E138" s="24"/>
      <c r="F138" s="24"/>
      <c r="G138" s="25"/>
      <c r="H138" s="25"/>
      <c r="I138" s="25"/>
      <c r="J138" s="25"/>
      <c r="K138" s="25"/>
      <c r="L138" s="25"/>
      <c r="M138" s="25" t="str">
        <f>IF(AND(A138="",B138="",E138=""),"",IF(OR(A138="",B138="",C138="",D138="",E138="",J138="",AND(A138="client",COUNTIF(الزبائن!$A$6:$A$505,B138)=0),AND(A138="proposed_name",COUNTIF('أسماء مقترحة'!$A$6:$A$505,B138)=0),AND(D138="mobile",J138&lt;&gt;"invalid",NOT(OR(AND(LEN(E138&amp;"")=10,LEFT(E138&amp;"",2)="09"),AND(LEN(E138&amp;"")=9,LEFT(E138&amp;"",1)="9")))),COUNTIFS($A$6:$A$505,A138,$B$6:$B$505,B138,$E$6:$E$505,E138)&gt;1),"REVIEW","READY"))</f>
        <v/>
      </c>
      <c r="N138" s="27" t="str">
        <f>IF(M138="","",IF(M138="READY","",TRIM(IF(A138="","missing entity_type; ","")&amp;IF(B138="","missing entity_key; ","")&amp;IF(C138="","missing contact_order; ","")&amp;IF(D138="","missing contact_type; ","")&amp;IF(E138="","missing number; ","")&amp;IF(J138="","missing status; ","")&amp;IF(AND(A138="client",COUNTIF(الزبائن!$A$6:$A$505,B138)=0),"client key not found; ","")&amp;IF(AND(A138="proposed_name",COUNTIF('أسماء مقترحة'!$A$6:$A$505,B138)=0),"proposed_name key not found; ","")&amp;IF(AND(D138="mobile",J138&lt;&gt;"invalid",NOT(OR(AND(LEN(E138&amp;"")=10,LEFT(E138&amp;"",2)="09"),AND(LEN(E138&amp;"")=9,LEFT(E138&amp;"",1)="9")))),"mobile must be 09XXXXXXXX or status invalid; ","")&amp;IF(COUNTIFS($A$6:$A$505,A138,$B$6:$B$505,B138,$E$6:$E$505,E138)&gt;1,"duplicate number for same entity; ",""))))</f>
        <v/>
      </c>
    </row>
    <row r="139" spans="1:14">
      <c r="A139" s="23"/>
      <c r="B139" s="24"/>
      <c r="C139" s="25"/>
      <c r="D139" s="25"/>
      <c r="E139" s="24"/>
      <c r="F139" s="24"/>
      <c r="G139" s="25"/>
      <c r="H139" s="25"/>
      <c r="I139" s="25"/>
      <c r="J139" s="25"/>
      <c r="K139" s="25"/>
      <c r="L139" s="25"/>
      <c r="M139" s="25" t="str">
        <f>IF(AND(A139="",B139="",E139=""),"",IF(OR(A139="",B139="",C139="",D139="",E139="",J139="",AND(A139="client",COUNTIF(الزبائن!$A$6:$A$505,B139)=0),AND(A139="proposed_name",COUNTIF('أسماء مقترحة'!$A$6:$A$505,B139)=0),AND(D139="mobile",J139&lt;&gt;"invalid",NOT(OR(AND(LEN(E139&amp;"")=10,LEFT(E139&amp;"",2)="09"),AND(LEN(E139&amp;"")=9,LEFT(E139&amp;"",1)="9")))),COUNTIFS($A$6:$A$505,A139,$B$6:$B$505,B139,$E$6:$E$505,E139)&gt;1),"REVIEW","READY"))</f>
        <v/>
      </c>
      <c r="N139" s="27" t="str">
        <f>IF(M139="","",IF(M139="READY","",TRIM(IF(A139="","missing entity_type; ","")&amp;IF(B139="","missing entity_key; ","")&amp;IF(C139="","missing contact_order; ","")&amp;IF(D139="","missing contact_type; ","")&amp;IF(E139="","missing number; ","")&amp;IF(J139="","missing status; ","")&amp;IF(AND(A139="client",COUNTIF(الزبائن!$A$6:$A$505,B139)=0),"client key not found; ","")&amp;IF(AND(A139="proposed_name",COUNTIF('أسماء مقترحة'!$A$6:$A$505,B139)=0),"proposed_name key not found; ","")&amp;IF(AND(D139="mobile",J139&lt;&gt;"invalid",NOT(OR(AND(LEN(E139&amp;"")=10,LEFT(E139&amp;"",2)="09"),AND(LEN(E139&amp;"")=9,LEFT(E139&amp;"",1)="9")))),"mobile must be 09XXXXXXXX or status invalid; ","")&amp;IF(COUNTIFS($A$6:$A$505,A139,$B$6:$B$505,B139,$E$6:$E$505,E139)&gt;1,"duplicate number for same entity; ",""))))</f>
        <v/>
      </c>
    </row>
    <row r="140" spans="1:14">
      <c r="A140" s="23"/>
      <c r="B140" s="24"/>
      <c r="C140" s="25"/>
      <c r="D140" s="25"/>
      <c r="E140" s="24"/>
      <c r="F140" s="24"/>
      <c r="G140" s="25"/>
      <c r="H140" s="25"/>
      <c r="I140" s="25"/>
      <c r="J140" s="25"/>
      <c r="K140" s="25"/>
      <c r="L140" s="25"/>
      <c r="M140" s="25" t="str">
        <f>IF(AND(A140="",B140="",E140=""),"",IF(OR(A140="",B140="",C140="",D140="",E140="",J140="",AND(A140="client",COUNTIF(الزبائن!$A$6:$A$505,B140)=0),AND(A140="proposed_name",COUNTIF('أسماء مقترحة'!$A$6:$A$505,B140)=0),AND(D140="mobile",J140&lt;&gt;"invalid",NOT(OR(AND(LEN(E140&amp;"")=10,LEFT(E140&amp;"",2)="09"),AND(LEN(E140&amp;"")=9,LEFT(E140&amp;"",1)="9")))),COUNTIFS($A$6:$A$505,A140,$B$6:$B$505,B140,$E$6:$E$505,E140)&gt;1),"REVIEW","READY"))</f>
        <v/>
      </c>
      <c r="N140" s="27" t="str">
        <f>IF(M140="","",IF(M140="READY","",TRIM(IF(A140="","missing entity_type; ","")&amp;IF(B140="","missing entity_key; ","")&amp;IF(C140="","missing contact_order; ","")&amp;IF(D140="","missing contact_type; ","")&amp;IF(E140="","missing number; ","")&amp;IF(J140="","missing status; ","")&amp;IF(AND(A140="client",COUNTIF(الزبائن!$A$6:$A$505,B140)=0),"client key not found; ","")&amp;IF(AND(A140="proposed_name",COUNTIF('أسماء مقترحة'!$A$6:$A$505,B140)=0),"proposed_name key not found; ","")&amp;IF(AND(D140="mobile",J140&lt;&gt;"invalid",NOT(OR(AND(LEN(E140&amp;"")=10,LEFT(E140&amp;"",2)="09"),AND(LEN(E140&amp;"")=9,LEFT(E140&amp;"",1)="9")))),"mobile must be 09XXXXXXXX or status invalid; ","")&amp;IF(COUNTIFS($A$6:$A$505,A140,$B$6:$B$505,B140,$E$6:$E$505,E140)&gt;1,"duplicate number for same entity; ",""))))</f>
        <v/>
      </c>
    </row>
    <row r="141" spans="1:14">
      <c r="A141" s="23"/>
      <c r="B141" s="24"/>
      <c r="C141" s="25"/>
      <c r="D141" s="25"/>
      <c r="E141" s="24"/>
      <c r="F141" s="24"/>
      <c r="G141" s="25"/>
      <c r="H141" s="25"/>
      <c r="I141" s="25"/>
      <c r="J141" s="25"/>
      <c r="K141" s="25"/>
      <c r="L141" s="25"/>
      <c r="M141" s="25" t="str">
        <f>IF(AND(A141="",B141="",E141=""),"",IF(OR(A141="",B141="",C141="",D141="",E141="",J141="",AND(A141="client",COUNTIF(الزبائن!$A$6:$A$505,B141)=0),AND(A141="proposed_name",COUNTIF('أسماء مقترحة'!$A$6:$A$505,B141)=0),AND(D141="mobile",J141&lt;&gt;"invalid",NOT(OR(AND(LEN(E141&amp;"")=10,LEFT(E141&amp;"",2)="09"),AND(LEN(E141&amp;"")=9,LEFT(E141&amp;"",1)="9")))),COUNTIFS($A$6:$A$505,A141,$B$6:$B$505,B141,$E$6:$E$505,E141)&gt;1),"REVIEW","READY"))</f>
        <v/>
      </c>
      <c r="N141" s="27" t="str">
        <f>IF(M141="","",IF(M141="READY","",TRIM(IF(A141="","missing entity_type; ","")&amp;IF(B141="","missing entity_key; ","")&amp;IF(C141="","missing contact_order; ","")&amp;IF(D141="","missing contact_type; ","")&amp;IF(E141="","missing number; ","")&amp;IF(J141="","missing status; ","")&amp;IF(AND(A141="client",COUNTIF(الزبائن!$A$6:$A$505,B141)=0),"client key not found; ","")&amp;IF(AND(A141="proposed_name",COUNTIF('أسماء مقترحة'!$A$6:$A$505,B141)=0),"proposed_name key not found; ","")&amp;IF(AND(D141="mobile",J141&lt;&gt;"invalid",NOT(OR(AND(LEN(E141&amp;"")=10,LEFT(E141&amp;"",2)="09"),AND(LEN(E141&amp;"")=9,LEFT(E141&amp;"",1)="9")))),"mobile must be 09XXXXXXXX or status invalid; ","")&amp;IF(COUNTIFS($A$6:$A$505,A141,$B$6:$B$505,B141,$E$6:$E$505,E141)&gt;1,"duplicate number for same entity; ",""))))</f>
        <v/>
      </c>
    </row>
    <row r="142" spans="1:14">
      <c r="A142" s="23"/>
      <c r="B142" s="24"/>
      <c r="C142" s="25"/>
      <c r="D142" s="25"/>
      <c r="E142" s="24"/>
      <c r="F142" s="24"/>
      <c r="G142" s="25"/>
      <c r="H142" s="25"/>
      <c r="I142" s="25"/>
      <c r="J142" s="25"/>
      <c r="K142" s="25"/>
      <c r="L142" s="25"/>
      <c r="M142" s="25" t="str">
        <f>IF(AND(A142="",B142="",E142=""),"",IF(OR(A142="",B142="",C142="",D142="",E142="",J142="",AND(A142="client",COUNTIF(الزبائن!$A$6:$A$505,B142)=0),AND(A142="proposed_name",COUNTIF('أسماء مقترحة'!$A$6:$A$505,B142)=0),AND(D142="mobile",J142&lt;&gt;"invalid",NOT(OR(AND(LEN(E142&amp;"")=10,LEFT(E142&amp;"",2)="09"),AND(LEN(E142&amp;"")=9,LEFT(E142&amp;"",1)="9")))),COUNTIFS($A$6:$A$505,A142,$B$6:$B$505,B142,$E$6:$E$505,E142)&gt;1),"REVIEW","READY"))</f>
        <v/>
      </c>
      <c r="N142" s="27" t="str">
        <f>IF(M142="","",IF(M142="READY","",TRIM(IF(A142="","missing entity_type; ","")&amp;IF(B142="","missing entity_key; ","")&amp;IF(C142="","missing contact_order; ","")&amp;IF(D142="","missing contact_type; ","")&amp;IF(E142="","missing number; ","")&amp;IF(J142="","missing status; ","")&amp;IF(AND(A142="client",COUNTIF(الزبائن!$A$6:$A$505,B142)=0),"client key not found; ","")&amp;IF(AND(A142="proposed_name",COUNTIF('أسماء مقترحة'!$A$6:$A$505,B142)=0),"proposed_name key not found; ","")&amp;IF(AND(D142="mobile",J142&lt;&gt;"invalid",NOT(OR(AND(LEN(E142&amp;"")=10,LEFT(E142&amp;"",2)="09"),AND(LEN(E142&amp;"")=9,LEFT(E142&amp;"",1)="9")))),"mobile must be 09XXXXXXXX or status invalid; ","")&amp;IF(COUNTIFS($A$6:$A$505,A142,$B$6:$B$505,B142,$E$6:$E$505,E142)&gt;1,"duplicate number for same entity; ",""))))</f>
        <v/>
      </c>
    </row>
    <row r="143" spans="1:14">
      <c r="A143" s="23"/>
      <c r="B143" s="24"/>
      <c r="C143" s="25"/>
      <c r="D143" s="25"/>
      <c r="E143" s="24"/>
      <c r="F143" s="24"/>
      <c r="G143" s="25"/>
      <c r="H143" s="25"/>
      <c r="I143" s="25"/>
      <c r="J143" s="25"/>
      <c r="K143" s="25"/>
      <c r="L143" s="25"/>
      <c r="M143" s="25" t="str">
        <f>IF(AND(A143="",B143="",E143=""),"",IF(OR(A143="",B143="",C143="",D143="",E143="",J143="",AND(A143="client",COUNTIF(الزبائن!$A$6:$A$505,B143)=0),AND(A143="proposed_name",COUNTIF('أسماء مقترحة'!$A$6:$A$505,B143)=0),AND(D143="mobile",J143&lt;&gt;"invalid",NOT(OR(AND(LEN(E143&amp;"")=10,LEFT(E143&amp;"",2)="09"),AND(LEN(E143&amp;"")=9,LEFT(E143&amp;"",1)="9")))),COUNTIFS($A$6:$A$505,A143,$B$6:$B$505,B143,$E$6:$E$505,E143)&gt;1),"REVIEW","READY"))</f>
        <v/>
      </c>
      <c r="N143" s="27" t="str">
        <f>IF(M143="","",IF(M143="READY","",TRIM(IF(A143="","missing entity_type; ","")&amp;IF(B143="","missing entity_key; ","")&amp;IF(C143="","missing contact_order; ","")&amp;IF(D143="","missing contact_type; ","")&amp;IF(E143="","missing number; ","")&amp;IF(J143="","missing status; ","")&amp;IF(AND(A143="client",COUNTIF(الزبائن!$A$6:$A$505,B143)=0),"client key not found; ","")&amp;IF(AND(A143="proposed_name",COUNTIF('أسماء مقترحة'!$A$6:$A$505,B143)=0),"proposed_name key not found; ","")&amp;IF(AND(D143="mobile",J143&lt;&gt;"invalid",NOT(OR(AND(LEN(E143&amp;"")=10,LEFT(E143&amp;"",2)="09"),AND(LEN(E143&amp;"")=9,LEFT(E143&amp;"",1)="9")))),"mobile must be 09XXXXXXXX or status invalid; ","")&amp;IF(COUNTIFS($A$6:$A$505,A143,$B$6:$B$505,B143,$E$6:$E$505,E143)&gt;1,"duplicate number for same entity; ",""))))</f>
        <v/>
      </c>
    </row>
    <row r="144" spans="1:14">
      <c r="A144" s="23"/>
      <c r="B144" s="24"/>
      <c r="C144" s="25"/>
      <c r="D144" s="25"/>
      <c r="E144" s="24"/>
      <c r="F144" s="24"/>
      <c r="G144" s="25"/>
      <c r="H144" s="25"/>
      <c r="I144" s="25"/>
      <c r="J144" s="25"/>
      <c r="K144" s="25"/>
      <c r="L144" s="25"/>
      <c r="M144" s="25" t="str">
        <f>IF(AND(A144="",B144="",E144=""),"",IF(OR(A144="",B144="",C144="",D144="",E144="",J144="",AND(A144="client",COUNTIF(الزبائن!$A$6:$A$505,B144)=0),AND(A144="proposed_name",COUNTIF('أسماء مقترحة'!$A$6:$A$505,B144)=0),AND(D144="mobile",J144&lt;&gt;"invalid",NOT(OR(AND(LEN(E144&amp;"")=10,LEFT(E144&amp;"",2)="09"),AND(LEN(E144&amp;"")=9,LEFT(E144&amp;"",1)="9")))),COUNTIFS($A$6:$A$505,A144,$B$6:$B$505,B144,$E$6:$E$505,E144)&gt;1),"REVIEW","READY"))</f>
        <v/>
      </c>
      <c r="N144" s="27" t="str">
        <f>IF(M144="","",IF(M144="READY","",TRIM(IF(A144="","missing entity_type; ","")&amp;IF(B144="","missing entity_key; ","")&amp;IF(C144="","missing contact_order; ","")&amp;IF(D144="","missing contact_type; ","")&amp;IF(E144="","missing number; ","")&amp;IF(J144="","missing status; ","")&amp;IF(AND(A144="client",COUNTIF(الزبائن!$A$6:$A$505,B144)=0),"client key not found; ","")&amp;IF(AND(A144="proposed_name",COUNTIF('أسماء مقترحة'!$A$6:$A$505,B144)=0),"proposed_name key not found; ","")&amp;IF(AND(D144="mobile",J144&lt;&gt;"invalid",NOT(OR(AND(LEN(E144&amp;"")=10,LEFT(E144&amp;"",2)="09"),AND(LEN(E144&amp;"")=9,LEFT(E144&amp;"",1)="9")))),"mobile must be 09XXXXXXXX or status invalid; ","")&amp;IF(COUNTIFS($A$6:$A$505,A144,$B$6:$B$505,B144,$E$6:$E$505,E144)&gt;1,"duplicate number for same entity; ",""))))</f>
        <v/>
      </c>
    </row>
    <row r="145" spans="1:14">
      <c r="A145" s="23"/>
      <c r="B145" s="24"/>
      <c r="C145" s="25"/>
      <c r="D145" s="25"/>
      <c r="E145" s="24"/>
      <c r="F145" s="24"/>
      <c r="G145" s="25"/>
      <c r="H145" s="25"/>
      <c r="I145" s="25"/>
      <c r="J145" s="25"/>
      <c r="K145" s="25"/>
      <c r="L145" s="25"/>
      <c r="M145" s="25" t="str">
        <f>IF(AND(A145="",B145="",E145=""),"",IF(OR(A145="",B145="",C145="",D145="",E145="",J145="",AND(A145="client",COUNTIF(الزبائن!$A$6:$A$505,B145)=0),AND(A145="proposed_name",COUNTIF('أسماء مقترحة'!$A$6:$A$505,B145)=0),AND(D145="mobile",J145&lt;&gt;"invalid",NOT(OR(AND(LEN(E145&amp;"")=10,LEFT(E145&amp;"",2)="09"),AND(LEN(E145&amp;"")=9,LEFT(E145&amp;"",1)="9")))),COUNTIFS($A$6:$A$505,A145,$B$6:$B$505,B145,$E$6:$E$505,E145)&gt;1),"REVIEW","READY"))</f>
        <v/>
      </c>
      <c r="N145" s="27" t="str">
        <f>IF(M145="","",IF(M145="READY","",TRIM(IF(A145="","missing entity_type; ","")&amp;IF(B145="","missing entity_key; ","")&amp;IF(C145="","missing contact_order; ","")&amp;IF(D145="","missing contact_type; ","")&amp;IF(E145="","missing number; ","")&amp;IF(J145="","missing status; ","")&amp;IF(AND(A145="client",COUNTIF(الزبائن!$A$6:$A$505,B145)=0),"client key not found; ","")&amp;IF(AND(A145="proposed_name",COUNTIF('أسماء مقترحة'!$A$6:$A$505,B145)=0),"proposed_name key not found; ","")&amp;IF(AND(D145="mobile",J145&lt;&gt;"invalid",NOT(OR(AND(LEN(E145&amp;"")=10,LEFT(E145&amp;"",2)="09"),AND(LEN(E145&amp;"")=9,LEFT(E145&amp;"",1)="9")))),"mobile must be 09XXXXXXXX or status invalid; ","")&amp;IF(COUNTIFS($A$6:$A$505,A145,$B$6:$B$505,B145,$E$6:$E$505,E145)&gt;1,"duplicate number for same entity; ",""))))</f>
        <v/>
      </c>
    </row>
    <row r="146" spans="1:14">
      <c r="A146" s="23"/>
      <c r="B146" s="24"/>
      <c r="C146" s="25"/>
      <c r="D146" s="25"/>
      <c r="E146" s="24"/>
      <c r="F146" s="24"/>
      <c r="G146" s="25"/>
      <c r="H146" s="25"/>
      <c r="I146" s="25"/>
      <c r="J146" s="25"/>
      <c r="K146" s="25"/>
      <c r="L146" s="25"/>
      <c r="M146" s="25" t="str">
        <f>IF(AND(A146="",B146="",E146=""),"",IF(OR(A146="",B146="",C146="",D146="",E146="",J146="",AND(A146="client",COUNTIF(الزبائن!$A$6:$A$505,B146)=0),AND(A146="proposed_name",COUNTIF('أسماء مقترحة'!$A$6:$A$505,B146)=0),AND(D146="mobile",J146&lt;&gt;"invalid",NOT(OR(AND(LEN(E146&amp;"")=10,LEFT(E146&amp;"",2)="09"),AND(LEN(E146&amp;"")=9,LEFT(E146&amp;"",1)="9")))),COUNTIFS($A$6:$A$505,A146,$B$6:$B$505,B146,$E$6:$E$505,E146)&gt;1),"REVIEW","READY"))</f>
        <v/>
      </c>
      <c r="N146" s="27" t="str">
        <f>IF(M146="","",IF(M146="READY","",TRIM(IF(A146="","missing entity_type; ","")&amp;IF(B146="","missing entity_key; ","")&amp;IF(C146="","missing contact_order; ","")&amp;IF(D146="","missing contact_type; ","")&amp;IF(E146="","missing number; ","")&amp;IF(J146="","missing status; ","")&amp;IF(AND(A146="client",COUNTIF(الزبائن!$A$6:$A$505,B146)=0),"client key not found; ","")&amp;IF(AND(A146="proposed_name",COUNTIF('أسماء مقترحة'!$A$6:$A$505,B146)=0),"proposed_name key not found; ","")&amp;IF(AND(D146="mobile",J146&lt;&gt;"invalid",NOT(OR(AND(LEN(E146&amp;"")=10,LEFT(E146&amp;"",2)="09"),AND(LEN(E146&amp;"")=9,LEFT(E146&amp;"",1)="9")))),"mobile must be 09XXXXXXXX or status invalid; ","")&amp;IF(COUNTIFS($A$6:$A$505,A146,$B$6:$B$505,B146,$E$6:$E$505,E146)&gt;1,"duplicate number for same entity; ",""))))</f>
        <v/>
      </c>
    </row>
    <row r="147" spans="1:14">
      <c r="A147" s="23"/>
      <c r="B147" s="24"/>
      <c r="C147" s="25"/>
      <c r="D147" s="25"/>
      <c r="E147" s="24"/>
      <c r="F147" s="24"/>
      <c r="G147" s="25"/>
      <c r="H147" s="25"/>
      <c r="I147" s="25"/>
      <c r="J147" s="25"/>
      <c r="K147" s="25"/>
      <c r="L147" s="25"/>
      <c r="M147" s="25" t="str">
        <f>IF(AND(A147="",B147="",E147=""),"",IF(OR(A147="",B147="",C147="",D147="",E147="",J147="",AND(A147="client",COUNTIF(الزبائن!$A$6:$A$505,B147)=0),AND(A147="proposed_name",COUNTIF('أسماء مقترحة'!$A$6:$A$505,B147)=0),AND(D147="mobile",J147&lt;&gt;"invalid",NOT(OR(AND(LEN(E147&amp;"")=10,LEFT(E147&amp;"",2)="09"),AND(LEN(E147&amp;"")=9,LEFT(E147&amp;"",1)="9")))),COUNTIFS($A$6:$A$505,A147,$B$6:$B$505,B147,$E$6:$E$505,E147)&gt;1),"REVIEW","READY"))</f>
        <v/>
      </c>
      <c r="N147" s="27" t="str">
        <f>IF(M147="","",IF(M147="READY","",TRIM(IF(A147="","missing entity_type; ","")&amp;IF(B147="","missing entity_key; ","")&amp;IF(C147="","missing contact_order; ","")&amp;IF(D147="","missing contact_type; ","")&amp;IF(E147="","missing number; ","")&amp;IF(J147="","missing status; ","")&amp;IF(AND(A147="client",COUNTIF(الزبائن!$A$6:$A$505,B147)=0),"client key not found; ","")&amp;IF(AND(A147="proposed_name",COUNTIF('أسماء مقترحة'!$A$6:$A$505,B147)=0),"proposed_name key not found; ","")&amp;IF(AND(D147="mobile",J147&lt;&gt;"invalid",NOT(OR(AND(LEN(E147&amp;"")=10,LEFT(E147&amp;"",2)="09"),AND(LEN(E147&amp;"")=9,LEFT(E147&amp;"",1)="9")))),"mobile must be 09XXXXXXXX or status invalid; ","")&amp;IF(COUNTIFS($A$6:$A$505,A147,$B$6:$B$505,B147,$E$6:$E$505,E147)&gt;1,"duplicate number for same entity; ",""))))</f>
        <v/>
      </c>
    </row>
    <row r="148" spans="1:14">
      <c r="A148" s="23"/>
      <c r="B148" s="24"/>
      <c r="C148" s="25"/>
      <c r="D148" s="25"/>
      <c r="E148" s="24"/>
      <c r="F148" s="24"/>
      <c r="G148" s="25"/>
      <c r="H148" s="25"/>
      <c r="I148" s="25"/>
      <c r="J148" s="25"/>
      <c r="K148" s="25"/>
      <c r="L148" s="25"/>
      <c r="M148" s="25" t="str">
        <f>IF(AND(A148="",B148="",E148=""),"",IF(OR(A148="",B148="",C148="",D148="",E148="",J148="",AND(A148="client",COUNTIF(الزبائن!$A$6:$A$505,B148)=0),AND(A148="proposed_name",COUNTIF('أسماء مقترحة'!$A$6:$A$505,B148)=0),AND(D148="mobile",J148&lt;&gt;"invalid",NOT(OR(AND(LEN(E148&amp;"")=10,LEFT(E148&amp;"",2)="09"),AND(LEN(E148&amp;"")=9,LEFT(E148&amp;"",1)="9")))),COUNTIFS($A$6:$A$505,A148,$B$6:$B$505,B148,$E$6:$E$505,E148)&gt;1),"REVIEW","READY"))</f>
        <v/>
      </c>
      <c r="N148" s="27" t="str">
        <f>IF(M148="","",IF(M148="READY","",TRIM(IF(A148="","missing entity_type; ","")&amp;IF(B148="","missing entity_key; ","")&amp;IF(C148="","missing contact_order; ","")&amp;IF(D148="","missing contact_type; ","")&amp;IF(E148="","missing number; ","")&amp;IF(J148="","missing status; ","")&amp;IF(AND(A148="client",COUNTIF(الزبائن!$A$6:$A$505,B148)=0),"client key not found; ","")&amp;IF(AND(A148="proposed_name",COUNTIF('أسماء مقترحة'!$A$6:$A$505,B148)=0),"proposed_name key not found; ","")&amp;IF(AND(D148="mobile",J148&lt;&gt;"invalid",NOT(OR(AND(LEN(E148&amp;"")=10,LEFT(E148&amp;"",2)="09"),AND(LEN(E148&amp;"")=9,LEFT(E148&amp;"",1)="9")))),"mobile must be 09XXXXXXXX or status invalid; ","")&amp;IF(COUNTIFS($A$6:$A$505,A148,$B$6:$B$505,B148,$E$6:$E$505,E148)&gt;1,"duplicate number for same entity; ",""))))</f>
        <v/>
      </c>
    </row>
    <row r="149" spans="1:14">
      <c r="A149" s="23"/>
      <c r="B149" s="24"/>
      <c r="C149" s="25"/>
      <c r="D149" s="25"/>
      <c r="E149" s="24"/>
      <c r="F149" s="24"/>
      <c r="G149" s="25"/>
      <c r="H149" s="25"/>
      <c r="I149" s="25"/>
      <c r="J149" s="25"/>
      <c r="K149" s="25"/>
      <c r="L149" s="25"/>
      <c r="M149" s="25" t="str">
        <f>IF(AND(A149="",B149="",E149=""),"",IF(OR(A149="",B149="",C149="",D149="",E149="",J149="",AND(A149="client",COUNTIF(الزبائن!$A$6:$A$505,B149)=0),AND(A149="proposed_name",COUNTIF('أسماء مقترحة'!$A$6:$A$505,B149)=0),AND(D149="mobile",J149&lt;&gt;"invalid",NOT(OR(AND(LEN(E149&amp;"")=10,LEFT(E149&amp;"",2)="09"),AND(LEN(E149&amp;"")=9,LEFT(E149&amp;"",1)="9")))),COUNTIFS($A$6:$A$505,A149,$B$6:$B$505,B149,$E$6:$E$505,E149)&gt;1),"REVIEW","READY"))</f>
        <v/>
      </c>
      <c r="N149" s="27" t="str">
        <f>IF(M149="","",IF(M149="READY","",TRIM(IF(A149="","missing entity_type; ","")&amp;IF(B149="","missing entity_key; ","")&amp;IF(C149="","missing contact_order; ","")&amp;IF(D149="","missing contact_type; ","")&amp;IF(E149="","missing number; ","")&amp;IF(J149="","missing status; ","")&amp;IF(AND(A149="client",COUNTIF(الزبائن!$A$6:$A$505,B149)=0),"client key not found; ","")&amp;IF(AND(A149="proposed_name",COUNTIF('أسماء مقترحة'!$A$6:$A$505,B149)=0),"proposed_name key not found; ","")&amp;IF(AND(D149="mobile",J149&lt;&gt;"invalid",NOT(OR(AND(LEN(E149&amp;"")=10,LEFT(E149&amp;"",2)="09"),AND(LEN(E149&amp;"")=9,LEFT(E149&amp;"",1)="9")))),"mobile must be 09XXXXXXXX or status invalid; ","")&amp;IF(COUNTIFS($A$6:$A$505,A149,$B$6:$B$505,B149,$E$6:$E$505,E149)&gt;1,"duplicate number for same entity; ",""))))</f>
        <v/>
      </c>
    </row>
    <row r="150" spans="1:14">
      <c r="A150" s="23"/>
      <c r="B150" s="24"/>
      <c r="C150" s="25"/>
      <c r="D150" s="25"/>
      <c r="E150" s="24"/>
      <c r="F150" s="24"/>
      <c r="G150" s="25"/>
      <c r="H150" s="25"/>
      <c r="I150" s="25"/>
      <c r="J150" s="25"/>
      <c r="K150" s="25"/>
      <c r="L150" s="25"/>
      <c r="M150" s="25" t="str">
        <f>IF(AND(A150="",B150="",E150=""),"",IF(OR(A150="",B150="",C150="",D150="",E150="",J150="",AND(A150="client",COUNTIF(الزبائن!$A$6:$A$505,B150)=0),AND(A150="proposed_name",COUNTIF('أسماء مقترحة'!$A$6:$A$505,B150)=0),AND(D150="mobile",J150&lt;&gt;"invalid",NOT(OR(AND(LEN(E150&amp;"")=10,LEFT(E150&amp;"",2)="09"),AND(LEN(E150&amp;"")=9,LEFT(E150&amp;"",1)="9")))),COUNTIFS($A$6:$A$505,A150,$B$6:$B$505,B150,$E$6:$E$505,E150)&gt;1),"REVIEW","READY"))</f>
        <v/>
      </c>
      <c r="N150" s="27" t="str">
        <f>IF(M150="","",IF(M150="READY","",TRIM(IF(A150="","missing entity_type; ","")&amp;IF(B150="","missing entity_key; ","")&amp;IF(C150="","missing contact_order; ","")&amp;IF(D150="","missing contact_type; ","")&amp;IF(E150="","missing number; ","")&amp;IF(J150="","missing status; ","")&amp;IF(AND(A150="client",COUNTIF(الزبائن!$A$6:$A$505,B150)=0),"client key not found; ","")&amp;IF(AND(A150="proposed_name",COUNTIF('أسماء مقترحة'!$A$6:$A$505,B150)=0),"proposed_name key not found; ","")&amp;IF(AND(D150="mobile",J150&lt;&gt;"invalid",NOT(OR(AND(LEN(E150&amp;"")=10,LEFT(E150&amp;"",2)="09"),AND(LEN(E150&amp;"")=9,LEFT(E150&amp;"",1)="9")))),"mobile must be 09XXXXXXXX or status invalid; ","")&amp;IF(COUNTIFS($A$6:$A$505,A150,$B$6:$B$505,B150,$E$6:$E$505,E150)&gt;1,"duplicate number for same entity; ",""))))</f>
        <v/>
      </c>
    </row>
    <row r="151" spans="1:14">
      <c r="A151" s="23"/>
      <c r="B151" s="24"/>
      <c r="C151" s="25"/>
      <c r="D151" s="25"/>
      <c r="E151" s="24"/>
      <c r="F151" s="24"/>
      <c r="G151" s="25"/>
      <c r="H151" s="25"/>
      <c r="I151" s="25"/>
      <c r="J151" s="25"/>
      <c r="K151" s="25"/>
      <c r="L151" s="25"/>
      <c r="M151" s="25" t="str">
        <f>IF(AND(A151="",B151="",E151=""),"",IF(OR(A151="",B151="",C151="",D151="",E151="",J151="",AND(A151="client",COUNTIF(الزبائن!$A$6:$A$505,B151)=0),AND(A151="proposed_name",COUNTIF('أسماء مقترحة'!$A$6:$A$505,B151)=0),AND(D151="mobile",J151&lt;&gt;"invalid",NOT(OR(AND(LEN(E151&amp;"")=10,LEFT(E151&amp;"",2)="09"),AND(LEN(E151&amp;"")=9,LEFT(E151&amp;"",1)="9")))),COUNTIFS($A$6:$A$505,A151,$B$6:$B$505,B151,$E$6:$E$505,E151)&gt;1),"REVIEW","READY"))</f>
        <v/>
      </c>
      <c r="N151" s="27" t="str">
        <f>IF(M151="","",IF(M151="READY","",TRIM(IF(A151="","missing entity_type; ","")&amp;IF(B151="","missing entity_key; ","")&amp;IF(C151="","missing contact_order; ","")&amp;IF(D151="","missing contact_type; ","")&amp;IF(E151="","missing number; ","")&amp;IF(J151="","missing status; ","")&amp;IF(AND(A151="client",COUNTIF(الزبائن!$A$6:$A$505,B151)=0),"client key not found; ","")&amp;IF(AND(A151="proposed_name",COUNTIF('أسماء مقترحة'!$A$6:$A$505,B151)=0),"proposed_name key not found; ","")&amp;IF(AND(D151="mobile",J151&lt;&gt;"invalid",NOT(OR(AND(LEN(E151&amp;"")=10,LEFT(E151&amp;"",2)="09"),AND(LEN(E151&amp;"")=9,LEFT(E151&amp;"",1)="9")))),"mobile must be 09XXXXXXXX or status invalid; ","")&amp;IF(COUNTIFS($A$6:$A$505,A151,$B$6:$B$505,B151,$E$6:$E$505,E151)&gt;1,"duplicate number for same entity; ",""))))</f>
        <v/>
      </c>
    </row>
    <row r="152" spans="1:14">
      <c r="A152" s="23"/>
      <c r="B152" s="24"/>
      <c r="C152" s="25"/>
      <c r="D152" s="25"/>
      <c r="E152" s="24"/>
      <c r="F152" s="24"/>
      <c r="G152" s="25"/>
      <c r="H152" s="25"/>
      <c r="I152" s="25"/>
      <c r="J152" s="25"/>
      <c r="K152" s="25"/>
      <c r="L152" s="25"/>
      <c r="M152" s="25" t="str">
        <f>IF(AND(A152="",B152="",E152=""),"",IF(OR(A152="",B152="",C152="",D152="",E152="",J152="",AND(A152="client",COUNTIF(الزبائن!$A$6:$A$505,B152)=0),AND(A152="proposed_name",COUNTIF('أسماء مقترحة'!$A$6:$A$505,B152)=0),AND(D152="mobile",J152&lt;&gt;"invalid",NOT(OR(AND(LEN(E152&amp;"")=10,LEFT(E152&amp;"",2)="09"),AND(LEN(E152&amp;"")=9,LEFT(E152&amp;"",1)="9")))),COUNTIFS($A$6:$A$505,A152,$B$6:$B$505,B152,$E$6:$E$505,E152)&gt;1),"REVIEW","READY"))</f>
        <v/>
      </c>
      <c r="N152" s="27" t="str">
        <f>IF(M152="","",IF(M152="READY","",TRIM(IF(A152="","missing entity_type; ","")&amp;IF(B152="","missing entity_key; ","")&amp;IF(C152="","missing contact_order; ","")&amp;IF(D152="","missing contact_type; ","")&amp;IF(E152="","missing number; ","")&amp;IF(J152="","missing status; ","")&amp;IF(AND(A152="client",COUNTIF(الزبائن!$A$6:$A$505,B152)=0),"client key not found; ","")&amp;IF(AND(A152="proposed_name",COUNTIF('أسماء مقترحة'!$A$6:$A$505,B152)=0),"proposed_name key not found; ","")&amp;IF(AND(D152="mobile",J152&lt;&gt;"invalid",NOT(OR(AND(LEN(E152&amp;"")=10,LEFT(E152&amp;"",2)="09"),AND(LEN(E152&amp;"")=9,LEFT(E152&amp;"",1)="9")))),"mobile must be 09XXXXXXXX or status invalid; ","")&amp;IF(COUNTIFS($A$6:$A$505,A152,$B$6:$B$505,B152,$E$6:$E$505,E152)&gt;1,"duplicate number for same entity; ",""))))</f>
        <v/>
      </c>
    </row>
    <row r="153" spans="1:14">
      <c r="A153" s="23"/>
      <c r="B153" s="24"/>
      <c r="C153" s="25"/>
      <c r="D153" s="25"/>
      <c r="E153" s="24"/>
      <c r="F153" s="24"/>
      <c r="G153" s="25"/>
      <c r="H153" s="25"/>
      <c r="I153" s="25"/>
      <c r="J153" s="25"/>
      <c r="K153" s="25"/>
      <c r="L153" s="25"/>
      <c r="M153" s="25" t="str">
        <f>IF(AND(A153="",B153="",E153=""),"",IF(OR(A153="",B153="",C153="",D153="",E153="",J153="",AND(A153="client",COUNTIF(الزبائن!$A$6:$A$505,B153)=0),AND(A153="proposed_name",COUNTIF('أسماء مقترحة'!$A$6:$A$505,B153)=0),AND(D153="mobile",J153&lt;&gt;"invalid",NOT(OR(AND(LEN(E153&amp;"")=10,LEFT(E153&amp;"",2)="09"),AND(LEN(E153&amp;"")=9,LEFT(E153&amp;"",1)="9")))),COUNTIFS($A$6:$A$505,A153,$B$6:$B$505,B153,$E$6:$E$505,E153)&gt;1),"REVIEW","READY"))</f>
        <v/>
      </c>
      <c r="N153" s="27" t="str">
        <f>IF(M153="","",IF(M153="READY","",TRIM(IF(A153="","missing entity_type; ","")&amp;IF(B153="","missing entity_key; ","")&amp;IF(C153="","missing contact_order; ","")&amp;IF(D153="","missing contact_type; ","")&amp;IF(E153="","missing number; ","")&amp;IF(J153="","missing status; ","")&amp;IF(AND(A153="client",COUNTIF(الزبائن!$A$6:$A$505,B153)=0),"client key not found; ","")&amp;IF(AND(A153="proposed_name",COUNTIF('أسماء مقترحة'!$A$6:$A$505,B153)=0),"proposed_name key not found; ","")&amp;IF(AND(D153="mobile",J153&lt;&gt;"invalid",NOT(OR(AND(LEN(E153&amp;"")=10,LEFT(E153&amp;"",2)="09"),AND(LEN(E153&amp;"")=9,LEFT(E153&amp;"",1)="9")))),"mobile must be 09XXXXXXXX or status invalid; ","")&amp;IF(COUNTIFS($A$6:$A$505,A153,$B$6:$B$505,B153,$E$6:$E$505,E153)&gt;1,"duplicate number for same entity; ",""))))</f>
        <v/>
      </c>
    </row>
    <row r="154" spans="1:14">
      <c r="A154" s="23"/>
      <c r="B154" s="24"/>
      <c r="C154" s="25"/>
      <c r="D154" s="25"/>
      <c r="E154" s="24"/>
      <c r="F154" s="24"/>
      <c r="G154" s="25"/>
      <c r="H154" s="25"/>
      <c r="I154" s="25"/>
      <c r="J154" s="25"/>
      <c r="K154" s="25"/>
      <c r="L154" s="25"/>
      <c r="M154" s="25" t="str">
        <f>IF(AND(A154="",B154="",E154=""),"",IF(OR(A154="",B154="",C154="",D154="",E154="",J154="",AND(A154="client",COUNTIF(الزبائن!$A$6:$A$505,B154)=0),AND(A154="proposed_name",COUNTIF('أسماء مقترحة'!$A$6:$A$505,B154)=0),AND(D154="mobile",J154&lt;&gt;"invalid",NOT(OR(AND(LEN(E154&amp;"")=10,LEFT(E154&amp;"",2)="09"),AND(LEN(E154&amp;"")=9,LEFT(E154&amp;"",1)="9")))),COUNTIFS($A$6:$A$505,A154,$B$6:$B$505,B154,$E$6:$E$505,E154)&gt;1),"REVIEW","READY"))</f>
        <v/>
      </c>
      <c r="N154" s="27" t="str">
        <f>IF(M154="","",IF(M154="READY","",TRIM(IF(A154="","missing entity_type; ","")&amp;IF(B154="","missing entity_key; ","")&amp;IF(C154="","missing contact_order; ","")&amp;IF(D154="","missing contact_type; ","")&amp;IF(E154="","missing number; ","")&amp;IF(J154="","missing status; ","")&amp;IF(AND(A154="client",COUNTIF(الزبائن!$A$6:$A$505,B154)=0),"client key not found; ","")&amp;IF(AND(A154="proposed_name",COUNTIF('أسماء مقترحة'!$A$6:$A$505,B154)=0),"proposed_name key not found; ","")&amp;IF(AND(D154="mobile",J154&lt;&gt;"invalid",NOT(OR(AND(LEN(E154&amp;"")=10,LEFT(E154&amp;"",2)="09"),AND(LEN(E154&amp;"")=9,LEFT(E154&amp;"",1)="9")))),"mobile must be 09XXXXXXXX or status invalid; ","")&amp;IF(COUNTIFS($A$6:$A$505,A154,$B$6:$B$505,B154,$E$6:$E$505,E154)&gt;1,"duplicate number for same entity; ",""))))</f>
        <v/>
      </c>
    </row>
    <row r="155" spans="1:14">
      <c r="A155" s="23"/>
      <c r="B155" s="24"/>
      <c r="C155" s="25"/>
      <c r="D155" s="25"/>
      <c r="E155" s="24"/>
      <c r="F155" s="24"/>
      <c r="G155" s="25"/>
      <c r="H155" s="25"/>
      <c r="I155" s="25"/>
      <c r="J155" s="25"/>
      <c r="K155" s="25"/>
      <c r="L155" s="25"/>
      <c r="M155" s="25" t="str">
        <f>IF(AND(A155="",B155="",E155=""),"",IF(OR(A155="",B155="",C155="",D155="",E155="",J155="",AND(A155="client",COUNTIF(الزبائن!$A$6:$A$505,B155)=0),AND(A155="proposed_name",COUNTIF('أسماء مقترحة'!$A$6:$A$505,B155)=0),AND(D155="mobile",J155&lt;&gt;"invalid",NOT(OR(AND(LEN(E155&amp;"")=10,LEFT(E155&amp;"",2)="09"),AND(LEN(E155&amp;"")=9,LEFT(E155&amp;"",1)="9")))),COUNTIFS($A$6:$A$505,A155,$B$6:$B$505,B155,$E$6:$E$505,E155)&gt;1),"REVIEW","READY"))</f>
        <v/>
      </c>
      <c r="N155" s="27" t="str">
        <f>IF(M155="","",IF(M155="READY","",TRIM(IF(A155="","missing entity_type; ","")&amp;IF(B155="","missing entity_key; ","")&amp;IF(C155="","missing contact_order; ","")&amp;IF(D155="","missing contact_type; ","")&amp;IF(E155="","missing number; ","")&amp;IF(J155="","missing status; ","")&amp;IF(AND(A155="client",COUNTIF(الزبائن!$A$6:$A$505,B155)=0),"client key not found; ","")&amp;IF(AND(A155="proposed_name",COUNTIF('أسماء مقترحة'!$A$6:$A$505,B155)=0),"proposed_name key not found; ","")&amp;IF(AND(D155="mobile",J155&lt;&gt;"invalid",NOT(OR(AND(LEN(E155&amp;"")=10,LEFT(E155&amp;"",2)="09"),AND(LEN(E155&amp;"")=9,LEFT(E155&amp;"",1)="9")))),"mobile must be 09XXXXXXXX or status invalid; ","")&amp;IF(COUNTIFS($A$6:$A$505,A155,$B$6:$B$505,B155,$E$6:$E$505,E155)&gt;1,"duplicate number for same entity; ",""))))</f>
        <v/>
      </c>
    </row>
    <row r="156" spans="1:14">
      <c r="A156" s="23"/>
      <c r="B156" s="24"/>
      <c r="C156" s="25"/>
      <c r="D156" s="25"/>
      <c r="E156" s="24"/>
      <c r="F156" s="24"/>
      <c r="G156" s="25"/>
      <c r="H156" s="25"/>
      <c r="I156" s="25"/>
      <c r="J156" s="25"/>
      <c r="K156" s="25"/>
      <c r="L156" s="25"/>
      <c r="M156" s="25" t="str">
        <f>IF(AND(A156="",B156="",E156=""),"",IF(OR(A156="",B156="",C156="",D156="",E156="",J156="",AND(A156="client",COUNTIF(الزبائن!$A$6:$A$505,B156)=0),AND(A156="proposed_name",COUNTIF('أسماء مقترحة'!$A$6:$A$505,B156)=0),AND(D156="mobile",J156&lt;&gt;"invalid",NOT(OR(AND(LEN(E156&amp;"")=10,LEFT(E156&amp;"",2)="09"),AND(LEN(E156&amp;"")=9,LEFT(E156&amp;"",1)="9")))),COUNTIFS($A$6:$A$505,A156,$B$6:$B$505,B156,$E$6:$E$505,E156)&gt;1),"REVIEW","READY"))</f>
        <v/>
      </c>
      <c r="N156" s="27" t="str">
        <f>IF(M156="","",IF(M156="READY","",TRIM(IF(A156="","missing entity_type; ","")&amp;IF(B156="","missing entity_key; ","")&amp;IF(C156="","missing contact_order; ","")&amp;IF(D156="","missing contact_type; ","")&amp;IF(E156="","missing number; ","")&amp;IF(J156="","missing status; ","")&amp;IF(AND(A156="client",COUNTIF(الزبائن!$A$6:$A$505,B156)=0),"client key not found; ","")&amp;IF(AND(A156="proposed_name",COUNTIF('أسماء مقترحة'!$A$6:$A$505,B156)=0),"proposed_name key not found; ","")&amp;IF(AND(D156="mobile",J156&lt;&gt;"invalid",NOT(OR(AND(LEN(E156&amp;"")=10,LEFT(E156&amp;"",2)="09"),AND(LEN(E156&amp;"")=9,LEFT(E156&amp;"",1)="9")))),"mobile must be 09XXXXXXXX or status invalid; ","")&amp;IF(COUNTIFS($A$6:$A$505,A156,$B$6:$B$505,B156,$E$6:$E$505,E156)&gt;1,"duplicate number for same entity; ",""))))</f>
        <v/>
      </c>
    </row>
    <row r="157" spans="1:14">
      <c r="A157" s="23"/>
      <c r="B157" s="24"/>
      <c r="C157" s="25"/>
      <c r="D157" s="25"/>
      <c r="E157" s="24"/>
      <c r="F157" s="24"/>
      <c r="G157" s="25"/>
      <c r="H157" s="25"/>
      <c r="I157" s="25"/>
      <c r="J157" s="25"/>
      <c r="K157" s="25"/>
      <c r="L157" s="25"/>
      <c r="M157" s="25" t="str">
        <f>IF(AND(A157="",B157="",E157=""),"",IF(OR(A157="",B157="",C157="",D157="",E157="",J157="",AND(A157="client",COUNTIF(الزبائن!$A$6:$A$505,B157)=0),AND(A157="proposed_name",COUNTIF('أسماء مقترحة'!$A$6:$A$505,B157)=0),AND(D157="mobile",J157&lt;&gt;"invalid",NOT(OR(AND(LEN(E157&amp;"")=10,LEFT(E157&amp;"",2)="09"),AND(LEN(E157&amp;"")=9,LEFT(E157&amp;"",1)="9")))),COUNTIFS($A$6:$A$505,A157,$B$6:$B$505,B157,$E$6:$E$505,E157)&gt;1),"REVIEW","READY"))</f>
        <v/>
      </c>
      <c r="N157" s="27" t="str">
        <f>IF(M157="","",IF(M157="READY","",TRIM(IF(A157="","missing entity_type; ","")&amp;IF(B157="","missing entity_key; ","")&amp;IF(C157="","missing contact_order; ","")&amp;IF(D157="","missing contact_type; ","")&amp;IF(E157="","missing number; ","")&amp;IF(J157="","missing status; ","")&amp;IF(AND(A157="client",COUNTIF(الزبائن!$A$6:$A$505,B157)=0),"client key not found; ","")&amp;IF(AND(A157="proposed_name",COUNTIF('أسماء مقترحة'!$A$6:$A$505,B157)=0),"proposed_name key not found; ","")&amp;IF(AND(D157="mobile",J157&lt;&gt;"invalid",NOT(OR(AND(LEN(E157&amp;"")=10,LEFT(E157&amp;"",2)="09"),AND(LEN(E157&amp;"")=9,LEFT(E157&amp;"",1)="9")))),"mobile must be 09XXXXXXXX or status invalid; ","")&amp;IF(COUNTIFS($A$6:$A$505,A157,$B$6:$B$505,B157,$E$6:$E$505,E157)&gt;1,"duplicate number for same entity; ",""))))</f>
        <v/>
      </c>
    </row>
    <row r="158" spans="1:14">
      <c r="A158" s="23"/>
      <c r="B158" s="24"/>
      <c r="C158" s="25"/>
      <c r="D158" s="25"/>
      <c r="E158" s="24"/>
      <c r="F158" s="24"/>
      <c r="G158" s="25"/>
      <c r="H158" s="25"/>
      <c r="I158" s="25"/>
      <c r="J158" s="25"/>
      <c r="K158" s="25"/>
      <c r="L158" s="25"/>
      <c r="M158" s="25" t="str">
        <f>IF(AND(A158="",B158="",E158=""),"",IF(OR(A158="",B158="",C158="",D158="",E158="",J158="",AND(A158="client",COUNTIF(الزبائن!$A$6:$A$505,B158)=0),AND(A158="proposed_name",COUNTIF('أسماء مقترحة'!$A$6:$A$505,B158)=0),AND(D158="mobile",J158&lt;&gt;"invalid",NOT(OR(AND(LEN(E158&amp;"")=10,LEFT(E158&amp;"",2)="09"),AND(LEN(E158&amp;"")=9,LEFT(E158&amp;"",1)="9")))),COUNTIFS($A$6:$A$505,A158,$B$6:$B$505,B158,$E$6:$E$505,E158)&gt;1),"REVIEW","READY"))</f>
        <v/>
      </c>
      <c r="N158" s="27" t="str">
        <f>IF(M158="","",IF(M158="READY","",TRIM(IF(A158="","missing entity_type; ","")&amp;IF(B158="","missing entity_key; ","")&amp;IF(C158="","missing contact_order; ","")&amp;IF(D158="","missing contact_type; ","")&amp;IF(E158="","missing number; ","")&amp;IF(J158="","missing status; ","")&amp;IF(AND(A158="client",COUNTIF(الزبائن!$A$6:$A$505,B158)=0),"client key not found; ","")&amp;IF(AND(A158="proposed_name",COUNTIF('أسماء مقترحة'!$A$6:$A$505,B158)=0),"proposed_name key not found; ","")&amp;IF(AND(D158="mobile",J158&lt;&gt;"invalid",NOT(OR(AND(LEN(E158&amp;"")=10,LEFT(E158&amp;"",2)="09"),AND(LEN(E158&amp;"")=9,LEFT(E158&amp;"",1)="9")))),"mobile must be 09XXXXXXXX or status invalid; ","")&amp;IF(COUNTIFS($A$6:$A$505,A158,$B$6:$B$505,B158,$E$6:$E$505,E158)&gt;1,"duplicate number for same entity; ",""))))</f>
        <v/>
      </c>
    </row>
    <row r="159" spans="1:14">
      <c r="A159" s="23"/>
      <c r="B159" s="24"/>
      <c r="C159" s="25"/>
      <c r="D159" s="25"/>
      <c r="E159" s="24"/>
      <c r="F159" s="24"/>
      <c r="G159" s="25"/>
      <c r="H159" s="25"/>
      <c r="I159" s="25"/>
      <c r="J159" s="25"/>
      <c r="K159" s="25"/>
      <c r="L159" s="25"/>
      <c r="M159" s="25" t="str">
        <f>IF(AND(A159="",B159="",E159=""),"",IF(OR(A159="",B159="",C159="",D159="",E159="",J159="",AND(A159="client",COUNTIF(الزبائن!$A$6:$A$505,B159)=0),AND(A159="proposed_name",COUNTIF('أسماء مقترحة'!$A$6:$A$505,B159)=0),AND(D159="mobile",J159&lt;&gt;"invalid",NOT(OR(AND(LEN(E159&amp;"")=10,LEFT(E159&amp;"",2)="09"),AND(LEN(E159&amp;"")=9,LEFT(E159&amp;"",1)="9")))),COUNTIFS($A$6:$A$505,A159,$B$6:$B$505,B159,$E$6:$E$505,E159)&gt;1),"REVIEW","READY"))</f>
        <v/>
      </c>
      <c r="N159" s="27" t="str">
        <f>IF(M159="","",IF(M159="READY","",TRIM(IF(A159="","missing entity_type; ","")&amp;IF(B159="","missing entity_key; ","")&amp;IF(C159="","missing contact_order; ","")&amp;IF(D159="","missing contact_type; ","")&amp;IF(E159="","missing number; ","")&amp;IF(J159="","missing status; ","")&amp;IF(AND(A159="client",COUNTIF(الزبائن!$A$6:$A$505,B159)=0),"client key not found; ","")&amp;IF(AND(A159="proposed_name",COUNTIF('أسماء مقترحة'!$A$6:$A$505,B159)=0),"proposed_name key not found; ","")&amp;IF(AND(D159="mobile",J159&lt;&gt;"invalid",NOT(OR(AND(LEN(E159&amp;"")=10,LEFT(E159&amp;"",2)="09"),AND(LEN(E159&amp;"")=9,LEFT(E159&amp;"",1)="9")))),"mobile must be 09XXXXXXXX or status invalid; ","")&amp;IF(COUNTIFS($A$6:$A$505,A159,$B$6:$B$505,B159,$E$6:$E$505,E159)&gt;1,"duplicate number for same entity; ",""))))</f>
        <v/>
      </c>
    </row>
    <row r="160" spans="1:14">
      <c r="A160" s="23"/>
      <c r="B160" s="24"/>
      <c r="C160" s="25"/>
      <c r="D160" s="25"/>
      <c r="E160" s="24"/>
      <c r="F160" s="24"/>
      <c r="G160" s="25"/>
      <c r="H160" s="25"/>
      <c r="I160" s="25"/>
      <c r="J160" s="25"/>
      <c r="K160" s="25"/>
      <c r="L160" s="25"/>
      <c r="M160" s="25" t="str">
        <f>IF(AND(A160="",B160="",E160=""),"",IF(OR(A160="",B160="",C160="",D160="",E160="",J160="",AND(A160="client",COUNTIF(الزبائن!$A$6:$A$505,B160)=0),AND(A160="proposed_name",COUNTIF('أسماء مقترحة'!$A$6:$A$505,B160)=0),AND(D160="mobile",J160&lt;&gt;"invalid",NOT(OR(AND(LEN(E160&amp;"")=10,LEFT(E160&amp;"",2)="09"),AND(LEN(E160&amp;"")=9,LEFT(E160&amp;"",1)="9")))),COUNTIFS($A$6:$A$505,A160,$B$6:$B$505,B160,$E$6:$E$505,E160)&gt;1),"REVIEW","READY"))</f>
        <v/>
      </c>
      <c r="N160" s="27" t="str">
        <f>IF(M160="","",IF(M160="READY","",TRIM(IF(A160="","missing entity_type; ","")&amp;IF(B160="","missing entity_key; ","")&amp;IF(C160="","missing contact_order; ","")&amp;IF(D160="","missing contact_type; ","")&amp;IF(E160="","missing number; ","")&amp;IF(J160="","missing status; ","")&amp;IF(AND(A160="client",COUNTIF(الزبائن!$A$6:$A$505,B160)=0),"client key not found; ","")&amp;IF(AND(A160="proposed_name",COUNTIF('أسماء مقترحة'!$A$6:$A$505,B160)=0),"proposed_name key not found; ","")&amp;IF(AND(D160="mobile",J160&lt;&gt;"invalid",NOT(OR(AND(LEN(E160&amp;"")=10,LEFT(E160&amp;"",2)="09"),AND(LEN(E160&amp;"")=9,LEFT(E160&amp;"",1)="9")))),"mobile must be 09XXXXXXXX or status invalid; ","")&amp;IF(COUNTIFS($A$6:$A$505,A160,$B$6:$B$505,B160,$E$6:$E$505,E160)&gt;1,"duplicate number for same entity; ",""))))</f>
        <v/>
      </c>
    </row>
    <row r="161" spans="1:14">
      <c r="A161" s="23"/>
      <c r="B161" s="24"/>
      <c r="C161" s="25"/>
      <c r="D161" s="25"/>
      <c r="E161" s="24"/>
      <c r="F161" s="24"/>
      <c r="G161" s="25"/>
      <c r="H161" s="25"/>
      <c r="I161" s="25"/>
      <c r="J161" s="25"/>
      <c r="K161" s="25"/>
      <c r="L161" s="25"/>
      <c r="M161" s="25" t="str">
        <f>IF(AND(A161="",B161="",E161=""),"",IF(OR(A161="",B161="",C161="",D161="",E161="",J161="",AND(A161="client",COUNTIF(الزبائن!$A$6:$A$505,B161)=0),AND(A161="proposed_name",COUNTIF('أسماء مقترحة'!$A$6:$A$505,B161)=0),AND(D161="mobile",J161&lt;&gt;"invalid",NOT(OR(AND(LEN(E161&amp;"")=10,LEFT(E161&amp;"",2)="09"),AND(LEN(E161&amp;"")=9,LEFT(E161&amp;"",1)="9")))),COUNTIFS($A$6:$A$505,A161,$B$6:$B$505,B161,$E$6:$E$505,E161)&gt;1),"REVIEW","READY"))</f>
        <v/>
      </c>
      <c r="N161" s="27" t="str">
        <f>IF(M161="","",IF(M161="READY","",TRIM(IF(A161="","missing entity_type; ","")&amp;IF(B161="","missing entity_key; ","")&amp;IF(C161="","missing contact_order; ","")&amp;IF(D161="","missing contact_type; ","")&amp;IF(E161="","missing number; ","")&amp;IF(J161="","missing status; ","")&amp;IF(AND(A161="client",COUNTIF(الزبائن!$A$6:$A$505,B161)=0),"client key not found; ","")&amp;IF(AND(A161="proposed_name",COUNTIF('أسماء مقترحة'!$A$6:$A$505,B161)=0),"proposed_name key not found; ","")&amp;IF(AND(D161="mobile",J161&lt;&gt;"invalid",NOT(OR(AND(LEN(E161&amp;"")=10,LEFT(E161&amp;"",2)="09"),AND(LEN(E161&amp;"")=9,LEFT(E161&amp;"",1)="9")))),"mobile must be 09XXXXXXXX or status invalid; ","")&amp;IF(COUNTIFS($A$6:$A$505,A161,$B$6:$B$505,B161,$E$6:$E$505,E161)&gt;1,"duplicate number for same entity; ",""))))</f>
        <v/>
      </c>
    </row>
    <row r="162" spans="1:14">
      <c r="A162" s="23"/>
      <c r="B162" s="24"/>
      <c r="C162" s="25"/>
      <c r="D162" s="25"/>
      <c r="E162" s="24"/>
      <c r="F162" s="24"/>
      <c r="G162" s="25"/>
      <c r="H162" s="25"/>
      <c r="I162" s="25"/>
      <c r="J162" s="25"/>
      <c r="K162" s="25"/>
      <c r="L162" s="25"/>
      <c r="M162" s="25" t="str">
        <f>IF(AND(A162="",B162="",E162=""),"",IF(OR(A162="",B162="",C162="",D162="",E162="",J162="",AND(A162="client",COUNTIF(الزبائن!$A$6:$A$505,B162)=0),AND(A162="proposed_name",COUNTIF('أسماء مقترحة'!$A$6:$A$505,B162)=0),AND(D162="mobile",J162&lt;&gt;"invalid",NOT(OR(AND(LEN(E162&amp;"")=10,LEFT(E162&amp;"",2)="09"),AND(LEN(E162&amp;"")=9,LEFT(E162&amp;"",1)="9")))),COUNTIFS($A$6:$A$505,A162,$B$6:$B$505,B162,$E$6:$E$505,E162)&gt;1),"REVIEW","READY"))</f>
        <v/>
      </c>
      <c r="N162" s="27" t="str">
        <f>IF(M162="","",IF(M162="READY","",TRIM(IF(A162="","missing entity_type; ","")&amp;IF(B162="","missing entity_key; ","")&amp;IF(C162="","missing contact_order; ","")&amp;IF(D162="","missing contact_type; ","")&amp;IF(E162="","missing number; ","")&amp;IF(J162="","missing status; ","")&amp;IF(AND(A162="client",COUNTIF(الزبائن!$A$6:$A$505,B162)=0),"client key not found; ","")&amp;IF(AND(A162="proposed_name",COUNTIF('أسماء مقترحة'!$A$6:$A$505,B162)=0),"proposed_name key not found; ","")&amp;IF(AND(D162="mobile",J162&lt;&gt;"invalid",NOT(OR(AND(LEN(E162&amp;"")=10,LEFT(E162&amp;"",2)="09"),AND(LEN(E162&amp;"")=9,LEFT(E162&amp;"",1)="9")))),"mobile must be 09XXXXXXXX or status invalid; ","")&amp;IF(COUNTIFS($A$6:$A$505,A162,$B$6:$B$505,B162,$E$6:$E$505,E162)&gt;1,"duplicate number for same entity; ",""))))</f>
        <v/>
      </c>
    </row>
    <row r="163" spans="1:14">
      <c r="A163" s="23"/>
      <c r="B163" s="24"/>
      <c r="C163" s="25"/>
      <c r="D163" s="25"/>
      <c r="E163" s="24"/>
      <c r="F163" s="24"/>
      <c r="G163" s="25"/>
      <c r="H163" s="25"/>
      <c r="I163" s="25"/>
      <c r="J163" s="25"/>
      <c r="K163" s="25"/>
      <c r="L163" s="25"/>
      <c r="M163" s="25" t="str">
        <f>IF(AND(A163="",B163="",E163=""),"",IF(OR(A163="",B163="",C163="",D163="",E163="",J163="",AND(A163="client",COUNTIF(الزبائن!$A$6:$A$505,B163)=0),AND(A163="proposed_name",COUNTIF('أسماء مقترحة'!$A$6:$A$505,B163)=0),AND(D163="mobile",J163&lt;&gt;"invalid",NOT(OR(AND(LEN(E163&amp;"")=10,LEFT(E163&amp;"",2)="09"),AND(LEN(E163&amp;"")=9,LEFT(E163&amp;"",1)="9")))),COUNTIFS($A$6:$A$505,A163,$B$6:$B$505,B163,$E$6:$E$505,E163)&gt;1),"REVIEW","READY"))</f>
        <v/>
      </c>
      <c r="N163" s="27" t="str">
        <f>IF(M163="","",IF(M163="READY","",TRIM(IF(A163="","missing entity_type; ","")&amp;IF(B163="","missing entity_key; ","")&amp;IF(C163="","missing contact_order; ","")&amp;IF(D163="","missing contact_type; ","")&amp;IF(E163="","missing number; ","")&amp;IF(J163="","missing status; ","")&amp;IF(AND(A163="client",COUNTIF(الزبائن!$A$6:$A$505,B163)=0),"client key not found; ","")&amp;IF(AND(A163="proposed_name",COUNTIF('أسماء مقترحة'!$A$6:$A$505,B163)=0),"proposed_name key not found; ","")&amp;IF(AND(D163="mobile",J163&lt;&gt;"invalid",NOT(OR(AND(LEN(E163&amp;"")=10,LEFT(E163&amp;"",2)="09"),AND(LEN(E163&amp;"")=9,LEFT(E163&amp;"",1)="9")))),"mobile must be 09XXXXXXXX or status invalid; ","")&amp;IF(COUNTIFS($A$6:$A$505,A163,$B$6:$B$505,B163,$E$6:$E$505,E163)&gt;1,"duplicate number for same entity; ",""))))</f>
        <v/>
      </c>
    </row>
    <row r="164" spans="1:14">
      <c r="A164" s="23"/>
      <c r="B164" s="24"/>
      <c r="C164" s="25"/>
      <c r="D164" s="25"/>
      <c r="E164" s="24"/>
      <c r="F164" s="24"/>
      <c r="G164" s="25"/>
      <c r="H164" s="25"/>
      <c r="I164" s="25"/>
      <c r="J164" s="25"/>
      <c r="K164" s="25"/>
      <c r="L164" s="25"/>
      <c r="M164" s="25" t="str">
        <f>IF(AND(A164="",B164="",E164=""),"",IF(OR(A164="",B164="",C164="",D164="",E164="",J164="",AND(A164="client",COUNTIF(الزبائن!$A$6:$A$505,B164)=0),AND(A164="proposed_name",COUNTIF('أسماء مقترحة'!$A$6:$A$505,B164)=0),AND(D164="mobile",J164&lt;&gt;"invalid",NOT(OR(AND(LEN(E164&amp;"")=10,LEFT(E164&amp;"",2)="09"),AND(LEN(E164&amp;"")=9,LEFT(E164&amp;"",1)="9")))),COUNTIFS($A$6:$A$505,A164,$B$6:$B$505,B164,$E$6:$E$505,E164)&gt;1),"REVIEW","READY"))</f>
        <v/>
      </c>
      <c r="N164" s="27" t="str">
        <f>IF(M164="","",IF(M164="READY","",TRIM(IF(A164="","missing entity_type; ","")&amp;IF(B164="","missing entity_key; ","")&amp;IF(C164="","missing contact_order; ","")&amp;IF(D164="","missing contact_type; ","")&amp;IF(E164="","missing number; ","")&amp;IF(J164="","missing status; ","")&amp;IF(AND(A164="client",COUNTIF(الزبائن!$A$6:$A$505,B164)=0),"client key not found; ","")&amp;IF(AND(A164="proposed_name",COUNTIF('أسماء مقترحة'!$A$6:$A$505,B164)=0),"proposed_name key not found; ","")&amp;IF(AND(D164="mobile",J164&lt;&gt;"invalid",NOT(OR(AND(LEN(E164&amp;"")=10,LEFT(E164&amp;"",2)="09"),AND(LEN(E164&amp;"")=9,LEFT(E164&amp;"",1)="9")))),"mobile must be 09XXXXXXXX or status invalid; ","")&amp;IF(COUNTIFS($A$6:$A$505,A164,$B$6:$B$505,B164,$E$6:$E$505,E164)&gt;1,"duplicate number for same entity; ",""))))</f>
        <v/>
      </c>
    </row>
    <row r="165" spans="1:14">
      <c r="A165" s="23"/>
      <c r="B165" s="24"/>
      <c r="C165" s="25"/>
      <c r="D165" s="25"/>
      <c r="E165" s="24"/>
      <c r="F165" s="24"/>
      <c r="G165" s="25"/>
      <c r="H165" s="25"/>
      <c r="I165" s="25"/>
      <c r="J165" s="25"/>
      <c r="K165" s="25"/>
      <c r="L165" s="25"/>
      <c r="M165" s="25" t="str">
        <f>IF(AND(A165="",B165="",E165=""),"",IF(OR(A165="",B165="",C165="",D165="",E165="",J165="",AND(A165="client",COUNTIF(الزبائن!$A$6:$A$505,B165)=0),AND(A165="proposed_name",COUNTIF('أسماء مقترحة'!$A$6:$A$505,B165)=0),AND(D165="mobile",J165&lt;&gt;"invalid",NOT(OR(AND(LEN(E165&amp;"")=10,LEFT(E165&amp;"",2)="09"),AND(LEN(E165&amp;"")=9,LEFT(E165&amp;"",1)="9")))),COUNTIFS($A$6:$A$505,A165,$B$6:$B$505,B165,$E$6:$E$505,E165)&gt;1),"REVIEW","READY"))</f>
        <v/>
      </c>
      <c r="N165" s="27" t="str">
        <f>IF(M165="","",IF(M165="READY","",TRIM(IF(A165="","missing entity_type; ","")&amp;IF(B165="","missing entity_key; ","")&amp;IF(C165="","missing contact_order; ","")&amp;IF(D165="","missing contact_type; ","")&amp;IF(E165="","missing number; ","")&amp;IF(J165="","missing status; ","")&amp;IF(AND(A165="client",COUNTIF(الزبائن!$A$6:$A$505,B165)=0),"client key not found; ","")&amp;IF(AND(A165="proposed_name",COUNTIF('أسماء مقترحة'!$A$6:$A$505,B165)=0),"proposed_name key not found; ","")&amp;IF(AND(D165="mobile",J165&lt;&gt;"invalid",NOT(OR(AND(LEN(E165&amp;"")=10,LEFT(E165&amp;"",2)="09"),AND(LEN(E165&amp;"")=9,LEFT(E165&amp;"",1)="9")))),"mobile must be 09XXXXXXXX or status invalid; ","")&amp;IF(COUNTIFS($A$6:$A$505,A165,$B$6:$B$505,B165,$E$6:$E$505,E165)&gt;1,"duplicate number for same entity; ",""))))</f>
        <v/>
      </c>
    </row>
    <row r="166" spans="1:14">
      <c r="A166" s="23"/>
      <c r="B166" s="24"/>
      <c r="C166" s="25"/>
      <c r="D166" s="25"/>
      <c r="E166" s="24"/>
      <c r="F166" s="24"/>
      <c r="G166" s="25"/>
      <c r="H166" s="25"/>
      <c r="I166" s="25"/>
      <c r="J166" s="25"/>
      <c r="K166" s="25"/>
      <c r="L166" s="25"/>
      <c r="M166" s="25" t="str">
        <f>IF(AND(A166="",B166="",E166=""),"",IF(OR(A166="",B166="",C166="",D166="",E166="",J166="",AND(A166="client",COUNTIF(الزبائن!$A$6:$A$505,B166)=0),AND(A166="proposed_name",COUNTIF('أسماء مقترحة'!$A$6:$A$505,B166)=0),AND(D166="mobile",J166&lt;&gt;"invalid",NOT(OR(AND(LEN(E166&amp;"")=10,LEFT(E166&amp;"",2)="09"),AND(LEN(E166&amp;"")=9,LEFT(E166&amp;"",1)="9")))),COUNTIFS($A$6:$A$505,A166,$B$6:$B$505,B166,$E$6:$E$505,E166)&gt;1),"REVIEW","READY"))</f>
        <v/>
      </c>
      <c r="N166" s="27" t="str">
        <f>IF(M166="","",IF(M166="READY","",TRIM(IF(A166="","missing entity_type; ","")&amp;IF(B166="","missing entity_key; ","")&amp;IF(C166="","missing contact_order; ","")&amp;IF(D166="","missing contact_type; ","")&amp;IF(E166="","missing number; ","")&amp;IF(J166="","missing status; ","")&amp;IF(AND(A166="client",COUNTIF(الزبائن!$A$6:$A$505,B166)=0),"client key not found; ","")&amp;IF(AND(A166="proposed_name",COUNTIF('أسماء مقترحة'!$A$6:$A$505,B166)=0),"proposed_name key not found; ","")&amp;IF(AND(D166="mobile",J166&lt;&gt;"invalid",NOT(OR(AND(LEN(E166&amp;"")=10,LEFT(E166&amp;"",2)="09"),AND(LEN(E166&amp;"")=9,LEFT(E166&amp;"",1)="9")))),"mobile must be 09XXXXXXXX or status invalid; ","")&amp;IF(COUNTIFS($A$6:$A$505,A166,$B$6:$B$505,B166,$E$6:$E$505,E166)&gt;1,"duplicate number for same entity; ",""))))</f>
        <v/>
      </c>
    </row>
    <row r="167" spans="1:14">
      <c r="A167" s="23"/>
      <c r="B167" s="24"/>
      <c r="C167" s="25"/>
      <c r="D167" s="25"/>
      <c r="E167" s="24"/>
      <c r="F167" s="24"/>
      <c r="G167" s="25"/>
      <c r="H167" s="25"/>
      <c r="I167" s="25"/>
      <c r="J167" s="25"/>
      <c r="K167" s="25"/>
      <c r="L167" s="25"/>
      <c r="M167" s="25" t="str">
        <f>IF(AND(A167="",B167="",E167=""),"",IF(OR(A167="",B167="",C167="",D167="",E167="",J167="",AND(A167="client",COUNTIF(الزبائن!$A$6:$A$505,B167)=0),AND(A167="proposed_name",COUNTIF('أسماء مقترحة'!$A$6:$A$505,B167)=0),AND(D167="mobile",J167&lt;&gt;"invalid",NOT(OR(AND(LEN(E167&amp;"")=10,LEFT(E167&amp;"",2)="09"),AND(LEN(E167&amp;"")=9,LEFT(E167&amp;"",1)="9")))),COUNTIFS($A$6:$A$505,A167,$B$6:$B$505,B167,$E$6:$E$505,E167)&gt;1),"REVIEW","READY"))</f>
        <v/>
      </c>
      <c r="N167" s="27" t="str">
        <f>IF(M167="","",IF(M167="READY","",TRIM(IF(A167="","missing entity_type; ","")&amp;IF(B167="","missing entity_key; ","")&amp;IF(C167="","missing contact_order; ","")&amp;IF(D167="","missing contact_type; ","")&amp;IF(E167="","missing number; ","")&amp;IF(J167="","missing status; ","")&amp;IF(AND(A167="client",COUNTIF(الزبائن!$A$6:$A$505,B167)=0),"client key not found; ","")&amp;IF(AND(A167="proposed_name",COUNTIF('أسماء مقترحة'!$A$6:$A$505,B167)=0),"proposed_name key not found; ","")&amp;IF(AND(D167="mobile",J167&lt;&gt;"invalid",NOT(OR(AND(LEN(E167&amp;"")=10,LEFT(E167&amp;"",2)="09"),AND(LEN(E167&amp;"")=9,LEFT(E167&amp;"",1)="9")))),"mobile must be 09XXXXXXXX or status invalid; ","")&amp;IF(COUNTIFS($A$6:$A$505,A167,$B$6:$B$505,B167,$E$6:$E$505,E167)&gt;1,"duplicate number for same entity; ",""))))</f>
        <v/>
      </c>
    </row>
    <row r="168" spans="1:14">
      <c r="A168" s="23"/>
      <c r="B168" s="24"/>
      <c r="C168" s="25"/>
      <c r="D168" s="25"/>
      <c r="E168" s="24"/>
      <c r="F168" s="24"/>
      <c r="G168" s="25"/>
      <c r="H168" s="25"/>
      <c r="I168" s="25"/>
      <c r="J168" s="25"/>
      <c r="K168" s="25"/>
      <c r="L168" s="25"/>
      <c r="M168" s="25" t="str">
        <f>IF(AND(A168="",B168="",E168=""),"",IF(OR(A168="",B168="",C168="",D168="",E168="",J168="",AND(A168="client",COUNTIF(الزبائن!$A$6:$A$505,B168)=0),AND(A168="proposed_name",COUNTIF('أسماء مقترحة'!$A$6:$A$505,B168)=0),AND(D168="mobile",J168&lt;&gt;"invalid",NOT(OR(AND(LEN(E168&amp;"")=10,LEFT(E168&amp;"",2)="09"),AND(LEN(E168&amp;"")=9,LEFT(E168&amp;"",1)="9")))),COUNTIFS($A$6:$A$505,A168,$B$6:$B$505,B168,$E$6:$E$505,E168)&gt;1),"REVIEW","READY"))</f>
        <v/>
      </c>
      <c r="N168" s="27" t="str">
        <f>IF(M168="","",IF(M168="READY","",TRIM(IF(A168="","missing entity_type; ","")&amp;IF(B168="","missing entity_key; ","")&amp;IF(C168="","missing contact_order; ","")&amp;IF(D168="","missing contact_type; ","")&amp;IF(E168="","missing number; ","")&amp;IF(J168="","missing status; ","")&amp;IF(AND(A168="client",COUNTIF(الزبائن!$A$6:$A$505,B168)=0),"client key not found; ","")&amp;IF(AND(A168="proposed_name",COUNTIF('أسماء مقترحة'!$A$6:$A$505,B168)=0),"proposed_name key not found; ","")&amp;IF(AND(D168="mobile",J168&lt;&gt;"invalid",NOT(OR(AND(LEN(E168&amp;"")=10,LEFT(E168&amp;"",2)="09"),AND(LEN(E168&amp;"")=9,LEFT(E168&amp;"",1)="9")))),"mobile must be 09XXXXXXXX or status invalid; ","")&amp;IF(COUNTIFS($A$6:$A$505,A168,$B$6:$B$505,B168,$E$6:$E$505,E168)&gt;1,"duplicate number for same entity; ",""))))</f>
        <v/>
      </c>
    </row>
    <row r="169" spans="1:14">
      <c r="A169" s="23"/>
      <c r="B169" s="24"/>
      <c r="C169" s="25"/>
      <c r="D169" s="25"/>
      <c r="E169" s="24"/>
      <c r="F169" s="24"/>
      <c r="G169" s="25"/>
      <c r="H169" s="25"/>
      <c r="I169" s="25"/>
      <c r="J169" s="25"/>
      <c r="K169" s="25"/>
      <c r="L169" s="25"/>
      <c r="M169" s="25" t="str">
        <f>IF(AND(A169="",B169="",E169=""),"",IF(OR(A169="",B169="",C169="",D169="",E169="",J169="",AND(A169="client",COUNTIF(الزبائن!$A$6:$A$505,B169)=0),AND(A169="proposed_name",COUNTIF('أسماء مقترحة'!$A$6:$A$505,B169)=0),AND(D169="mobile",J169&lt;&gt;"invalid",NOT(OR(AND(LEN(E169&amp;"")=10,LEFT(E169&amp;"",2)="09"),AND(LEN(E169&amp;"")=9,LEFT(E169&amp;"",1)="9")))),COUNTIFS($A$6:$A$505,A169,$B$6:$B$505,B169,$E$6:$E$505,E169)&gt;1),"REVIEW","READY"))</f>
        <v/>
      </c>
      <c r="N169" s="27" t="str">
        <f>IF(M169="","",IF(M169="READY","",TRIM(IF(A169="","missing entity_type; ","")&amp;IF(B169="","missing entity_key; ","")&amp;IF(C169="","missing contact_order; ","")&amp;IF(D169="","missing contact_type; ","")&amp;IF(E169="","missing number; ","")&amp;IF(J169="","missing status; ","")&amp;IF(AND(A169="client",COUNTIF(الزبائن!$A$6:$A$505,B169)=0),"client key not found; ","")&amp;IF(AND(A169="proposed_name",COUNTIF('أسماء مقترحة'!$A$6:$A$505,B169)=0),"proposed_name key not found; ","")&amp;IF(AND(D169="mobile",J169&lt;&gt;"invalid",NOT(OR(AND(LEN(E169&amp;"")=10,LEFT(E169&amp;"",2)="09"),AND(LEN(E169&amp;"")=9,LEFT(E169&amp;"",1)="9")))),"mobile must be 09XXXXXXXX or status invalid; ","")&amp;IF(COUNTIFS($A$6:$A$505,A169,$B$6:$B$505,B169,$E$6:$E$505,E169)&gt;1,"duplicate number for same entity; ",""))))</f>
        <v/>
      </c>
    </row>
    <row r="170" spans="1:14">
      <c r="A170" s="23"/>
      <c r="B170" s="24"/>
      <c r="C170" s="25"/>
      <c r="D170" s="25"/>
      <c r="E170" s="24"/>
      <c r="F170" s="24"/>
      <c r="G170" s="25"/>
      <c r="H170" s="25"/>
      <c r="I170" s="25"/>
      <c r="J170" s="25"/>
      <c r="K170" s="25"/>
      <c r="L170" s="25"/>
      <c r="M170" s="25" t="str">
        <f>IF(AND(A170="",B170="",E170=""),"",IF(OR(A170="",B170="",C170="",D170="",E170="",J170="",AND(A170="client",COUNTIF(الزبائن!$A$6:$A$505,B170)=0),AND(A170="proposed_name",COUNTIF('أسماء مقترحة'!$A$6:$A$505,B170)=0),AND(D170="mobile",J170&lt;&gt;"invalid",NOT(OR(AND(LEN(E170&amp;"")=10,LEFT(E170&amp;"",2)="09"),AND(LEN(E170&amp;"")=9,LEFT(E170&amp;"",1)="9")))),COUNTIFS($A$6:$A$505,A170,$B$6:$B$505,B170,$E$6:$E$505,E170)&gt;1),"REVIEW","READY"))</f>
        <v/>
      </c>
      <c r="N170" s="27" t="str">
        <f>IF(M170="","",IF(M170="READY","",TRIM(IF(A170="","missing entity_type; ","")&amp;IF(B170="","missing entity_key; ","")&amp;IF(C170="","missing contact_order; ","")&amp;IF(D170="","missing contact_type; ","")&amp;IF(E170="","missing number; ","")&amp;IF(J170="","missing status; ","")&amp;IF(AND(A170="client",COUNTIF(الزبائن!$A$6:$A$505,B170)=0),"client key not found; ","")&amp;IF(AND(A170="proposed_name",COUNTIF('أسماء مقترحة'!$A$6:$A$505,B170)=0),"proposed_name key not found; ","")&amp;IF(AND(D170="mobile",J170&lt;&gt;"invalid",NOT(OR(AND(LEN(E170&amp;"")=10,LEFT(E170&amp;"",2)="09"),AND(LEN(E170&amp;"")=9,LEFT(E170&amp;"",1)="9")))),"mobile must be 09XXXXXXXX or status invalid; ","")&amp;IF(COUNTIFS($A$6:$A$505,A170,$B$6:$B$505,B170,$E$6:$E$505,E170)&gt;1,"duplicate number for same entity; ",""))))</f>
        <v/>
      </c>
    </row>
    <row r="171" spans="1:14">
      <c r="A171" s="23"/>
      <c r="B171" s="24"/>
      <c r="C171" s="25"/>
      <c r="D171" s="25"/>
      <c r="E171" s="24"/>
      <c r="F171" s="24"/>
      <c r="G171" s="25"/>
      <c r="H171" s="25"/>
      <c r="I171" s="25"/>
      <c r="J171" s="25"/>
      <c r="K171" s="25"/>
      <c r="L171" s="25"/>
      <c r="M171" s="25" t="str">
        <f>IF(AND(A171="",B171="",E171=""),"",IF(OR(A171="",B171="",C171="",D171="",E171="",J171="",AND(A171="client",COUNTIF(الزبائن!$A$6:$A$505,B171)=0),AND(A171="proposed_name",COUNTIF('أسماء مقترحة'!$A$6:$A$505,B171)=0),AND(D171="mobile",J171&lt;&gt;"invalid",NOT(OR(AND(LEN(E171&amp;"")=10,LEFT(E171&amp;"",2)="09"),AND(LEN(E171&amp;"")=9,LEFT(E171&amp;"",1)="9")))),COUNTIFS($A$6:$A$505,A171,$B$6:$B$505,B171,$E$6:$E$505,E171)&gt;1),"REVIEW","READY"))</f>
        <v/>
      </c>
      <c r="N171" s="27" t="str">
        <f>IF(M171="","",IF(M171="READY","",TRIM(IF(A171="","missing entity_type; ","")&amp;IF(B171="","missing entity_key; ","")&amp;IF(C171="","missing contact_order; ","")&amp;IF(D171="","missing contact_type; ","")&amp;IF(E171="","missing number; ","")&amp;IF(J171="","missing status; ","")&amp;IF(AND(A171="client",COUNTIF(الزبائن!$A$6:$A$505,B171)=0),"client key not found; ","")&amp;IF(AND(A171="proposed_name",COUNTIF('أسماء مقترحة'!$A$6:$A$505,B171)=0),"proposed_name key not found; ","")&amp;IF(AND(D171="mobile",J171&lt;&gt;"invalid",NOT(OR(AND(LEN(E171&amp;"")=10,LEFT(E171&amp;"",2)="09"),AND(LEN(E171&amp;"")=9,LEFT(E171&amp;"",1)="9")))),"mobile must be 09XXXXXXXX or status invalid; ","")&amp;IF(COUNTIFS($A$6:$A$505,A171,$B$6:$B$505,B171,$E$6:$E$505,E171)&gt;1,"duplicate number for same entity; ",""))))</f>
        <v/>
      </c>
    </row>
    <row r="172" spans="1:14">
      <c r="A172" s="23"/>
      <c r="B172" s="24"/>
      <c r="C172" s="25"/>
      <c r="D172" s="25"/>
      <c r="E172" s="24"/>
      <c r="F172" s="24"/>
      <c r="G172" s="25"/>
      <c r="H172" s="25"/>
      <c r="I172" s="25"/>
      <c r="J172" s="25"/>
      <c r="K172" s="25"/>
      <c r="L172" s="25"/>
      <c r="M172" s="25" t="str">
        <f>IF(AND(A172="",B172="",E172=""),"",IF(OR(A172="",B172="",C172="",D172="",E172="",J172="",AND(A172="client",COUNTIF(الزبائن!$A$6:$A$505,B172)=0),AND(A172="proposed_name",COUNTIF('أسماء مقترحة'!$A$6:$A$505,B172)=0),AND(D172="mobile",J172&lt;&gt;"invalid",NOT(OR(AND(LEN(E172&amp;"")=10,LEFT(E172&amp;"",2)="09"),AND(LEN(E172&amp;"")=9,LEFT(E172&amp;"",1)="9")))),COUNTIFS($A$6:$A$505,A172,$B$6:$B$505,B172,$E$6:$E$505,E172)&gt;1),"REVIEW","READY"))</f>
        <v/>
      </c>
      <c r="N172" s="27" t="str">
        <f>IF(M172="","",IF(M172="READY","",TRIM(IF(A172="","missing entity_type; ","")&amp;IF(B172="","missing entity_key; ","")&amp;IF(C172="","missing contact_order; ","")&amp;IF(D172="","missing contact_type; ","")&amp;IF(E172="","missing number; ","")&amp;IF(J172="","missing status; ","")&amp;IF(AND(A172="client",COUNTIF(الزبائن!$A$6:$A$505,B172)=0),"client key not found; ","")&amp;IF(AND(A172="proposed_name",COUNTIF('أسماء مقترحة'!$A$6:$A$505,B172)=0),"proposed_name key not found; ","")&amp;IF(AND(D172="mobile",J172&lt;&gt;"invalid",NOT(OR(AND(LEN(E172&amp;"")=10,LEFT(E172&amp;"",2)="09"),AND(LEN(E172&amp;"")=9,LEFT(E172&amp;"",1)="9")))),"mobile must be 09XXXXXXXX or status invalid; ","")&amp;IF(COUNTIFS($A$6:$A$505,A172,$B$6:$B$505,B172,$E$6:$E$505,E172)&gt;1,"duplicate number for same entity; ",""))))</f>
        <v/>
      </c>
    </row>
    <row r="173" spans="1:14">
      <c r="A173" s="23"/>
      <c r="B173" s="24"/>
      <c r="C173" s="25"/>
      <c r="D173" s="25"/>
      <c r="E173" s="24"/>
      <c r="F173" s="24"/>
      <c r="G173" s="25"/>
      <c r="H173" s="25"/>
      <c r="I173" s="25"/>
      <c r="J173" s="25"/>
      <c r="K173" s="25"/>
      <c r="L173" s="25"/>
      <c r="M173" s="25" t="str">
        <f>IF(AND(A173="",B173="",E173=""),"",IF(OR(A173="",B173="",C173="",D173="",E173="",J173="",AND(A173="client",COUNTIF(الزبائن!$A$6:$A$505,B173)=0),AND(A173="proposed_name",COUNTIF('أسماء مقترحة'!$A$6:$A$505,B173)=0),AND(D173="mobile",J173&lt;&gt;"invalid",NOT(OR(AND(LEN(E173&amp;"")=10,LEFT(E173&amp;"",2)="09"),AND(LEN(E173&amp;"")=9,LEFT(E173&amp;"",1)="9")))),COUNTIFS($A$6:$A$505,A173,$B$6:$B$505,B173,$E$6:$E$505,E173)&gt;1),"REVIEW","READY"))</f>
        <v/>
      </c>
      <c r="N173" s="27" t="str">
        <f>IF(M173="","",IF(M173="READY","",TRIM(IF(A173="","missing entity_type; ","")&amp;IF(B173="","missing entity_key; ","")&amp;IF(C173="","missing contact_order; ","")&amp;IF(D173="","missing contact_type; ","")&amp;IF(E173="","missing number; ","")&amp;IF(J173="","missing status; ","")&amp;IF(AND(A173="client",COUNTIF(الزبائن!$A$6:$A$505,B173)=0),"client key not found; ","")&amp;IF(AND(A173="proposed_name",COUNTIF('أسماء مقترحة'!$A$6:$A$505,B173)=0),"proposed_name key not found; ","")&amp;IF(AND(D173="mobile",J173&lt;&gt;"invalid",NOT(OR(AND(LEN(E173&amp;"")=10,LEFT(E173&amp;"",2)="09"),AND(LEN(E173&amp;"")=9,LEFT(E173&amp;"",1)="9")))),"mobile must be 09XXXXXXXX or status invalid; ","")&amp;IF(COUNTIFS($A$6:$A$505,A173,$B$6:$B$505,B173,$E$6:$E$505,E173)&gt;1,"duplicate number for same entity; ",""))))</f>
        <v/>
      </c>
    </row>
    <row r="174" spans="1:14">
      <c r="A174" s="23"/>
      <c r="B174" s="24"/>
      <c r="C174" s="25"/>
      <c r="D174" s="25"/>
      <c r="E174" s="24"/>
      <c r="F174" s="24"/>
      <c r="G174" s="25"/>
      <c r="H174" s="25"/>
      <c r="I174" s="25"/>
      <c r="J174" s="25"/>
      <c r="K174" s="25"/>
      <c r="L174" s="25"/>
      <c r="M174" s="25" t="str">
        <f>IF(AND(A174="",B174="",E174=""),"",IF(OR(A174="",B174="",C174="",D174="",E174="",J174="",AND(A174="client",COUNTIF(الزبائن!$A$6:$A$505,B174)=0),AND(A174="proposed_name",COUNTIF('أسماء مقترحة'!$A$6:$A$505,B174)=0),AND(D174="mobile",J174&lt;&gt;"invalid",NOT(OR(AND(LEN(E174&amp;"")=10,LEFT(E174&amp;"",2)="09"),AND(LEN(E174&amp;"")=9,LEFT(E174&amp;"",1)="9")))),COUNTIFS($A$6:$A$505,A174,$B$6:$B$505,B174,$E$6:$E$505,E174)&gt;1),"REVIEW","READY"))</f>
        <v/>
      </c>
      <c r="N174" s="27" t="str">
        <f>IF(M174="","",IF(M174="READY","",TRIM(IF(A174="","missing entity_type; ","")&amp;IF(B174="","missing entity_key; ","")&amp;IF(C174="","missing contact_order; ","")&amp;IF(D174="","missing contact_type; ","")&amp;IF(E174="","missing number; ","")&amp;IF(J174="","missing status; ","")&amp;IF(AND(A174="client",COUNTIF(الزبائن!$A$6:$A$505,B174)=0),"client key not found; ","")&amp;IF(AND(A174="proposed_name",COUNTIF('أسماء مقترحة'!$A$6:$A$505,B174)=0),"proposed_name key not found; ","")&amp;IF(AND(D174="mobile",J174&lt;&gt;"invalid",NOT(OR(AND(LEN(E174&amp;"")=10,LEFT(E174&amp;"",2)="09"),AND(LEN(E174&amp;"")=9,LEFT(E174&amp;"",1)="9")))),"mobile must be 09XXXXXXXX or status invalid; ","")&amp;IF(COUNTIFS($A$6:$A$505,A174,$B$6:$B$505,B174,$E$6:$E$505,E174)&gt;1,"duplicate number for same entity; ",""))))</f>
        <v/>
      </c>
    </row>
    <row r="175" spans="1:14">
      <c r="A175" s="23"/>
      <c r="B175" s="24"/>
      <c r="C175" s="25"/>
      <c r="D175" s="25"/>
      <c r="E175" s="24"/>
      <c r="F175" s="24"/>
      <c r="G175" s="25"/>
      <c r="H175" s="25"/>
      <c r="I175" s="25"/>
      <c r="J175" s="25"/>
      <c r="K175" s="25"/>
      <c r="L175" s="25"/>
      <c r="M175" s="25" t="str">
        <f>IF(AND(A175="",B175="",E175=""),"",IF(OR(A175="",B175="",C175="",D175="",E175="",J175="",AND(A175="client",COUNTIF(الزبائن!$A$6:$A$505,B175)=0),AND(A175="proposed_name",COUNTIF('أسماء مقترحة'!$A$6:$A$505,B175)=0),AND(D175="mobile",J175&lt;&gt;"invalid",NOT(OR(AND(LEN(E175&amp;"")=10,LEFT(E175&amp;"",2)="09"),AND(LEN(E175&amp;"")=9,LEFT(E175&amp;"",1)="9")))),COUNTIFS($A$6:$A$505,A175,$B$6:$B$505,B175,$E$6:$E$505,E175)&gt;1),"REVIEW","READY"))</f>
        <v/>
      </c>
      <c r="N175" s="27" t="str">
        <f>IF(M175="","",IF(M175="READY","",TRIM(IF(A175="","missing entity_type; ","")&amp;IF(B175="","missing entity_key; ","")&amp;IF(C175="","missing contact_order; ","")&amp;IF(D175="","missing contact_type; ","")&amp;IF(E175="","missing number; ","")&amp;IF(J175="","missing status; ","")&amp;IF(AND(A175="client",COUNTIF(الزبائن!$A$6:$A$505,B175)=0),"client key not found; ","")&amp;IF(AND(A175="proposed_name",COUNTIF('أسماء مقترحة'!$A$6:$A$505,B175)=0),"proposed_name key not found; ","")&amp;IF(AND(D175="mobile",J175&lt;&gt;"invalid",NOT(OR(AND(LEN(E175&amp;"")=10,LEFT(E175&amp;"",2)="09"),AND(LEN(E175&amp;"")=9,LEFT(E175&amp;"",1)="9")))),"mobile must be 09XXXXXXXX or status invalid; ","")&amp;IF(COUNTIFS($A$6:$A$505,A175,$B$6:$B$505,B175,$E$6:$E$505,E175)&gt;1,"duplicate number for same entity; ",""))))</f>
        <v/>
      </c>
    </row>
    <row r="176" spans="1:14">
      <c r="A176" s="23"/>
      <c r="B176" s="24"/>
      <c r="C176" s="25"/>
      <c r="D176" s="25"/>
      <c r="E176" s="24"/>
      <c r="F176" s="24"/>
      <c r="G176" s="25"/>
      <c r="H176" s="25"/>
      <c r="I176" s="25"/>
      <c r="J176" s="25"/>
      <c r="K176" s="25"/>
      <c r="L176" s="25"/>
      <c r="M176" s="25" t="str">
        <f>IF(AND(A176="",B176="",E176=""),"",IF(OR(A176="",B176="",C176="",D176="",E176="",J176="",AND(A176="client",COUNTIF(الزبائن!$A$6:$A$505,B176)=0),AND(A176="proposed_name",COUNTIF('أسماء مقترحة'!$A$6:$A$505,B176)=0),AND(D176="mobile",J176&lt;&gt;"invalid",NOT(OR(AND(LEN(E176&amp;"")=10,LEFT(E176&amp;"",2)="09"),AND(LEN(E176&amp;"")=9,LEFT(E176&amp;"",1)="9")))),COUNTIFS($A$6:$A$505,A176,$B$6:$B$505,B176,$E$6:$E$505,E176)&gt;1),"REVIEW","READY"))</f>
        <v/>
      </c>
      <c r="N176" s="27" t="str">
        <f>IF(M176="","",IF(M176="READY","",TRIM(IF(A176="","missing entity_type; ","")&amp;IF(B176="","missing entity_key; ","")&amp;IF(C176="","missing contact_order; ","")&amp;IF(D176="","missing contact_type; ","")&amp;IF(E176="","missing number; ","")&amp;IF(J176="","missing status; ","")&amp;IF(AND(A176="client",COUNTIF(الزبائن!$A$6:$A$505,B176)=0),"client key not found; ","")&amp;IF(AND(A176="proposed_name",COUNTIF('أسماء مقترحة'!$A$6:$A$505,B176)=0),"proposed_name key not found; ","")&amp;IF(AND(D176="mobile",J176&lt;&gt;"invalid",NOT(OR(AND(LEN(E176&amp;"")=10,LEFT(E176&amp;"",2)="09"),AND(LEN(E176&amp;"")=9,LEFT(E176&amp;"",1)="9")))),"mobile must be 09XXXXXXXX or status invalid; ","")&amp;IF(COUNTIFS($A$6:$A$505,A176,$B$6:$B$505,B176,$E$6:$E$505,E176)&gt;1,"duplicate number for same entity; ",""))))</f>
        <v/>
      </c>
    </row>
    <row r="177" spans="1:14">
      <c r="A177" s="23"/>
      <c r="B177" s="24"/>
      <c r="C177" s="25"/>
      <c r="D177" s="25"/>
      <c r="E177" s="24"/>
      <c r="F177" s="24"/>
      <c r="G177" s="25"/>
      <c r="H177" s="25"/>
      <c r="I177" s="25"/>
      <c r="J177" s="25"/>
      <c r="K177" s="25"/>
      <c r="L177" s="25"/>
      <c r="M177" s="25" t="str">
        <f>IF(AND(A177="",B177="",E177=""),"",IF(OR(A177="",B177="",C177="",D177="",E177="",J177="",AND(A177="client",COUNTIF(الزبائن!$A$6:$A$505,B177)=0),AND(A177="proposed_name",COUNTIF('أسماء مقترحة'!$A$6:$A$505,B177)=0),AND(D177="mobile",J177&lt;&gt;"invalid",NOT(OR(AND(LEN(E177&amp;"")=10,LEFT(E177&amp;"",2)="09"),AND(LEN(E177&amp;"")=9,LEFT(E177&amp;"",1)="9")))),COUNTIFS($A$6:$A$505,A177,$B$6:$B$505,B177,$E$6:$E$505,E177)&gt;1),"REVIEW","READY"))</f>
        <v/>
      </c>
      <c r="N177" s="27" t="str">
        <f>IF(M177="","",IF(M177="READY","",TRIM(IF(A177="","missing entity_type; ","")&amp;IF(B177="","missing entity_key; ","")&amp;IF(C177="","missing contact_order; ","")&amp;IF(D177="","missing contact_type; ","")&amp;IF(E177="","missing number; ","")&amp;IF(J177="","missing status; ","")&amp;IF(AND(A177="client",COUNTIF(الزبائن!$A$6:$A$505,B177)=0),"client key not found; ","")&amp;IF(AND(A177="proposed_name",COUNTIF('أسماء مقترحة'!$A$6:$A$505,B177)=0),"proposed_name key not found; ","")&amp;IF(AND(D177="mobile",J177&lt;&gt;"invalid",NOT(OR(AND(LEN(E177&amp;"")=10,LEFT(E177&amp;"",2)="09"),AND(LEN(E177&amp;"")=9,LEFT(E177&amp;"",1)="9")))),"mobile must be 09XXXXXXXX or status invalid; ","")&amp;IF(COUNTIFS($A$6:$A$505,A177,$B$6:$B$505,B177,$E$6:$E$505,E177)&gt;1,"duplicate number for same entity; ",""))))</f>
        <v/>
      </c>
    </row>
    <row r="178" spans="1:14">
      <c r="A178" s="23"/>
      <c r="B178" s="24"/>
      <c r="C178" s="25"/>
      <c r="D178" s="25"/>
      <c r="E178" s="24"/>
      <c r="F178" s="24"/>
      <c r="G178" s="25"/>
      <c r="H178" s="25"/>
      <c r="I178" s="25"/>
      <c r="J178" s="25"/>
      <c r="K178" s="25"/>
      <c r="L178" s="25"/>
      <c r="M178" s="25" t="str">
        <f>IF(AND(A178="",B178="",E178=""),"",IF(OR(A178="",B178="",C178="",D178="",E178="",J178="",AND(A178="client",COUNTIF(الزبائن!$A$6:$A$505,B178)=0),AND(A178="proposed_name",COUNTIF('أسماء مقترحة'!$A$6:$A$505,B178)=0),AND(D178="mobile",J178&lt;&gt;"invalid",NOT(OR(AND(LEN(E178&amp;"")=10,LEFT(E178&amp;"",2)="09"),AND(LEN(E178&amp;"")=9,LEFT(E178&amp;"",1)="9")))),COUNTIFS($A$6:$A$505,A178,$B$6:$B$505,B178,$E$6:$E$505,E178)&gt;1),"REVIEW","READY"))</f>
        <v/>
      </c>
      <c r="N178" s="27" t="str">
        <f>IF(M178="","",IF(M178="READY","",TRIM(IF(A178="","missing entity_type; ","")&amp;IF(B178="","missing entity_key; ","")&amp;IF(C178="","missing contact_order; ","")&amp;IF(D178="","missing contact_type; ","")&amp;IF(E178="","missing number; ","")&amp;IF(J178="","missing status; ","")&amp;IF(AND(A178="client",COUNTIF(الزبائن!$A$6:$A$505,B178)=0),"client key not found; ","")&amp;IF(AND(A178="proposed_name",COUNTIF('أسماء مقترحة'!$A$6:$A$505,B178)=0),"proposed_name key not found; ","")&amp;IF(AND(D178="mobile",J178&lt;&gt;"invalid",NOT(OR(AND(LEN(E178&amp;"")=10,LEFT(E178&amp;"",2)="09"),AND(LEN(E178&amp;"")=9,LEFT(E178&amp;"",1)="9")))),"mobile must be 09XXXXXXXX or status invalid; ","")&amp;IF(COUNTIFS($A$6:$A$505,A178,$B$6:$B$505,B178,$E$6:$E$505,E178)&gt;1,"duplicate number for same entity; ",""))))</f>
        <v/>
      </c>
    </row>
    <row r="179" spans="1:14">
      <c r="A179" s="23"/>
      <c r="B179" s="24"/>
      <c r="C179" s="25"/>
      <c r="D179" s="25"/>
      <c r="E179" s="24"/>
      <c r="F179" s="24"/>
      <c r="G179" s="25"/>
      <c r="H179" s="25"/>
      <c r="I179" s="25"/>
      <c r="J179" s="25"/>
      <c r="K179" s="25"/>
      <c r="L179" s="25"/>
      <c r="M179" s="25" t="str">
        <f>IF(AND(A179="",B179="",E179=""),"",IF(OR(A179="",B179="",C179="",D179="",E179="",J179="",AND(A179="client",COUNTIF(الزبائن!$A$6:$A$505,B179)=0),AND(A179="proposed_name",COUNTIF('أسماء مقترحة'!$A$6:$A$505,B179)=0),AND(D179="mobile",J179&lt;&gt;"invalid",NOT(OR(AND(LEN(E179&amp;"")=10,LEFT(E179&amp;"",2)="09"),AND(LEN(E179&amp;"")=9,LEFT(E179&amp;"",1)="9")))),COUNTIFS($A$6:$A$505,A179,$B$6:$B$505,B179,$E$6:$E$505,E179)&gt;1),"REVIEW","READY"))</f>
        <v/>
      </c>
      <c r="N179" s="27" t="str">
        <f>IF(M179="","",IF(M179="READY","",TRIM(IF(A179="","missing entity_type; ","")&amp;IF(B179="","missing entity_key; ","")&amp;IF(C179="","missing contact_order; ","")&amp;IF(D179="","missing contact_type; ","")&amp;IF(E179="","missing number; ","")&amp;IF(J179="","missing status; ","")&amp;IF(AND(A179="client",COUNTIF(الزبائن!$A$6:$A$505,B179)=0),"client key not found; ","")&amp;IF(AND(A179="proposed_name",COUNTIF('أسماء مقترحة'!$A$6:$A$505,B179)=0),"proposed_name key not found; ","")&amp;IF(AND(D179="mobile",J179&lt;&gt;"invalid",NOT(OR(AND(LEN(E179&amp;"")=10,LEFT(E179&amp;"",2)="09"),AND(LEN(E179&amp;"")=9,LEFT(E179&amp;"",1)="9")))),"mobile must be 09XXXXXXXX or status invalid; ","")&amp;IF(COUNTIFS($A$6:$A$505,A179,$B$6:$B$505,B179,$E$6:$E$505,E179)&gt;1,"duplicate number for same entity; ",""))))</f>
        <v/>
      </c>
    </row>
    <row r="180" spans="1:14">
      <c r="A180" s="23"/>
      <c r="B180" s="24"/>
      <c r="C180" s="25"/>
      <c r="D180" s="25"/>
      <c r="E180" s="24"/>
      <c r="F180" s="24"/>
      <c r="G180" s="25"/>
      <c r="H180" s="25"/>
      <c r="I180" s="25"/>
      <c r="J180" s="25"/>
      <c r="K180" s="25"/>
      <c r="L180" s="25"/>
      <c r="M180" s="25" t="str">
        <f>IF(AND(A180="",B180="",E180=""),"",IF(OR(A180="",B180="",C180="",D180="",E180="",J180="",AND(A180="client",COUNTIF(الزبائن!$A$6:$A$505,B180)=0),AND(A180="proposed_name",COUNTIF('أسماء مقترحة'!$A$6:$A$505,B180)=0),AND(D180="mobile",J180&lt;&gt;"invalid",NOT(OR(AND(LEN(E180&amp;"")=10,LEFT(E180&amp;"",2)="09"),AND(LEN(E180&amp;"")=9,LEFT(E180&amp;"",1)="9")))),COUNTIFS($A$6:$A$505,A180,$B$6:$B$505,B180,$E$6:$E$505,E180)&gt;1),"REVIEW","READY"))</f>
        <v/>
      </c>
      <c r="N180" s="27" t="str">
        <f>IF(M180="","",IF(M180="READY","",TRIM(IF(A180="","missing entity_type; ","")&amp;IF(B180="","missing entity_key; ","")&amp;IF(C180="","missing contact_order; ","")&amp;IF(D180="","missing contact_type; ","")&amp;IF(E180="","missing number; ","")&amp;IF(J180="","missing status; ","")&amp;IF(AND(A180="client",COUNTIF(الزبائن!$A$6:$A$505,B180)=0),"client key not found; ","")&amp;IF(AND(A180="proposed_name",COUNTIF('أسماء مقترحة'!$A$6:$A$505,B180)=0),"proposed_name key not found; ","")&amp;IF(AND(D180="mobile",J180&lt;&gt;"invalid",NOT(OR(AND(LEN(E180&amp;"")=10,LEFT(E180&amp;"",2)="09"),AND(LEN(E180&amp;"")=9,LEFT(E180&amp;"",1)="9")))),"mobile must be 09XXXXXXXX or status invalid; ","")&amp;IF(COUNTIFS($A$6:$A$505,A180,$B$6:$B$505,B180,$E$6:$E$505,E180)&gt;1,"duplicate number for same entity; ",""))))</f>
        <v/>
      </c>
    </row>
    <row r="181" spans="1:14">
      <c r="A181" s="23"/>
      <c r="B181" s="24"/>
      <c r="C181" s="25"/>
      <c r="D181" s="25"/>
      <c r="E181" s="24"/>
      <c r="F181" s="24"/>
      <c r="G181" s="25"/>
      <c r="H181" s="25"/>
      <c r="I181" s="25"/>
      <c r="J181" s="25"/>
      <c r="K181" s="25"/>
      <c r="L181" s="25"/>
      <c r="M181" s="25" t="str">
        <f>IF(AND(A181="",B181="",E181=""),"",IF(OR(A181="",B181="",C181="",D181="",E181="",J181="",AND(A181="client",COUNTIF(الزبائن!$A$6:$A$505,B181)=0),AND(A181="proposed_name",COUNTIF('أسماء مقترحة'!$A$6:$A$505,B181)=0),AND(D181="mobile",J181&lt;&gt;"invalid",NOT(OR(AND(LEN(E181&amp;"")=10,LEFT(E181&amp;"",2)="09"),AND(LEN(E181&amp;"")=9,LEFT(E181&amp;"",1)="9")))),COUNTIFS($A$6:$A$505,A181,$B$6:$B$505,B181,$E$6:$E$505,E181)&gt;1),"REVIEW","READY"))</f>
        <v/>
      </c>
      <c r="N181" s="27" t="str">
        <f>IF(M181="","",IF(M181="READY","",TRIM(IF(A181="","missing entity_type; ","")&amp;IF(B181="","missing entity_key; ","")&amp;IF(C181="","missing contact_order; ","")&amp;IF(D181="","missing contact_type; ","")&amp;IF(E181="","missing number; ","")&amp;IF(J181="","missing status; ","")&amp;IF(AND(A181="client",COUNTIF(الزبائن!$A$6:$A$505,B181)=0),"client key not found; ","")&amp;IF(AND(A181="proposed_name",COUNTIF('أسماء مقترحة'!$A$6:$A$505,B181)=0),"proposed_name key not found; ","")&amp;IF(AND(D181="mobile",J181&lt;&gt;"invalid",NOT(OR(AND(LEN(E181&amp;"")=10,LEFT(E181&amp;"",2)="09"),AND(LEN(E181&amp;"")=9,LEFT(E181&amp;"",1)="9")))),"mobile must be 09XXXXXXXX or status invalid; ","")&amp;IF(COUNTIFS($A$6:$A$505,A181,$B$6:$B$505,B181,$E$6:$E$505,E181)&gt;1,"duplicate number for same entity; ",""))))</f>
        <v/>
      </c>
    </row>
    <row r="182" spans="1:14">
      <c r="A182" s="23"/>
      <c r="B182" s="24"/>
      <c r="C182" s="25"/>
      <c r="D182" s="25"/>
      <c r="E182" s="24"/>
      <c r="F182" s="24"/>
      <c r="G182" s="25"/>
      <c r="H182" s="25"/>
      <c r="I182" s="25"/>
      <c r="J182" s="25"/>
      <c r="K182" s="25"/>
      <c r="L182" s="25"/>
      <c r="M182" s="25" t="str">
        <f>IF(AND(A182="",B182="",E182=""),"",IF(OR(A182="",B182="",C182="",D182="",E182="",J182="",AND(A182="client",COUNTIF(الزبائن!$A$6:$A$505,B182)=0),AND(A182="proposed_name",COUNTIF('أسماء مقترحة'!$A$6:$A$505,B182)=0),AND(D182="mobile",J182&lt;&gt;"invalid",NOT(OR(AND(LEN(E182&amp;"")=10,LEFT(E182&amp;"",2)="09"),AND(LEN(E182&amp;"")=9,LEFT(E182&amp;"",1)="9")))),COUNTIFS($A$6:$A$505,A182,$B$6:$B$505,B182,$E$6:$E$505,E182)&gt;1),"REVIEW","READY"))</f>
        <v/>
      </c>
      <c r="N182" s="27" t="str">
        <f>IF(M182="","",IF(M182="READY","",TRIM(IF(A182="","missing entity_type; ","")&amp;IF(B182="","missing entity_key; ","")&amp;IF(C182="","missing contact_order; ","")&amp;IF(D182="","missing contact_type; ","")&amp;IF(E182="","missing number; ","")&amp;IF(J182="","missing status; ","")&amp;IF(AND(A182="client",COUNTIF(الزبائن!$A$6:$A$505,B182)=0),"client key not found; ","")&amp;IF(AND(A182="proposed_name",COUNTIF('أسماء مقترحة'!$A$6:$A$505,B182)=0),"proposed_name key not found; ","")&amp;IF(AND(D182="mobile",J182&lt;&gt;"invalid",NOT(OR(AND(LEN(E182&amp;"")=10,LEFT(E182&amp;"",2)="09"),AND(LEN(E182&amp;"")=9,LEFT(E182&amp;"",1)="9")))),"mobile must be 09XXXXXXXX or status invalid; ","")&amp;IF(COUNTIFS($A$6:$A$505,A182,$B$6:$B$505,B182,$E$6:$E$505,E182)&gt;1,"duplicate number for same entity; ",""))))</f>
        <v/>
      </c>
    </row>
    <row r="183" spans="1:14">
      <c r="A183" s="23"/>
      <c r="B183" s="24"/>
      <c r="C183" s="25"/>
      <c r="D183" s="25"/>
      <c r="E183" s="24"/>
      <c r="F183" s="24"/>
      <c r="G183" s="25"/>
      <c r="H183" s="25"/>
      <c r="I183" s="25"/>
      <c r="J183" s="25"/>
      <c r="K183" s="25"/>
      <c r="L183" s="25"/>
      <c r="M183" s="25" t="str">
        <f>IF(AND(A183="",B183="",E183=""),"",IF(OR(A183="",B183="",C183="",D183="",E183="",J183="",AND(A183="client",COUNTIF(الزبائن!$A$6:$A$505,B183)=0),AND(A183="proposed_name",COUNTIF('أسماء مقترحة'!$A$6:$A$505,B183)=0),AND(D183="mobile",J183&lt;&gt;"invalid",NOT(OR(AND(LEN(E183&amp;"")=10,LEFT(E183&amp;"",2)="09"),AND(LEN(E183&amp;"")=9,LEFT(E183&amp;"",1)="9")))),COUNTIFS($A$6:$A$505,A183,$B$6:$B$505,B183,$E$6:$E$505,E183)&gt;1),"REVIEW","READY"))</f>
        <v/>
      </c>
      <c r="N183" s="27" t="str">
        <f>IF(M183="","",IF(M183="READY","",TRIM(IF(A183="","missing entity_type; ","")&amp;IF(B183="","missing entity_key; ","")&amp;IF(C183="","missing contact_order; ","")&amp;IF(D183="","missing contact_type; ","")&amp;IF(E183="","missing number; ","")&amp;IF(J183="","missing status; ","")&amp;IF(AND(A183="client",COUNTIF(الزبائن!$A$6:$A$505,B183)=0),"client key not found; ","")&amp;IF(AND(A183="proposed_name",COUNTIF('أسماء مقترحة'!$A$6:$A$505,B183)=0),"proposed_name key not found; ","")&amp;IF(AND(D183="mobile",J183&lt;&gt;"invalid",NOT(OR(AND(LEN(E183&amp;"")=10,LEFT(E183&amp;"",2)="09"),AND(LEN(E183&amp;"")=9,LEFT(E183&amp;"",1)="9")))),"mobile must be 09XXXXXXXX or status invalid; ","")&amp;IF(COUNTIFS($A$6:$A$505,A183,$B$6:$B$505,B183,$E$6:$E$505,E183)&gt;1,"duplicate number for same entity; ",""))))</f>
        <v/>
      </c>
    </row>
    <row r="184" spans="1:14">
      <c r="A184" s="23"/>
      <c r="B184" s="24"/>
      <c r="C184" s="25"/>
      <c r="D184" s="25"/>
      <c r="E184" s="24"/>
      <c r="F184" s="24"/>
      <c r="G184" s="25"/>
      <c r="H184" s="25"/>
      <c r="I184" s="25"/>
      <c r="J184" s="25"/>
      <c r="K184" s="25"/>
      <c r="L184" s="25"/>
      <c r="M184" s="25" t="str">
        <f>IF(AND(A184="",B184="",E184=""),"",IF(OR(A184="",B184="",C184="",D184="",E184="",J184="",AND(A184="client",COUNTIF(الزبائن!$A$6:$A$505,B184)=0),AND(A184="proposed_name",COUNTIF('أسماء مقترحة'!$A$6:$A$505,B184)=0),AND(D184="mobile",J184&lt;&gt;"invalid",NOT(OR(AND(LEN(E184&amp;"")=10,LEFT(E184&amp;"",2)="09"),AND(LEN(E184&amp;"")=9,LEFT(E184&amp;"",1)="9")))),COUNTIFS($A$6:$A$505,A184,$B$6:$B$505,B184,$E$6:$E$505,E184)&gt;1),"REVIEW","READY"))</f>
        <v/>
      </c>
      <c r="N184" s="27" t="str">
        <f>IF(M184="","",IF(M184="READY","",TRIM(IF(A184="","missing entity_type; ","")&amp;IF(B184="","missing entity_key; ","")&amp;IF(C184="","missing contact_order; ","")&amp;IF(D184="","missing contact_type; ","")&amp;IF(E184="","missing number; ","")&amp;IF(J184="","missing status; ","")&amp;IF(AND(A184="client",COUNTIF(الزبائن!$A$6:$A$505,B184)=0),"client key not found; ","")&amp;IF(AND(A184="proposed_name",COUNTIF('أسماء مقترحة'!$A$6:$A$505,B184)=0),"proposed_name key not found; ","")&amp;IF(AND(D184="mobile",J184&lt;&gt;"invalid",NOT(OR(AND(LEN(E184&amp;"")=10,LEFT(E184&amp;"",2)="09"),AND(LEN(E184&amp;"")=9,LEFT(E184&amp;"",1)="9")))),"mobile must be 09XXXXXXXX or status invalid; ","")&amp;IF(COUNTIFS($A$6:$A$505,A184,$B$6:$B$505,B184,$E$6:$E$505,E184)&gt;1,"duplicate number for same entity; ",""))))</f>
        <v/>
      </c>
    </row>
    <row r="185" spans="1:14">
      <c r="A185" s="23"/>
      <c r="B185" s="24"/>
      <c r="C185" s="25"/>
      <c r="D185" s="25"/>
      <c r="E185" s="24"/>
      <c r="F185" s="24"/>
      <c r="G185" s="25"/>
      <c r="H185" s="25"/>
      <c r="I185" s="25"/>
      <c r="J185" s="25"/>
      <c r="K185" s="25"/>
      <c r="L185" s="25"/>
      <c r="M185" s="25" t="str">
        <f>IF(AND(A185="",B185="",E185=""),"",IF(OR(A185="",B185="",C185="",D185="",E185="",J185="",AND(A185="client",COUNTIF(الزبائن!$A$6:$A$505,B185)=0),AND(A185="proposed_name",COUNTIF('أسماء مقترحة'!$A$6:$A$505,B185)=0),AND(D185="mobile",J185&lt;&gt;"invalid",NOT(OR(AND(LEN(E185&amp;"")=10,LEFT(E185&amp;"",2)="09"),AND(LEN(E185&amp;"")=9,LEFT(E185&amp;"",1)="9")))),COUNTIFS($A$6:$A$505,A185,$B$6:$B$505,B185,$E$6:$E$505,E185)&gt;1),"REVIEW","READY"))</f>
        <v/>
      </c>
      <c r="N185" s="27" t="str">
        <f>IF(M185="","",IF(M185="READY","",TRIM(IF(A185="","missing entity_type; ","")&amp;IF(B185="","missing entity_key; ","")&amp;IF(C185="","missing contact_order; ","")&amp;IF(D185="","missing contact_type; ","")&amp;IF(E185="","missing number; ","")&amp;IF(J185="","missing status; ","")&amp;IF(AND(A185="client",COUNTIF(الزبائن!$A$6:$A$505,B185)=0),"client key not found; ","")&amp;IF(AND(A185="proposed_name",COUNTIF('أسماء مقترحة'!$A$6:$A$505,B185)=0),"proposed_name key not found; ","")&amp;IF(AND(D185="mobile",J185&lt;&gt;"invalid",NOT(OR(AND(LEN(E185&amp;"")=10,LEFT(E185&amp;"",2)="09"),AND(LEN(E185&amp;"")=9,LEFT(E185&amp;"",1)="9")))),"mobile must be 09XXXXXXXX or status invalid; ","")&amp;IF(COUNTIFS($A$6:$A$505,A185,$B$6:$B$505,B185,$E$6:$E$505,E185)&gt;1,"duplicate number for same entity; ",""))))</f>
        <v/>
      </c>
    </row>
    <row r="186" spans="1:14">
      <c r="A186" s="23"/>
      <c r="B186" s="24"/>
      <c r="C186" s="25"/>
      <c r="D186" s="25"/>
      <c r="E186" s="24"/>
      <c r="F186" s="24"/>
      <c r="G186" s="25"/>
      <c r="H186" s="25"/>
      <c r="I186" s="25"/>
      <c r="J186" s="25"/>
      <c r="K186" s="25"/>
      <c r="L186" s="25"/>
      <c r="M186" s="25" t="str">
        <f>IF(AND(A186="",B186="",E186=""),"",IF(OR(A186="",B186="",C186="",D186="",E186="",J186="",AND(A186="client",COUNTIF(الزبائن!$A$6:$A$505,B186)=0),AND(A186="proposed_name",COUNTIF('أسماء مقترحة'!$A$6:$A$505,B186)=0),AND(D186="mobile",J186&lt;&gt;"invalid",NOT(OR(AND(LEN(E186&amp;"")=10,LEFT(E186&amp;"",2)="09"),AND(LEN(E186&amp;"")=9,LEFT(E186&amp;"",1)="9")))),COUNTIFS($A$6:$A$505,A186,$B$6:$B$505,B186,$E$6:$E$505,E186)&gt;1),"REVIEW","READY"))</f>
        <v/>
      </c>
      <c r="N186" s="27" t="str">
        <f>IF(M186="","",IF(M186="READY","",TRIM(IF(A186="","missing entity_type; ","")&amp;IF(B186="","missing entity_key; ","")&amp;IF(C186="","missing contact_order; ","")&amp;IF(D186="","missing contact_type; ","")&amp;IF(E186="","missing number; ","")&amp;IF(J186="","missing status; ","")&amp;IF(AND(A186="client",COUNTIF(الزبائن!$A$6:$A$505,B186)=0),"client key not found; ","")&amp;IF(AND(A186="proposed_name",COUNTIF('أسماء مقترحة'!$A$6:$A$505,B186)=0),"proposed_name key not found; ","")&amp;IF(AND(D186="mobile",J186&lt;&gt;"invalid",NOT(OR(AND(LEN(E186&amp;"")=10,LEFT(E186&amp;"",2)="09"),AND(LEN(E186&amp;"")=9,LEFT(E186&amp;"",1)="9")))),"mobile must be 09XXXXXXXX or status invalid; ","")&amp;IF(COUNTIFS($A$6:$A$505,A186,$B$6:$B$505,B186,$E$6:$E$505,E186)&gt;1,"duplicate number for same entity; ",""))))</f>
        <v/>
      </c>
    </row>
    <row r="187" spans="1:14">
      <c r="A187" s="23"/>
      <c r="B187" s="24"/>
      <c r="C187" s="25"/>
      <c r="D187" s="25"/>
      <c r="E187" s="24"/>
      <c r="F187" s="24"/>
      <c r="G187" s="25"/>
      <c r="H187" s="25"/>
      <c r="I187" s="25"/>
      <c r="J187" s="25"/>
      <c r="K187" s="25"/>
      <c r="L187" s="25"/>
      <c r="M187" s="25" t="str">
        <f>IF(AND(A187="",B187="",E187=""),"",IF(OR(A187="",B187="",C187="",D187="",E187="",J187="",AND(A187="client",COUNTIF(الزبائن!$A$6:$A$505,B187)=0),AND(A187="proposed_name",COUNTIF('أسماء مقترحة'!$A$6:$A$505,B187)=0),AND(D187="mobile",J187&lt;&gt;"invalid",NOT(OR(AND(LEN(E187&amp;"")=10,LEFT(E187&amp;"",2)="09"),AND(LEN(E187&amp;"")=9,LEFT(E187&amp;"",1)="9")))),COUNTIFS($A$6:$A$505,A187,$B$6:$B$505,B187,$E$6:$E$505,E187)&gt;1),"REVIEW","READY"))</f>
        <v/>
      </c>
      <c r="N187" s="27" t="str">
        <f>IF(M187="","",IF(M187="READY","",TRIM(IF(A187="","missing entity_type; ","")&amp;IF(B187="","missing entity_key; ","")&amp;IF(C187="","missing contact_order; ","")&amp;IF(D187="","missing contact_type; ","")&amp;IF(E187="","missing number; ","")&amp;IF(J187="","missing status; ","")&amp;IF(AND(A187="client",COUNTIF(الزبائن!$A$6:$A$505,B187)=0),"client key not found; ","")&amp;IF(AND(A187="proposed_name",COUNTIF('أسماء مقترحة'!$A$6:$A$505,B187)=0),"proposed_name key not found; ","")&amp;IF(AND(D187="mobile",J187&lt;&gt;"invalid",NOT(OR(AND(LEN(E187&amp;"")=10,LEFT(E187&amp;"",2)="09"),AND(LEN(E187&amp;"")=9,LEFT(E187&amp;"",1)="9")))),"mobile must be 09XXXXXXXX or status invalid; ","")&amp;IF(COUNTIFS($A$6:$A$505,A187,$B$6:$B$505,B187,$E$6:$E$505,E187)&gt;1,"duplicate number for same entity; ",""))))</f>
        <v/>
      </c>
    </row>
    <row r="188" spans="1:14">
      <c r="A188" s="23"/>
      <c r="B188" s="24"/>
      <c r="C188" s="25"/>
      <c r="D188" s="25"/>
      <c r="E188" s="24"/>
      <c r="F188" s="24"/>
      <c r="G188" s="25"/>
      <c r="H188" s="25"/>
      <c r="I188" s="25"/>
      <c r="J188" s="25"/>
      <c r="K188" s="25"/>
      <c r="L188" s="25"/>
      <c r="M188" s="25" t="str">
        <f>IF(AND(A188="",B188="",E188=""),"",IF(OR(A188="",B188="",C188="",D188="",E188="",J188="",AND(A188="client",COUNTIF(الزبائن!$A$6:$A$505,B188)=0),AND(A188="proposed_name",COUNTIF('أسماء مقترحة'!$A$6:$A$505,B188)=0),AND(D188="mobile",J188&lt;&gt;"invalid",NOT(OR(AND(LEN(E188&amp;"")=10,LEFT(E188&amp;"",2)="09"),AND(LEN(E188&amp;"")=9,LEFT(E188&amp;"",1)="9")))),COUNTIFS($A$6:$A$505,A188,$B$6:$B$505,B188,$E$6:$E$505,E188)&gt;1),"REVIEW","READY"))</f>
        <v/>
      </c>
      <c r="N188" s="27" t="str">
        <f>IF(M188="","",IF(M188="READY","",TRIM(IF(A188="","missing entity_type; ","")&amp;IF(B188="","missing entity_key; ","")&amp;IF(C188="","missing contact_order; ","")&amp;IF(D188="","missing contact_type; ","")&amp;IF(E188="","missing number; ","")&amp;IF(J188="","missing status; ","")&amp;IF(AND(A188="client",COUNTIF(الزبائن!$A$6:$A$505,B188)=0),"client key not found; ","")&amp;IF(AND(A188="proposed_name",COUNTIF('أسماء مقترحة'!$A$6:$A$505,B188)=0),"proposed_name key not found; ","")&amp;IF(AND(D188="mobile",J188&lt;&gt;"invalid",NOT(OR(AND(LEN(E188&amp;"")=10,LEFT(E188&amp;"",2)="09"),AND(LEN(E188&amp;"")=9,LEFT(E188&amp;"",1)="9")))),"mobile must be 09XXXXXXXX or status invalid; ","")&amp;IF(COUNTIFS($A$6:$A$505,A188,$B$6:$B$505,B188,$E$6:$E$505,E188)&gt;1,"duplicate number for same entity; ",""))))</f>
        <v/>
      </c>
    </row>
    <row r="189" spans="1:14">
      <c r="A189" s="23"/>
      <c r="B189" s="24"/>
      <c r="C189" s="25"/>
      <c r="D189" s="25"/>
      <c r="E189" s="24"/>
      <c r="F189" s="24"/>
      <c r="G189" s="25"/>
      <c r="H189" s="25"/>
      <c r="I189" s="25"/>
      <c r="J189" s="25"/>
      <c r="K189" s="25"/>
      <c r="L189" s="25"/>
      <c r="M189" s="25" t="str">
        <f>IF(AND(A189="",B189="",E189=""),"",IF(OR(A189="",B189="",C189="",D189="",E189="",J189="",AND(A189="client",COUNTIF(الزبائن!$A$6:$A$505,B189)=0),AND(A189="proposed_name",COUNTIF('أسماء مقترحة'!$A$6:$A$505,B189)=0),AND(D189="mobile",J189&lt;&gt;"invalid",NOT(OR(AND(LEN(E189&amp;"")=10,LEFT(E189&amp;"",2)="09"),AND(LEN(E189&amp;"")=9,LEFT(E189&amp;"",1)="9")))),COUNTIFS($A$6:$A$505,A189,$B$6:$B$505,B189,$E$6:$E$505,E189)&gt;1),"REVIEW","READY"))</f>
        <v/>
      </c>
      <c r="N189" s="27" t="str">
        <f>IF(M189="","",IF(M189="READY","",TRIM(IF(A189="","missing entity_type; ","")&amp;IF(B189="","missing entity_key; ","")&amp;IF(C189="","missing contact_order; ","")&amp;IF(D189="","missing contact_type; ","")&amp;IF(E189="","missing number; ","")&amp;IF(J189="","missing status; ","")&amp;IF(AND(A189="client",COUNTIF(الزبائن!$A$6:$A$505,B189)=0),"client key not found; ","")&amp;IF(AND(A189="proposed_name",COUNTIF('أسماء مقترحة'!$A$6:$A$505,B189)=0),"proposed_name key not found; ","")&amp;IF(AND(D189="mobile",J189&lt;&gt;"invalid",NOT(OR(AND(LEN(E189&amp;"")=10,LEFT(E189&amp;"",2)="09"),AND(LEN(E189&amp;"")=9,LEFT(E189&amp;"",1)="9")))),"mobile must be 09XXXXXXXX or status invalid; ","")&amp;IF(COUNTIFS($A$6:$A$505,A189,$B$6:$B$505,B189,$E$6:$E$505,E189)&gt;1,"duplicate number for same entity; ",""))))</f>
        <v/>
      </c>
    </row>
    <row r="190" spans="1:14">
      <c r="A190" s="23"/>
      <c r="B190" s="24"/>
      <c r="C190" s="25"/>
      <c r="D190" s="25"/>
      <c r="E190" s="24"/>
      <c r="F190" s="24"/>
      <c r="G190" s="25"/>
      <c r="H190" s="25"/>
      <c r="I190" s="25"/>
      <c r="J190" s="25"/>
      <c r="K190" s="25"/>
      <c r="L190" s="25"/>
      <c r="M190" s="25" t="str">
        <f>IF(AND(A190="",B190="",E190=""),"",IF(OR(A190="",B190="",C190="",D190="",E190="",J190="",AND(A190="client",COUNTIF(الزبائن!$A$6:$A$505,B190)=0),AND(A190="proposed_name",COUNTIF('أسماء مقترحة'!$A$6:$A$505,B190)=0),AND(D190="mobile",J190&lt;&gt;"invalid",NOT(OR(AND(LEN(E190&amp;"")=10,LEFT(E190&amp;"",2)="09"),AND(LEN(E190&amp;"")=9,LEFT(E190&amp;"",1)="9")))),COUNTIFS($A$6:$A$505,A190,$B$6:$B$505,B190,$E$6:$E$505,E190)&gt;1),"REVIEW","READY"))</f>
        <v/>
      </c>
      <c r="N190" s="27" t="str">
        <f>IF(M190="","",IF(M190="READY","",TRIM(IF(A190="","missing entity_type; ","")&amp;IF(B190="","missing entity_key; ","")&amp;IF(C190="","missing contact_order; ","")&amp;IF(D190="","missing contact_type; ","")&amp;IF(E190="","missing number; ","")&amp;IF(J190="","missing status; ","")&amp;IF(AND(A190="client",COUNTIF(الزبائن!$A$6:$A$505,B190)=0),"client key not found; ","")&amp;IF(AND(A190="proposed_name",COUNTIF('أسماء مقترحة'!$A$6:$A$505,B190)=0),"proposed_name key not found; ","")&amp;IF(AND(D190="mobile",J190&lt;&gt;"invalid",NOT(OR(AND(LEN(E190&amp;"")=10,LEFT(E190&amp;"",2)="09"),AND(LEN(E190&amp;"")=9,LEFT(E190&amp;"",1)="9")))),"mobile must be 09XXXXXXXX or status invalid; ","")&amp;IF(COUNTIFS($A$6:$A$505,A190,$B$6:$B$505,B190,$E$6:$E$505,E190)&gt;1,"duplicate number for same entity; ",""))))</f>
        <v/>
      </c>
    </row>
    <row r="191" spans="1:14">
      <c r="A191" s="23"/>
      <c r="B191" s="24"/>
      <c r="C191" s="25"/>
      <c r="D191" s="25"/>
      <c r="E191" s="24"/>
      <c r="F191" s="24"/>
      <c r="G191" s="25"/>
      <c r="H191" s="25"/>
      <c r="I191" s="25"/>
      <c r="J191" s="25"/>
      <c r="K191" s="25"/>
      <c r="L191" s="25"/>
      <c r="M191" s="25" t="str">
        <f>IF(AND(A191="",B191="",E191=""),"",IF(OR(A191="",B191="",C191="",D191="",E191="",J191="",AND(A191="client",COUNTIF(الزبائن!$A$6:$A$505,B191)=0),AND(A191="proposed_name",COUNTIF('أسماء مقترحة'!$A$6:$A$505,B191)=0),AND(D191="mobile",J191&lt;&gt;"invalid",NOT(OR(AND(LEN(E191&amp;"")=10,LEFT(E191&amp;"",2)="09"),AND(LEN(E191&amp;"")=9,LEFT(E191&amp;"",1)="9")))),COUNTIFS($A$6:$A$505,A191,$B$6:$B$505,B191,$E$6:$E$505,E191)&gt;1),"REVIEW","READY"))</f>
        <v/>
      </c>
      <c r="N191" s="27" t="str">
        <f>IF(M191="","",IF(M191="READY","",TRIM(IF(A191="","missing entity_type; ","")&amp;IF(B191="","missing entity_key; ","")&amp;IF(C191="","missing contact_order; ","")&amp;IF(D191="","missing contact_type; ","")&amp;IF(E191="","missing number; ","")&amp;IF(J191="","missing status; ","")&amp;IF(AND(A191="client",COUNTIF(الزبائن!$A$6:$A$505,B191)=0),"client key not found; ","")&amp;IF(AND(A191="proposed_name",COUNTIF('أسماء مقترحة'!$A$6:$A$505,B191)=0),"proposed_name key not found; ","")&amp;IF(AND(D191="mobile",J191&lt;&gt;"invalid",NOT(OR(AND(LEN(E191&amp;"")=10,LEFT(E191&amp;"",2)="09"),AND(LEN(E191&amp;"")=9,LEFT(E191&amp;"",1)="9")))),"mobile must be 09XXXXXXXX or status invalid; ","")&amp;IF(COUNTIFS($A$6:$A$505,A191,$B$6:$B$505,B191,$E$6:$E$505,E191)&gt;1,"duplicate number for same entity; ",""))))</f>
        <v/>
      </c>
    </row>
    <row r="192" spans="1:14">
      <c r="A192" s="23"/>
      <c r="B192" s="24"/>
      <c r="C192" s="25"/>
      <c r="D192" s="25"/>
      <c r="E192" s="24"/>
      <c r="F192" s="24"/>
      <c r="G192" s="25"/>
      <c r="H192" s="25"/>
      <c r="I192" s="25"/>
      <c r="J192" s="25"/>
      <c r="K192" s="25"/>
      <c r="L192" s="25"/>
      <c r="M192" s="25" t="str">
        <f>IF(AND(A192="",B192="",E192=""),"",IF(OR(A192="",B192="",C192="",D192="",E192="",J192="",AND(A192="client",COUNTIF(الزبائن!$A$6:$A$505,B192)=0),AND(A192="proposed_name",COUNTIF('أسماء مقترحة'!$A$6:$A$505,B192)=0),AND(D192="mobile",J192&lt;&gt;"invalid",NOT(OR(AND(LEN(E192&amp;"")=10,LEFT(E192&amp;"",2)="09"),AND(LEN(E192&amp;"")=9,LEFT(E192&amp;"",1)="9")))),COUNTIFS($A$6:$A$505,A192,$B$6:$B$505,B192,$E$6:$E$505,E192)&gt;1),"REVIEW","READY"))</f>
        <v/>
      </c>
      <c r="N192" s="27" t="str">
        <f>IF(M192="","",IF(M192="READY","",TRIM(IF(A192="","missing entity_type; ","")&amp;IF(B192="","missing entity_key; ","")&amp;IF(C192="","missing contact_order; ","")&amp;IF(D192="","missing contact_type; ","")&amp;IF(E192="","missing number; ","")&amp;IF(J192="","missing status; ","")&amp;IF(AND(A192="client",COUNTIF(الزبائن!$A$6:$A$505,B192)=0),"client key not found; ","")&amp;IF(AND(A192="proposed_name",COUNTIF('أسماء مقترحة'!$A$6:$A$505,B192)=0),"proposed_name key not found; ","")&amp;IF(AND(D192="mobile",J192&lt;&gt;"invalid",NOT(OR(AND(LEN(E192&amp;"")=10,LEFT(E192&amp;"",2)="09"),AND(LEN(E192&amp;"")=9,LEFT(E192&amp;"",1)="9")))),"mobile must be 09XXXXXXXX or status invalid; ","")&amp;IF(COUNTIFS($A$6:$A$505,A192,$B$6:$B$505,B192,$E$6:$E$505,E192)&gt;1,"duplicate number for same entity; ",""))))</f>
        <v/>
      </c>
    </row>
    <row r="193" spans="1:14">
      <c r="A193" s="23"/>
      <c r="B193" s="24"/>
      <c r="C193" s="25"/>
      <c r="D193" s="25"/>
      <c r="E193" s="24"/>
      <c r="F193" s="24"/>
      <c r="G193" s="25"/>
      <c r="H193" s="25"/>
      <c r="I193" s="25"/>
      <c r="J193" s="25"/>
      <c r="K193" s="25"/>
      <c r="L193" s="25"/>
      <c r="M193" s="25" t="str">
        <f>IF(AND(A193="",B193="",E193=""),"",IF(OR(A193="",B193="",C193="",D193="",E193="",J193="",AND(A193="client",COUNTIF(الزبائن!$A$6:$A$505,B193)=0),AND(A193="proposed_name",COUNTIF('أسماء مقترحة'!$A$6:$A$505,B193)=0),AND(D193="mobile",J193&lt;&gt;"invalid",NOT(OR(AND(LEN(E193&amp;"")=10,LEFT(E193&amp;"",2)="09"),AND(LEN(E193&amp;"")=9,LEFT(E193&amp;"",1)="9")))),COUNTIFS($A$6:$A$505,A193,$B$6:$B$505,B193,$E$6:$E$505,E193)&gt;1),"REVIEW","READY"))</f>
        <v/>
      </c>
      <c r="N193" s="27" t="str">
        <f>IF(M193="","",IF(M193="READY","",TRIM(IF(A193="","missing entity_type; ","")&amp;IF(B193="","missing entity_key; ","")&amp;IF(C193="","missing contact_order; ","")&amp;IF(D193="","missing contact_type; ","")&amp;IF(E193="","missing number; ","")&amp;IF(J193="","missing status; ","")&amp;IF(AND(A193="client",COUNTIF(الزبائن!$A$6:$A$505,B193)=0),"client key not found; ","")&amp;IF(AND(A193="proposed_name",COUNTIF('أسماء مقترحة'!$A$6:$A$505,B193)=0),"proposed_name key not found; ","")&amp;IF(AND(D193="mobile",J193&lt;&gt;"invalid",NOT(OR(AND(LEN(E193&amp;"")=10,LEFT(E193&amp;"",2)="09"),AND(LEN(E193&amp;"")=9,LEFT(E193&amp;"",1)="9")))),"mobile must be 09XXXXXXXX or status invalid; ","")&amp;IF(COUNTIFS($A$6:$A$505,A193,$B$6:$B$505,B193,$E$6:$E$505,E193)&gt;1,"duplicate number for same entity; ",""))))</f>
        <v/>
      </c>
    </row>
    <row r="194" spans="1:14">
      <c r="A194" s="23"/>
      <c r="B194" s="24"/>
      <c r="C194" s="25"/>
      <c r="D194" s="25"/>
      <c r="E194" s="24"/>
      <c r="F194" s="24"/>
      <c r="G194" s="25"/>
      <c r="H194" s="25"/>
      <c r="I194" s="25"/>
      <c r="J194" s="25"/>
      <c r="K194" s="25"/>
      <c r="L194" s="25"/>
      <c r="M194" s="25" t="str">
        <f>IF(AND(A194="",B194="",E194=""),"",IF(OR(A194="",B194="",C194="",D194="",E194="",J194="",AND(A194="client",COUNTIF(الزبائن!$A$6:$A$505,B194)=0),AND(A194="proposed_name",COUNTIF('أسماء مقترحة'!$A$6:$A$505,B194)=0),AND(D194="mobile",J194&lt;&gt;"invalid",NOT(OR(AND(LEN(E194&amp;"")=10,LEFT(E194&amp;"",2)="09"),AND(LEN(E194&amp;"")=9,LEFT(E194&amp;"",1)="9")))),COUNTIFS($A$6:$A$505,A194,$B$6:$B$505,B194,$E$6:$E$505,E194)&gt;1),"REVIEW","READY"))</f>
        <v/>
      </c>
      <c r="N194" s="27" t="str">
        <f>IF(M194="","",IF(M194="READY","",TRIM(IF(A194="","missing entity_type; ","")&amp;IF(B194="","missing entity_key; ","")&amp;IF(C194="","missing contact_order; ","")&amp;IF(D194="","missing contact_type; ","")&amp;IF(E194="","missing number; ","")&amp;IF(J194="","missing status; ","")&amp;IF(AND(A194="client",COUNTIF(الزبائن!$A$6:$A$505,B194)=0),"client key not found; ","")&amp;IF(AND(A194="proposed_name",COUNTIF('أسماء مقترحة'!$A$6:$A$505,B194)=0),"proposed_name key not found; ","")&amp;IF(AND(D194="mobile",J194&lt;&gt;"invalid",NOT(OR(AND(LEN(E194&amp;"")=10,LEFT(E194&amp;"",2)="09"),AND(LEN(E194&amp;"")=9,LEFT(E194&amp;"",1)="9")))),"mobile must be 09XXXXXXXX or status invalid; ","")&amp;IF(COUNTIFS($A$6:$A$505,A194,$B$6:$B$505,B194,$E$6:$E$505,E194)&gt;1,"duplicate number for same entity; ",""))))</f>
        <v/>
      </c>
    </row>
    <row r="195" spans="1:14">
      <c r="A195" s="23"/>
      <c r="B195" s="24"/>
      <c r="C195" s="25"/>
      <c r="D195" s="25"/>
      <c r="E195" s="24"/>
      <c r="F195" s="24"/>
      <c r="G195" s="25"/>
      <c r="H195" s="25"/>
      <c r="I195" s="25"/>
      <c r="J195" s="25"/>
      <c r="K195" s="25"/>
      <c r="L195" s="25"/>
      <c r="M195" s="25" t="str">
        <f>IF(AND(A195="",B195="",E195=""),"",IF(OR(A195="",B195="",C195="",D195="",E195="",J195="",AND(A195="client",COUNTIF(الزبائن!$A$6:$A$505,B195)=0),AND(A195="proposed_name",COUNTIF('أسماء مقترحة'!$A$6:$A$505,B195)=0),AND(D195="mobile",J195&lt;&gt;"invalid",NOT(OR(AND(LEN(E195&amp;"")=10,LEFT(E195&amp;"",2)="09"),AND(LEN(E195&amp;"")=9,LEFT(E195&amp;"",1)="9")))),COUNTIFS($A$6:$A$505,A195,$B$6:$B$505,B195,$E$6:$E$505,E195)&gt;1),"REVIEW","READY"))</f>
        <v/>
      </c>
      <c r="N195" s="27" t="str">
        <f>IF(M195="","",IF(M195="READY","",TRIM(IF(A195="","missing entity_type; ","")&amp;IF(B195="","missing entity_key; ","")&amp;IF(C195="","missing contact_order; ","")&amp;IF(D195="","missing contact_type; ","")&amp;IF(E195="","missing number; ","")&amp;IF(J195="","missing status; ","")&amp;IF(AND(A195="client",COUNTIF(الزبائن!$A$6:$A$505,B195)=0),"client key not found; ","")&amp;IF(AND(A195="proposed_name",COUNTIF('أسماء مقترحة'!$A$6:$A$505,B195)=0),"proposed_name key not found; ","")&amp;IF(AND(D195="mobile",J195&lt;&gt;"invalid",NOT(OR(AND(LEN(E195&amp;"")=10,LEFT(E195&amp;"",2)="09"),AND(LEN(E195&amp;"")=9,LEFT(E195&amp;"",1)="9")))),"mobile must be 09XXXXXXXX or status invalid; ","")&amp;IF(COUNTIFS($A$6:$A$505,A195,$B$6:$B$505,B195,$E$6:$E$505,E195)&gt;1,"duplicate number for same entity; ",""))))</f>
        <v/>
      </c>
    </row>
    <row r="196" spans="1:14">
      <c r="A196" s="23"/>
      <c r="B196" s="24"/>
      <c r="C196" s="25"/>
      <c r="D196" s="25"/>
      <c r="E196" s="24"/>
      <c r="F196" s="24"/>
      <c r="G196" s="25"/>
      <c r="H196" s="25"/>
      <c r="I196" s="25"/>
      <c r="J196" s="25"/>
      <c r="K196" s="25"/>
      <c r="L196" s="25"/>
      <c r="M196" s="25" t="str">
        <f>IF(AND(A196="",B196="",E196=""),"",IF(OR(A196="",B196="",C196="",D196="",E196="",J196="",AND(A196="client",COUNTIF(الزبائن!$A$6:$A$505,B196)=0),AND(A196="proposed_name",COUNTIF('أسماء مقترحة'!$A$6:$A$505,B196)=0),AND(D196="mobile",J196&lt;&gt;"invalid",NOT(OR(AND(LEN(E196&amp;"")=10,LEFT(E196&amp;"",2)="09"),AND(LEN(E196&amp;"")=9,LEFT(E196&amp;"",1)="9")))),COUNTIFS($A$6:$A$505,A196,$B$6:$B$505,B196,$E$6:$E$505,E196)&gt;1),"REVIEW","READY"))</f>
        <v/>
      </c>
      <c r="N196" s="27" t="str">
        <f>IF(M196="","",IF(M196="READY","",TRIM(IF(A196="","missing entity_type; ","")&amp;IF(B196="","missing entity_key; ","")&amp;IF(C196="","missing contact_order; ","")&amp;IF(D196="","missing contact_type; ","")&amp;IF(E196="","missing number; ","")&amp;IF(J196="","missing status; ","")&amp;IF(AND(A196="client",COUNTIF(الزبائن!$A$6:$A$505,B196)=0),"client key not found; ","")&amp;IF(AND(A196="proposed_name",COUNTIF('أسماء مقترحة'!$A$6:$A$505,B196)=0),"proposed_name key not found; ","")&amp;IF(AND(D196="mobile",J196&lt;&gt;"invalid",NOT(OR(AND(LEN(E196&amp;"")=10,LEFT(E196&amp;"",2)="09"),AND(LEN(E196&amp;"")=9,LEFT(E196&amp;"",1)="9")))),"mobile must be 09XXXXXXXX or status invalid; ","")&amp;IF(COUNTIFS($A$6:$A$505,A196,$B$6:$B$505,B196,$E$6:$E$505,E196)&gt;1,"duplicate number for same entity; ",""))))</f>
        <v/>
      </c>
    </row>
    <row r="197" spans="1:14">
      <c r="A197" s="23"/>
      <c r="B197" s="24"/>
      <c r="C197" s="25"/>
      <c r="D197" s="25"/>
      <c r="E197" s="24"/>
      <c r="F197" s="24"/>
      <c r="G197" s="25"/>
      <c r="H197" s="25"/>
      <c r="I197" s="25"/>
      <c r="J197" s="25"/>
      <c r="K197" s="25"/>
      <c r="L197" s="25"/>
      <c r="M197" s="25" t="str">
        <f>IF(AND(A197="",B197="",E197=""),"",IF(OR(A197="",B197="",C197="",D197="",E197="",J197="",AND(A197="client",COUNTIF(الزبائن!$A$6:$A$505,B197)=0),AND(A197="proposed_name",COUNTIF('أسماء مقترحة'!$A$6:$A$505,B197)=0),AND(D197="mobile",J197&lt;&gt;"invalid",NOT(OR(AND(LEN(E197&amp;"")=10,LEFT(E197&amp;"",2)="09"),AND(LEN(E197&amp;"")=9,LEFT(E197&amp;"",1)="9")))),COUNTIFS($A$6:$A$505,A197,$B$6:$B$505,B197,$E$6:$E$505,E197)&gt;1),"REVIEW","READY"))</f>
        <v/>
      </c>
      <c r="N197" s="27" t="str">
        <f>IF(M197="","",IF(M197="READY","",TRIM(IF(A197="","missing entity_type; ","")&amp;IF(B197="","missing entity_key; ","")&amp;IF(C197="","missing contact_order; ","")&amp;IF(D197="","missing contact_type; ","")&amp;IF(E197="","missing number; ","")&amp;IF(J197="","missing status; ","")&amp;IF(AND(A197="client",COUNTIF(الزبائن!$A$6:$A$505,B197)=0),"client key not found; ","")&amp;IF(AND(A197="proposed_name",COUNTIF('أسماء مقترحة'!$A$6:$A$505,B197)=0),"proposed_name key not found; ","")&amp;IF(AND(D197="mobile",J197&lt;&gt;"invalid",NOT(OR(AND(LEN(E197&amp;"")=10,LEFT(E197&amp;"",2)="09"),AND(LEN(E197&amp;"")=9,LEFT(E197&amp;"",1)="9")))),"mobile must be 09XXXXXXXX or status invalid; ","")&amp;IF(COUNTIFS($A$6:$A$505,A197,$B$6:$B$505,B197,$E$6:$E$505,E197)&gt;1,"duplicate number for same entity; ",""))))</f>
        <v/>
      </c>
    </row>
    <row r="198" spans="1:14">
      <c r="A198" s="23"/>
      <c r="B198" s="24"/>
      <c r="C198" s="25"/>
      <c r="D198" s="25"/>
      <c r="E198" s="24"/>
      <c r="F198" s="24"/>
      <c r="G198" s="25"/>
      <c r="H198" s="25"/>
      <c r="I198" s="25"/>
      <c r="J198" s="25"/>
      <c r="K198" s="25"/>
      <c r="L198" s="25"/>
      <c r="M198" s="25" t="str">
        <f>IF(AND(A198="",B198="",E198=""),"",IF(OR(A198="",B198="",C198="",D198="",E198="",J198="",AND(A198="client",COUNTIF(الزبائن!$A$6:$A$505,B198)=0),AND(A198="proposed_name",COUNTIF('أسماء مقترحة'!$A$6:$A$505,B198)=0),AND(D198="mobile",J198&lt;&gt;"invalid",NOT(OR(AND(LEN(E198&amp;"")=10,LEFT(E198&amp;"",2)="09"),AND(LEN(E198&amp;"")=9,LEFT(E198&amp;"",1)="9")))),COUNTIFS($A$6:$A$505,A198,$B$6:$B$505,B198,$E$6:$E$505,E198)&gt;1),"REVIEW","READY"))</f>
        <v/>
      </c>
      <c r="N198" s="27" t="str">
        <f>IF(M198="","",IF(M198="READY","",TRIM(IF(A198="","missing entity_type; ","")&amp;IF(B198="","missing entity_key; ","")&amp;IF(C198="","missing contact_order; ","")&amp;IF(D198="","missing contact_type; ","")&amp;IF(E198="","missing number; ","")&amp;IF(J198="","missing status; ","")&amp;IF(AND(A198="client",COUNTIF(الزبائن!$A$6:$A$505,B198)=0),"client key not found; ","")&amp;IF(AND(A198="proposed_name",COUNTIF('أسماء مقترحة'!$A$6:$A$505,B198)=0),"proposed_name key not found; ","")&amp;IF(AND(D198="mobile",J198&lt;&gt;"invalid",NOT(OR(AND(LEN(E198&amp;"")=10,LEFT(E198&amp;"",2)="09"),AND(LEN(E198&amp;"")=9,LEFT(E198&amp;"",1)="9")))),"mobile must be 09XXXXXXXX or status invalid; ","")&amp;IF(COUNTIFS($A$6:$A$505,A198,$B$6:$B$505,B198,$E$6:$E$505,E198)&gt;1,"duplicate number for same entity; ",""))))</f>
        <v/>
      </c>
    </row>
    <row r="199" spans="1:14">
      <c r="A199" s="23"/>
      <c r="B199" s="24"/>
      <c r="C199" s="25"/>
      <c r="D199" s="25"/>
      <c r="E199" s="24"/>
      <c r="F199" s="24"/>
      <c r="G199" s="25"/>
      <c r="H199" s="25"/>
      <c r="I199" s="25"/>
      <c r="J199" s="25"/>
      <c r="K199" s="25"/>
      <c r="L199" s="25"/>
      <c r="M199" s="25" t="str">
        <f>IF(AND(A199="",B199="",E199=""),"",IF(OR(A199="",B199="",C199="",D199="",E199="",J199="",AND(A199="client",COUNTIF(الزبائن!$A$6:$A$505,B199)=0),AND(A199="proposed_name",COUNTIF('أسماء مقترحة'!$A$6:$A$505,B199)=0),AND(D199="mobile",J199&lt;&gt;"invalid",NOT(OR(AND(LEN(E199&amp;"")=10,LEFT(E199&amp;"",2)="09"),AND(LEN(E199&amp;"")=9,LEFT(E199&amp;"",1)="9")))),COUNTIFS($A$6:$A$505,A199,$B$6:$B$505,B199,$E$6:$E$505,E199)&gt;1),"REVIEW","READY"))</f>
        <v/>
      </c>
      <c r="N199" s="27" t="str">
        <f>IF(M199="","",IF(M199="READY","",TRIM(IF(A199="","missing entity_type; ","")&amp;IF(B199="","missing entity_key; ","")&amp;IF(C199="","missing contact_order; ","")&amp;IF(D199="","missing contact_type; ","")&amp;IF(E199="","missing number; ","")&amp;IF(J199="","missing status; ","")&amp;IF(AND(A199="client",COUNTIF(الزبائن!$A$6:$A$505,B199)=0),"client key not found; ","")&amp;IF(AND(A199="proposed_name",COUNTIF('أسماء مقترحة'!$A$6:$A$505,B199)=0),"proposed_name key not found; ","")&amp;IF(AND(D199="mobile",J199&lt;&gt;"invalid",NOT(OR(AND(LEN(E199&amp;"")=10,LEFT(E199&amp;"",2)="09"),AND(LEN(E199&amp;"")=9,LEFT(E199&amp;"",1)="9")))),"mobile must be 09XXXXXXXX or status invalid; ","")&amp;IF(COUNTIFS($A$6:$A$505,A199,$B$6:$B$505,B199,$E$6:$E$505,E199)&gt;1,"duplicate number for same entity; ",""))))</f>
        <v/>
      </c>
    </row>
    <row r="200" spans="1:14">
      <c r="A200" s="23"/>
      <c r="B200" s="24"/>
      <c r="C200" s="25"/>
      <c r="D200" s="25"/>
      <c r="E200" s="24"/>
      <c r="F200" s="24"/>
      <c r="G200" s="25"/>
      <c r="H200" s="25"/>
      <c r="I200" s="25"/>
      <c r="J200" s="25"/>
      <c r="K200" s="25"/>
      <c r="L200" s="25"/>
      <c r="M200" s="25" t="str">
        <f>IF(AND(A200="",B200="",E200=""),"",IF(OR(A200="",B200="",C200="",D200="",E200="",J200="",AND(A200="client",COUNTIF(الزبائن!$A$6:$A$505,B200)=0),AND(A200="proposed_name",COUNTIF('أسماء مقترحة'!$A$6:$A$505,B200)=0),AND(D200="mobile",J200&lt;&gt;"invalid",NOT(OR(AND(LEN(E200&amp;"")=10,LEFT(E200&amp;"",2)="09"),AND(LEN(E200&amp;"")=9,LEFT(E200&amp;"",1)="9")))),COUNTIFS($A$6:$A$505,A200,$B$6:$B$505,B200,$E$6:$E$505,E200)&gt;1),"REVIEW","READY"))</f>
        <v/>
      </c>
      <c r="N200" s="27" t="str">
        <f>IF(M200="","",IF(M200="READY","",TRIM(IF(A200="","missing entity_type; ","")&amp;IF(B200="","missing entity_key; ","")&amp;IF(C200="","missing contact_order; ","")&amp;IF(D200="","missing contact_type; ","")&amp;IF(E200="","missing number; ","")&amp;IF(J200="","missing status; ","")&amp;IF(AND(A200="client",COUNTIF(الزبائن!$A$6:$A$505,B200)=0),"client key not found; ","")&amp;IF(AND(A200="proposed_name",COUNTIF('أسماء مقترحة'!$A$6:$A$505,B200)=0),"proposed_name key not found; ","")&amp;IF(AND(D200="mobile",J200&lt;&gt;"invalid",NOT(OR(AND(LEN(E200&amp;"")=10,LEFT(E200&amp;"",2)="09"),AND(LEN(E200&amp;"")=9,LEFT(E200&amp;"",1)="9")))),"mobile must be 09XXXXXXXX or status invalid; ","")&amp;IF(COUNTIFS($A$6:$A$505,A200,$B$6:$B$505,B200,$E$6:$E$505,E200)&gt;1,"duplicate number for same entity; ",""))))</f>
        <v/>
      </c>
    </row>
    <row r="201" spans="1:14">
      <c r="A201" s="23"/>
      <c r="B201" s="24"/>
      <c r="C201" s="25"/>
      <c r="D201" s="25"/>
      <c r="E201" s="24"/>
      <c r="F201" s="24"/>
      <c r="G201" s="25"/>
      <c r="H201" s="25"/>
      <c r="I201" s="25"/>
      <c r="J201" s="25"/>
      <c r="K201" s="25"/>
      <c r="L201" s="25"/>
      <c r="M201" s="25" t="str">
        <f>IF(AND(A201="",B201="",E201=""),"",IF(OR(A201="",B201="",C201="",D201="",E201="",J201="",AND(A201="client",COUNTIF(الزبائن!$A$6:$A$505,B201)=0),AND(A201="proposed_name",COUNTIF('أسماء مقترحة'!$A$6:$A$505,B201)=0),AND(D201="mobile",J201&lt;&gt;"invalid",NOT(OR(AND(LEN(E201&amp;"")=10,LEFT(E201&amp;"",2)="09"),AND(LEN(E201&amp;"")=9,LEFT(E201&amp;"",1)="9")))),COUNTIFS($A$6:$A$505,A201,$B$6:$B$505,B201,$E$6:$E$505,E201)&gt;1),"REVIEW","READY"))</f>
        <v/>
      </c>
      <c r="N201" s="27" t="str">
        <f>IF(M201="","",IF(M201="READY","",TRIM(IF(A201="","missing entity_type; ","")&amp;IF(B201="","missing entity_key; ","")&amp;IF(C201="","missing contact_order; ","")&amp;IF(D201="","missing contact_type; ","")&amp;IF(E201="","missing number; ","")&amp;IF(J201="","missing status; ","")&amp;IF(AND(A201="client",COUNTIF(الزبائن!$A$6:$A$505,B201)=0),"client key not found; ","")&amp;IF(AND(A201="proposed_name",COUNTIF('أسماء مقترحة'!$A$6:$A$505,B201)=0),"proposed_name key not found; ","")&amp;IF(AND(D201="mobile",J201&lt;&gt;"invalid",NOT(OR(AND(LEN(E201&amp;"")=10,LEFT(E201&amp;"",2)="09"),AND(LEN(E201&amp;"")=9,LEFT(E201&amp;"",1)="9")))),"mobile must be 09XXXXXXXX or status invalid; ","")&amp;IF(COUNTIFS($A$6:$A$505,A201,$B$6:$B$505,B201,$E$6:$E$505,E201)&gt;1,"duplicate number for same entity; ",""))))</f>
        <v/>
      </c>
    </row>
    <row r="202" spans="1:14">
      <c r="A202" s="23"/>
      <c r="B202" s="24"/>
      <c r="C202" s="25"/>
      <c r="D202" s="25"/>
      <c r="E202" s="24"/>
      <c r="F202" s="24"/>
      <c r="G202" s="25"/>
      <c r="H202" s="25"/>
      <c r="I202" s="25"/>
      <c r="J202" s="25"/>
      <c r="K202" s="25"/>
      <c r="L202" s="25"/>
      <c r="M202" s="25" t="str">
        <f>IF(AND(A202="",B202="",E202=""),"",IF(OR(A202="",B202="",C202="",D202="",E202="",J202="",AND(A202="client",COUNTIF(الزبائن!$A$6:$A$505,B202)=0),AND(A202="proposed_name",COUNTIF('أسماء مقترحة'!$A$6:$A$505,B202)=0),AND(D202="mobile",J202&lt;&gt;"invalid",NOT(OR(AND(LEN(E202&amp;"")=10,LEFT(E202&amp;"",2)="09"),AND(LEN(E202&amp;"")=9,LEFT(E202&amp;"",1)="9")))),COUNTIFS($A$6:$A$505,A202,$B$6:$B$505,B202,$E$6:$E$505,E202)&gt;1),"REVIEW","READY"))</f>
        <v/>
      </c>
      <c r="N202" s="27" t="str">
        <f>IF(M202="","",IF(M202="READY","",TRIM(IF(A202="","missing entity_type; ","")&amp;IF(B202="","missing entity_key; ","")&amp;IF(C202="","missing contact_order; ","")&amp;IF(D202="","missing contact_type; ","")&amp;IF(E202="","missing number; ","")&amp;IF(J202="","missing status; ","")&amp;IF(AND(A202="client",COUNTIF(الزبائن!$A$6:$A$505,B202)=0),"client key not found; ","")&amp;IF(AND(A202="proposed_name",COUNTIF('أسماء مقترحة'!$A$6:$A$505,B202)=0),"proposed_name key not found; ","")&amp;IF(AND(D202="mobile",J202&lt;&gt;"invalid",NOT(OR(AND(LEN(E202&amp;"")=10,LEFT(E202&amp;"",2)="09"),AND(LEN(E202&amp;"")=9,LEFT(E202&amp;"",1)="9")))),"mobile must be 09XXXXXXXX or status invalid; ","")&amp;IF(COUNTIFS($A$6:$A$505,A202,$B$6:$B$505,B202,$E$6:$E$505,E202)&gt;1,"duplicate number for same entity; ",""))))</f>
        <v/>
      </c>
    </row>
    <row r="203" spans="1:14">
      <c r="A203" s="23"/>
      <c r="B203" s="24"/>
      <c r="C203" s="25"/>
      <c r="D203" s="25"/>
      <c r="E203" s="24"/>
      <c r="F203" s="24"/>
      <c r="G203" s="25"/>
      <c r="H203" s="25"/>
      <c r="I203" s="25"/>
      <c r="J203" s="25"/>
      <c r="K203" s="25"/>
      <c r="L203" s="25"/>
      <c r="M203" s="25" t="str">
        <f>IF(AND(A203="",B203="",E203=""),"",IF(OR(A203="",B203="",C203="",D203="",E203="",J203="",AND(A203="client",COUNTIF(الزبائن!$A$6:$A$505,B203)=0),AND(A203="proposed_name",COUNTIF('أسماء مقترحة'!$A$6:$A$505,B203)=0),AND(D203="mobile",J203&lt;&gt;"invalid",NOT(OR(AND(LEN(E203&amp;"")=10,LEFT(E203&amp;"",2)="09"),AND(LEN(E203&amp;"")=9,LEFT(E203&amp;"",1)="9")))),COUNTIFS($A$6:$A$505,A203,$B$6:$B$505,B203,$E$6:$E$505,E203)&gt;1),"REVIEW","READY"))</f>
        <v/>
      </c>
      <c r="N203" s="27" t="str">
        <f>IF(M203="","",IF(M203="READY","",TRIM(IF(A203="","missing entity_type; ","")&amp;IF(B203="","missing entity_key; ","")&amp;IF(C203="","missing contact_order; ","")&amp;IF(D203="","missing contact_type; ","")&amp;IF(E203="","missing number; ","")&amp;IF(J203="","missing status; ","")&amp;IF(AND(A203="client",COUNTIF(الزبائن!$A$6:$A$505,B203)=0),"client key not found; ","")&amp;IF(AND(A203="proposed_name",COUNTIF('أسماء مقترحة'!$A$6:$A$505,B203)=0),"proposed_name key not found; ","")&amp;IF(AND(D203="mobile",J203&lt;&gt;"invalid",NOT(OR(AND(LEN(E203&amp;"")=10,LEFT(E203&amp;"",2)="09"),AND(LEN(E203&amp;"")=9,LEFT(E203&amp;"",1)="9")))),"mobile must be 09XXXXXXXX or status invalid; ","")&amp;IF(COUNTIFS($A$6:$A$505,A203,$B$6:$B$505,B203,$E$6:$E$505,E203)&gt;1,"duplicate number for same entity; ",""))))</f>
        <v/>
      </c>
    </row>
    <row r="204" spans="1:14">
      <c r="A204" s="23"/>
      <c r="B204" s="24"/>
      <c r="C204" s="25"/>
      <c r="D204" s="25"/>
      <c r="E204" s="24"/>
      <c r="F204" s="24"/>
      <c r="G204" s="25"/>
      <c r="H204" s="25"/>
      <c r="I204" s="25"/>
      <c r="J204" s="25"/>
      <c r="K204" s="25"/>
      <c r="L204" s="25"/>
      <c r="M204" s="25" t="str">
        <f>IF(AND(A204="",B204="",E204=""),"",IF(OR(A204="",B204="",C204="",D204="",E204="",J204="",AND(A204="client",COUNTIF(الزبائن!$A$6:$A$505,B204)=0),AND(A204="proposed_name",COUNTIF('أسماء مقترحة'!$A$6:$A$505,B204)=0),AND(D204="mobile",J204&lt;&gt;"invalid",NOT(OR(AND(LEN(E204&amp;"")=10,LEFT(E204&amp;"",2)="09"),AND(LEN(E204&amp;"")=9,LEFT(E204&amp;"",1)="9")))),COUNTIFS($A$6:$A$505,A204,$B$6:$B$505,B204,$E$6:$E$505,E204)&gt;1),"REVIEW","READY"))</f>
        <v/>
      </c>
      <c r="N204" s="27" t="str">
        <f>IF(M204="","",IF(M204="READY","",TRIM(IF(A204="","missing entity_type; ","")&amp;IF(B204="","missing entity_key; ","")&amp;IF(C204="","missing contact_order; ","")&amp;IF(D204="","missing contact_type; ","")&amp;IF(E204="","missing number; ","")&amp;IF(J204="","missing status; ","")&amp;IF(AND(A204="client",COUNTIF(الزبائن!$A$6:$A$505,B204)=0),"client key not found; ","")&amp;IF(AND(A204="proposed_name",COUNTIF('أسماء مقترحة'!$A$6:$A$505,B204)=0),"proposed_name key not found; ","")&amp;IF(AND(D204="mobile",J204&lt;&gt;"invalid",NOT(OR(AND(LEN(E204&amp;"")=10,LEFT(E204&amp;"",2)="09"),AND(LEN(E204&amp;"")=9,LEFT(E204&amp;"",1)="9")))),"mobile must be 09XXXXXXXX or status invalid; ","")&amp;IF(COUNTIFS($A$6:$A$505,A204,$B$6:$B$505,B204,$E$6:$E$505,E204)&gt;1,"duplicate number for same entity; ",""))))</f>
        <v/>
      </c>
    </row>
    <row r="205" spans="1:14">
      <c r="A205" s="23"/>
      <c r="B205" s="24"/>
      <c r="C205" s="25"/>
      <c r="D205" s="25"/>
      <c r="E205" s="24"/>
      <c r="F205" s="24"/>
      <c r="G205" s="25"/>
      <c r="H205" s="25"/>
      <c r="I205" s="25"/>
      <c r="J205" s="25"/>
      <c r="K205" s="25"/>
      <c r="L205" s="25"/>
      <c r="M205" s="25" t="str">
        <f>IF(AND(A205="",B205="",E205=""),"",IF(OR(A205="",B205="",C205="",D205="",E205="",J205="",AND(A205="client",COUNTIF(الزبائن!$A$6:$A$505,B205)=0),AND(A205="proposed_name",COUNTIF('أسماء مقترحة'!$A$6:$A$505,B205)=0),AND(D205="mobile",J205&lt;&gt;"invalid",NOT(OR(AND(LEN(E205&amp;"")=10,LEFT(E205&amp;"",2)="09"),AND(LEN(E205&amp;"")=9,LEFT(E205&amp;"",1)="9")))),COUNTIFS($A$6:$A$505,A205,$B$6:$B$505,B205,$E$6:$E$505,E205)&gt;1),"REVIEW","READY"))</f>
        <v/>
      </c>
      <c r="N205" s="27" t="str">
        <f>IF(M205="","",IF(M205="READY","",TRIM(IF(A205="","missing entity_type; ","")&amp;IF(B205="","missing entity_key; ","")&amp;IF(C205="","missing contact_order; ","")&amp;IF(D205="","missing contact_type; ","")&amp;IF(E205="","missing number; ","")&amp;IF(J205="","missing status; ","")&amp;IF(AND(A205="client",COUNTIF(الزبائن!$A$6:$A$505,B205)=0),"client key not found; ","")&amp;IF(AND(A205="proposed_name",COUNTIF('أسماء مقترحة'!$A$6:$A$505,B205)=0),"proposed_name key not found; ","")&amp;IF(AND(D205="mobile",J205&lt;&gt;"invalid",NOT(OR(AND(LEN(E205&amp;"")=10,LEFT(E205&amp;"",2)="09"),AND(LEN(E205&amp;"")=9,LEFT(E205&amp;"",1)="9")))),"mobile must be 09XXXXXXXX or status invalid; ","")&amp;IF(COUNTIFS($A$6:$A$505,A205,$B$6:$B$505,B205,$E$6:$E$505,E205)&gt;1,"duplicate number for same entity; ",""))))</f>
        <v/>
      </c>
    </row>
    <row r="206" spans="1:14">
      <c r="A206" s="23"/>
      <c r="B206" s="24"/>
      <c r="C206" s="25"/>
      <c r="D206" s="25"/>
      <c r="E206" s="24"/>
      <c r="F206" s="24"/>
      <c r="G206" s="25"/>
      <c r="H206" s="25"/>
      <c r="I206" s="25"/>
      <c r="J206" s="25"/>
      <c r="K206" s="25"/>
      <c r="L206" s="25"/>
      <c r="M206" s="25" t="str">
        <f>IF(AND(A206="",B206="",E206=""),"",IF(OR(A206="",B206="",C206="",D206="",E206="",J206="",AND(A206="client",COUNTIF(الزبائن!$A$6:$A$505,B206)=0),AND(A206="proposed_name",COUNTIF('أسماء مقترحة'!$A$6:$A$505,B206)=0),AND(D206="mobile",J206&lt;&gt;"invalid",NOT(OR(AND(LEN(E206&amp;"")=10,LEFT(E206&amp;"",2)="09"),AND(LEN(E206&amp;"")=9,LEFT(E206&amp;"",1)="9")))),COUNTIFS($A$6:$A$505,A206,$B$6:$B$505,B206,$E$6:$E$505,E206)&gt;1),"REVIEW","READY"))</f>
        <v/>
      </c>
      <c r="N206" s="27" t="str">
        <f>IF(M206="","",IF(M206="READY","",TRIM(IF(A206="","missing entity_type; ","")&amp;IF(B206="","missing entity_key; ","")&amp;IF(C206="","missing contact_order; ","")&amp;IF(D206="","missing contact_type; ","")&amp;IF(E206="","missing number; ","")&amp;IF(J206="","missing status; ","")&amp;IF(AND(A206="client",COUNTIF(الزبائن!$A$6:$A$505,B206)=0),"client key not found; ","")&amp;IF(AND(A206="proposed_name",COUNTIF('أسماء مقترحة'!$A$6:$A$505,B206)=0),"proposed_name key not found; ","")&amp;IF(AND(D206="mobile",J206&lt;&gt;"invalid",NOT(OR(AND(LEN(E206&amp;"")=10,LEFT(E206&amp;"",2)="09"),AND(LEN(E206&amp;"")=9,LEFT(E206&amp;"",1)="9")))),"mobile must be 09XXXXXXXX or status invalid; ","")&amp;IF(COUNTIFS($A$6:$A$505,A206,$B$6:$B$505,B206,$E$6:$E$505,E206)&gt;1,"duplicate number for same entity; ",""))))</f>
        <v/>
      </c>
    </row>
    <row r="207" spans="1:14">
      <c r="A207" s="23"/>
      <c r="B207" s="24"/>
      <c r="C207" s="25"/>
      <c r="D207" s="25"/>
      <c r="E207" s="24"/>
      <c r="F207" s="24"/>
      <c r="G207" s="25"/>
      <c r="H207" s="25"/>
      <c r="I207" s="25"/>
      <c r="J207" s="25"/>
      <c r="K207" s="25"/>
      <c r="L207" s="25"/>
      <c r="M207" s="25" t="str">
        <f>IF(AND(A207="",B207="",E207=""),"",IF(OR(A207="",B207="",C207="",D207="",E207="",J207="",AND(A207="client",COUNTIF(الزبائن!$A$6:$A$505,B207)=0),AND(A207="proposed_name",COUNTIF('أسماء مقترحة'!$A$6:$A$505,B207)=0),AND(D207="mobile",J207&lt;&gt;"invalid",NOT(OR(AND(LEN(E207&amp;"")=10,LEFT(E207&amp;"",2)="09"),AND(LEN(E207&amp;"")=9,LEFT(E207&amp;"",1)="9")))),COUNTIFS($A$6:$A$505,A207,$B$6:$B$505,B207,$E$6:$E$505,E207)&gt;1),"REVIEW","READY"))</f>
        <v/>
      </c>
      <c r="N207" s="27" t="str">
        <f>IF(M207="","",IF(M207="READY","",TRIM(IF(A207="","missing entity_type; ","")&amp;IF(B207="","missing entity_key; ","")&amp;IF(C207="","missing contact_order; ","")&amp;IF(D207="","missing contact_type; ","")&amp;IF(E207="","missing number; ","")&amp;IF(J207="","missing status; ","")&amp;IF(AND(A207="client",COUNTIF(الزبائن!$A$6:$A$505,B207)=0),"client key not found; ","")&amp;IF(AND(A207="proposed_name",COUNTIF('أسماء مقترحة'!$A$6:$A$505,B207)=0),"proposed_name key not found; ","")&amp;IF(AND(D207="mobile",J207&lt;&gt;"invalid",NOT(OR(AND(LEN(E207&amp;"")=10,LEFT(E207&amp;"",2)="09"),AND(LEN(E207&amp;"")=9,LEFT(E207&amp;"",1)="9")))),"mobile must be 09XXXXXXXX or status invalid; ","")&amp;IF(COUNTIFS($A$6:$A$505,A207,$B$6:$B$505,B207,$E$6:$E$505,E207)&gt;1,"duplicate number for same entity; ",""))))</f>
        <v/>
      </c>
    </row>
    <row r="208" spans="1:14">
      <c r="A208" s="23"/>
      <c r="B208" s="24"/>
      <c r="C208" s="25"/>
      <c r="D208" s="25"/>
      <c r="E208" s="24"/>
      <c r="F208" s="24"/>
      <c r="G208" s="25"/>
      <c r="H208" s="25"/>
      <c r="I208" s="25"/>
      <c r="J208" s="25"/>
      <c r="K208" s="25"/>
      <c r="L208" s="25"/>
      <c r="M208" s="25" t="str">
        <f>IF(AND(A208="",B208="",E208=""),"",IF(OR(A208="",B208="",C208="",D208="",E208="",J208="",AND(A208="client",COUNTIF(الزبائن!$A$6:$A$505,B208)=0),AND(A208="proposed_name",COUNTIF('أسماء مقترحة'!$A$6:$A$505,B208)=0),AND(D208="mobile",J208&lt;&gt;"invalid",NOT(OR(AND(LEN(E208&amp;"")=10,LEFT(E208&amp;"",2)="09"),AND(LEN(E208&amp;"")=9,LEFT(E208&amp;"",1)="9")))),COUNTIFS($A$6:$A$505,A208,$B$6:$B$505,B208,$E$6:$E$505,E208)&gt;1),"REVIEW","READY"))</f>
        <v/>
      </c>
      <c r="N208" s="27" t="str">
        <f>IF(M208="","",IF(M208="READY","",TRIM(IF(A208="","missing entity_type; ","")&amp;IF(B208="","missing entity_key; ","")&amp;IF(C208="","missing contact_order; ","")&amp;IF(D208="","missing contact_type; ","")&amp;IF(E208="","missing number; ","")&amp;IF(J208="","missing status; ","")&amp;IF(AND(A208="client",COUNTIF(الزبائن!$A$6:$A$505,B208)=0),"client key not found; ","")&amp;IF(AND(A208="proposed_name",COUNTIF('أسماء مقترحة'!$A$6:$A$505,B208)=0),"proposed_name key not found; ","")&amp;IF(AND(D208="mobile",J208&lt;&gt;"invalid",NOT(OR(AND(LEN(E208&amp;"")=10,LEFT(E208&amp;"",2)="09"),AND(LEN(E208&amp;"")=9,LEFT(E208&amp;"",1)="9")))),"mobile must be 09XXXXXXXX or status invalid; ","")&amp;IF(COUNTIFS($A$6:$A$505,A208,$B$6:$B$505,B208,$E$6:$E$505,E208)&gt;1,"duplicate number for same entity; ",""))))</f>
        <v/>
      </c>
    </row>
    <row r="209" spans="1:14">
      <c r="A209" s="23"/>
      <c r="B209" s="24"/>
      <c r="C209" s="25"/>
      <c r="D209" s="25"/>
      <c r="E209" s="24"/>
      <c r="F209" s="24"/>
      <c r="G209" s="25"/>
      <c r="H209" s="25"/>
      <c r="I209" s="25"/>
      <c r="J209" s="25"/>
      <c r="K209" s="25"/>
      <c r="L209" s="25"/>
      <c r="M209" s="25" t="str">
        <f>IF(AND(A209="",B209="",E209=""),"",IF(OR(A209="",B209="",C209="",D209="",E209="",J209="",AND(A209="client",COUNTIF(الزبائن!$A$6:$A$505,B209)=0),AND(A209="proposed_name",COUNTIF('أسماء مقترحة'!$A$6:$A$505,B209)=0),AND(D209="mobile",J209&lt;&gt;"invalid",NOT(OR(AND(LEN(E209&amp;"")=10,LEFT(E209&amp;"",2)="09"),AND(LEN(E209&amp;"")=9,LEFT(E209&amp;"",1)="9")))),COUNTIFS($A$6:$A$505,A209,$B$6:$B$505,B209,$E$6:$E$505,E209)&gt;1),"REVIEW","READY"))</f>
        <v/>
      </c>
      <c r="N209" s="27" t="str">
        <f>IF(M209="","",IF(M209="READY","",TRIM(IF(A209="","missing entity_type; ","")&amp;IF(B209="","missing entity_key; ","")&amp;IF(C209="","missing contact_order; ","")&amp;IF(D209="","missing contact_type; ","")&amp;IF(E209="","missing number; ","")&amp;IF(J209="","missing status; ","")&amp;IF(AND(A209="client",COUNTIF(الزبائن!$A$6:$A$505,B209)=0),"client key not found; ","")&amp;IF(AND(A209="proposed_name",COUNTIF('أسماء مقترحة'!$A$6:$A$505,B209)=0),"proposed_name key not found; ","")&amp;IF(AND(D209="mobile",J209&lt;&gt;"invalid",NOT(OR(AND(LEN(E209&amp;"")=10,LEFT(E209&amp;"",2)="09"),AND(LEN(E209&amp;"")=9,LEFT(E209&amp;"",1)="9")))),"mobile must be 09XXXXXXXX or status invalid; ","")&amp;IF(COUNTIFS($A$6:$A$505,A209,$B$6:$B$505,B209,$E$6:$E$505,E209)&gt;1,"duplicate number for same entity; ",""))))</f>
        <v/>
      </c>
    </row>
    <row r="210" spans="1:14">
      <c r="A210" s="23"/>
      <c r="B210" s="24"/>
      <c r="C210" s="25"/>
      <c r="D210" s="25"/>
      <c r="E210" s="24"/>
      <c r="F210" s="24"/>
      <c r="G210" s="25"/>
      <c r="H210" s="25"/>
      <c r="I210" s="25"/>
      <c r="J210" s="25"/>
      <c r="K210" s="25"/>
      <c r="L210" s="25"/>
      <c r="M210" s="25" t="str">
        <f>IF(AND(A210="",B210="",E210=""),"",IF(OR(A210="",B210="",C210="",D210="",E210="",J210="",AND(A210="client",COUNTIF(الزبائن!$A$6:$A$505,B210)=0),AND(A210="proposed_name",COUNTIF('أسماء مقترحة'!$A$6:$A$505,B210)=0),AND(D210="mobile",J210&lt;&gt;"invalid",NOT(OR(AND(LEN(E210&amp;"")=10,LEFT(E210&amp;"",2)="09"),AND(LEN(E210&amp;"")=9,LEFT(E210&amp;"",1)="9")))),COUNTIFS($A$6:$A$505,A210,$B$6:$B$505,B210,$E$6:$E$505,E210)&gt;1),"REVIEW","READY"))</f>
        <v/>
      </c>
      <c r="N210" s="27" t="str">
        <f>IF(M210="","",IF(M210="READY","",TRIM(IF(A210="","missing entity_type; ","")&amp;IF(B210="","missing entity_key; ","")&amp;IF(C210="","missing contact_order; ","")&amp;IF(D210="","missing contact_type; ","")&amp;IF(E210="","missing number; ","")&amp;IF(J210="","missing status; ","")&amp;IF(AND(A210="client",COUNTIF(الزبائن!$A$6:$A$505,B210)=0),"client key not found; ","")&amp;IF(AND(A210="proposed_name",COUNTIF('أسماء مقترحة'!$A$6:$A$505,B210)=0),"proposed_name key not found; ","")&amp;IF(AND(D210="mobile",J210&lt;&gt;"invalid",NOT(OR(AND(LEN(E210&amp;"")=10,LEFT(E210&amp;"",2)="09"),AND(LEN(E210&amp;"")=9,LEFT(E210&amp;"",1)="9")))),"mobile must be 09XXXXXXXX or status invalid; ","")&amp;IF(COUNTIFS($A$6:$A$505,A210,$B$6:$B$505,B210,$E$6:$E$505,E210)&gt;1,"duplicate number for same entity; ",""))))</f>
        <v/>
      </c>
    </row>
    <row r="211" spans="1:14">
      <c r="A211" s="23"/>
      <c r="B211" s="24"/>
      <c r="C211" s="25"/>
      <c r="D211" s="25"/>
      <c r="E211" s="24"/>
      <c r="F211" s="24"/>
      <c r="G211" s="25"/>
      <c r="H211" s="25"/>
      <c r="I211" s="25"/>
      <c r="J211" s="25"/>
      <c r="K211" s="25"/>
      <c r="L211" s="25"/>
      <c r="M211" s="25" t="str">
        <f>IF(AND(A211="",B211="",E211=""),"",IF(OR(A211="",B211="",C211="",D211="",E211="",J211="",AND(A211="client",COUNTIF(الزبائن!$A$6:$A$505,B211)=0),AND(A211="proposed_name",COUNTIF('أسماء مقترحة'!$A$6:$A$505,B211)=0),AND(D211="mobile",J211&lt;&gt;"invalid",NOT(OR(AND(LEN(E211&amp;"")=10,LEFT(E211&amp;"",2)="09"),AND(LEN(E211&amp;"")=9,LEFT(E211&amp;"",1)="9")))),COUNTIFS($A$6:$A$505,A211,$B$6:$B$505,B211,$E$6:$E$505,E211)&gt;1),"REVIEW","READY"))</f>
        <v/>
      </c>
      <c r="N211" s="27" t="str">
        <f>IF(M211="","",IF(M211="READY","",TRIM(IF(A211="","missing entity_type; ","")&amp;IF(B211="","missing entity_key; ","")&amp;IF(C211="","missing contact_order; ","")&amp;IF(D211="","missing contact_type; ","")&amp;IF(E211="","missing number; ","")&amp;IF(J211="","missing status; ","")&amp;IF(AND(A211="client",COUNTIF(الزبائن!$A$6:$A$505,B211)=0),"client key not found; ","")&amp;IF(AND(A211="proposed_name",COUNTIF('أسماء مقترحة'!$A$6:$A$505,B211)=0),"proposed_name key not found; ","")&amp;IF(AND(D211="mobile",J211&lt;&gt;"invalid",NOT(OR(AND(LEN(E211&amp;"")=10,LEFT(E211&amp;"",2)="09"),AND(LEN(E211&amp;"")=9,LEFT(E211&amp;"",1)="9")))),"mobile must be 09XXXXXXXX or status invalid; ","")&amp;IF(COUNTIFS($A$6:$A$505,A211,$B$6:$B$505,B211,$E$6:$E$505,E211)&gt;1,"duplicate number for same entity; ",""))))</f>
        <v/>
      </c>
    </row>
    <row r="212" spans="1:14">
      <c r="A212" s="23"/>
      <c r="B212" s="24"/>
      <c r="C212" s="25"/>
      <c r="D212" s="25"/>
      <c r="E212" s="24"/>
      <c r="F212" s="24"/>
      <c r="G212" s="25"/>
      <c r="H212" s="25"/>
      <c r="I212" s="25"/>
      <c r="J212" s="25"/>
      <c r="K212" s="25"/>
      <c r="L212" s="25"/>
      <c r="M212" s="25" t="str">
        <f>IF(AND(A212="",B212="",E212=""),"",IF(OR(A212="",B212="",C212="",D212="",E212="",J212="",AND(A212="client",COUNTIF(الزبائن!$A$6:$A$505,B212)=0),AND(A212="proposed_name",COUNTIF('أسماء مقترحة'!$A$6:$A$505,B212)=0),AND(D212="mobile",J212&lt;&gt;"invalid",NOT(OR(AND(LEN(E212&amp;"")=10,LEFT(E212&amp;"",2)="09"),AND(LEN(E212&amp;"")=9,LEFT(E212&amp;"",1)="9")))),COUNTIFS($A$6:$A$505,A212,$B$6:$B$505,B212,$E$6:$E$505,E212)&gt;1),"REVIEW","READY"))</f>
        <v/>
      </c>
      <c r="N212" s="27" t="str">
        <f>IF(M212="","",IF(M212="READY","",TRIM(IF(A212="","missing entity_type; ","")&amp;IF(B212="","missing entity_key; ","")&amp;IF(C212="","missing contact_order; ","")&amp;IF(D212="","missing contact_type; ","")&amp;IF(E212="","missing number; ","")&amp;IF(J212="","missing status; ","")&amp;IF(AND(A212="client",COUNTIF(الزبائن!$A$6:$A$505,B212)=0),"client key not found; ","")&amp;IF(AND(A212="proposed_name",COUNTIF('أسماء مقترحة'!$A$6:$A$505,B212)=0),"proposed_name key not found; ","")&amp;IF(AND(D212="mobile",J212&lt;&gt;"invalid",NOT(OR(AND(LEN(E212&amp;"")=10,LEFT(E212&amp;"",2)="09"),AND(LEN(E212&amp;"")=9,LEFT(E212&amp;"",1)="9")))),"mobile must be 09XXXXXXXX or status invalid; ","")&amp;IF(COUNTIFS($A$6:$A$505,A212,$B$6:$B$505,B212,$E$6:$E$505,E212)&gt;1,"duplicate number for same entity; ",""))))</f>
        <v/>
      </c>
    </row>
    <row r="213" spans="1:14">
      <c r="A213" s="23"/>
      <c r="B213" s="24"/>
      <c r="C213" s="25"/>
      <c r="D213" s="25"/>
      <c r="E213" s="24"/>
      <c r="F213" s="24"/>
      <c r="G213" s="25"/>
      <c r="H213" s="25"/>
      <c r="I213" s="25"/>
      <c r="J213" s="25"/>
      <c r="K213" s="25"/>
      <c r="L213" s="25"/>
      <c r="M213" s="25" t="str">
        <f>IF(AND(A213="",B213="",E213=""),"",IF(OR(A213="",B213="",C213="",D213="",E213="",J213="",AND(A213="client",COUNTIF(الزبائن!$A$6:$A$505,B213)=0),AND(A213="proposed_name",COUNTIF('أسماء مقترحة'!$A$6:$A$505,B213)=0),AND(D213="mobile",J213&lt;&gt;"invalid",NOT(OR(AND(LEN(E213&amp;"")=10,LEFT(E213&amp;"",2)="09"),AND(LEN(E213&amp;"")=9,LEFT(E213&amp;"",1)="9")))),COUNTIFS($A$6:$A$505,A213,$B$6:$B$505,B213,$E$6:$E$505,E213)&gt;1),"REVIEW","READY"))</f>
        <v/>
      </c>
      <c r="N213" s="27" t="str">
        <f>IF(M213="","",IF(M213="READY","",TRIM(IF(A213="","missing entity_type; ","")&amp;IF(B213="","missing entity_key; ","")&amp;IF(C213="","missing contact_order; ","")&amp;IF(D213="","missing contact_type; ","")&amp;IF(E213="","missing number; ","")&amp;IF(J213="","missing status; ","")&amp;IF(AND(A213="client",COUNTIF(الزبائن!$A$6:$A$505,B213)=0),"client key not found; ","")&amp;IF(AND(A213="proposed_name",COUNTIF('أسماء مقترحة'!$A$6:$A$505,B213)=0),"proposed_name key not found; ","")&amp;IF(AND(D213="mobile",J213&lt;&gt;"invalid",NOT(OR(AND(LEN(E213&amp;"")=10,LEFT(E213&amp;"",2)="09"),AND(LEN(E213&amp;"")=9,LEFT(E213&amp;"",1)="9")))),"mobile must be 09XXXXXXXX or status invalid; ","")&amp;IF(COUNTIFS($A$6:$A$505,A213,$B$6:$B$505,B213,$E$6:$E$505,E213)&gt;1,"duplicate number for same entity; ",""))))</f>
        <v/>
      </c>
    </row>
    <row r="214" spans="1:14">
      <c r="A214" s="23"/>
      <c r="B214" s="24"/>
      <c r="C214" s="25"/>
      <c r="D214" s="25"/>
      <c r="E214" s="24"/>
      <c r="F214" s="24"/>
      <c r="G214" s="25"/>
      <c r="H214" s="25"/>
      <c r="I214" s="25"/>
      <c r="J214" s="25"/>
      <c r="K214" s="25"/>
      <c r="L214" s="25"/>
      <c r="M214" s="25" t="str">
        <f>IF(AND(A214="",B214="",E214=""),"",IF(OR(A214="",B214="",C214="",D214="",E214="",J214="",AND(A214="client",COUNTIF(الزبائن!$A$6:$A$505,B214)=0),AND(A214="proposed_name",COUNTIF('أسماء مقترحة'!$A$6:$A$505,B214)=0),AND(D214="mobile",J214&lt;&gt;"invalid",NOT(OR(AND(LEN(E214&amp;"")=10,LEFT(E214&amp;"",2)="09"),AND(LEN(E214&amp;"")=9,LEFT(E214&amp;"",1)="9")))),COUNTIFS($A$6:$A$505,A214,$B$6:$B$505,B214,$E$6:$E$505,E214)&gt;1),"REVIEW","READY"))</f>
        <v/>
      </c>
      <c r="N214" s="27" t="str">
        <f>IF(M214="","",IF(M214="READY","",TRIM(IF(A214="","missing entity_type; ","")&amp;IF(B214="","missing entity_key; ","")&amp;IF(C214="","missing contact_order; ","")&amp;IF(D214="","missing contact_type; ","")&amp;IF(E214="","missing number; ","")&amp;IF(J214="","missing status; ","")&amp;IF(AND(A214="client",COUNTIF(الزبائن!$A$6:$A$505,B214)=0),"client key not found; ","")&amp;IF(AND(A214="proposed_name",COUNTIF('أسماء مقترحة'!$A$6:$A$505,B214)=0),"proposed_name key not found; ","")&amp;IF(AND(D214="mobile",J214&lt;&gt;"invalid",NOT(OR(AND(LEN(E214&amp;"")=10,LEFT(E214&amp;"",2)="09"),AND(LEN(E214&amp;"")=9,LEFT(E214&amp;"",1)="9")))),"mobile must be 09XXXXXXXX or status invalid; ","")&amp;IF(COUNTIFS($A$6:$A$505,A214,$B$6:$B$505,B214,$E$6:$E$505,E214)&gt;1,"duplicate number for same entity; ",""))))</f>
        <v/>
      </c>
    </row>
    <row r="215" spans="1:14">
      <c r="A215" s="23"/>
      <c r="B215" s="24"/>
      <c r="C215" s="25"/>
      <c r="D215" s="25"/>
      <c r="E215" s="24"/>
      <c r="F215" s="24"/>
      <c r="G215" s="25"/>
      <c r="H215" s="25"/>
      <c r="I215" s="25"/>
      <c r="J215" s="25"/>
      <c r="K215" s="25"/>
      <c r="L215" s="25"/>
      <c r="M215" s="25" t="str">
        <f>IF(AND(A215="",B215="",E215=""),"",IF(OR(A215="",B215="",C215="",D215="",E215="",J215="",AND(A215="client",COUNTIF(الزبائن!$A$6:$A$505,B215)=0),AND(A215="proposed_name",COUNTIF('أسماء مقترحة'!$A$6:$A$505,B215)=0),AND(D215="mobile",J215&lt;&gt;"invalid",NOT(OR(AND(LEN(E215&amp;"")=10,LEFT(E215&amp;"",2)="09"),AND(LEN(E215&amp;"")=9,LEFT(E215&amp;"",1)="9")))),COUNTIFS($A$6:$A$505,A215,$B$6:$B$505,B215,$E$6:$E$505,E215)&gt;1),"REVIEW","READY"))</f>
        <v/>
      </c>
      <c r="N215" s="27" t="str">
        <f>IF(M215="","",IF(M215="READY","",TRIM(IF(A215="","missing entity_type; ","")&amp;IF(B215="","missing entity_key; ","")&amp;IF(C215="","missing contact_order; ","")&amp;IF(D215="","missing contact_type; ","")&amp;IF(E215="","missing number; ","")&amp;IF(J215="","missing status; ","")&amp;IF(AND(A215="client",COUNTIF(الزبائن!$A$6:$A$505,B215)=0),"client key not found; ","")&amp;IF(AND(A215="proposed_name",COUNTIF('أسماء مقترحة'!$A$6:$A$505,B215)=0),"proposed_name key not found; ","")&amp;IF(AND(D215="mobile",J215&lt;&gt;"invalid",NOT(OR(AND(LEN(E215&amp;"")=10,LEFT(E215&amp;"",2)="09"),AND(LEN(E215&amp;"")=9,LEFT(E215&amp;"",1)="9")))),"mobile must be 09XXXXXXXX or status invalid; ","")&amp;IF(COUNTIFS($A$6:$A$505,A215,$B$6:$B$505,B215,$E$6:$E$505,E215)&gt;1,"duplicate number for same entity; ",""))))</f>
        <v/>
      </c>
    </row>
    <row r="216" spans="1:14">
      <c r="A216" s="23"/>
      <c r="B216" s="24"/>
      <c r="C216" s="25"/>
      <c r="D216" s="25"/>
      <c r="E216" s="24"/>
      <c r="F216" s="24"/>
      <c r="G216" s="25"/>
      <c r="H216" s="25"/>
      <c r="I216" s="25"/>
      <c r="J216" s="25"/>
      <c r="K216" s="25"/>
      <c r="L216" s="25"/>
      <c r="M216" s="25" t="str">
        <f>IF(AND(A216="",B216="",E216=""),"",IF(OR(A216="",B216="",C216="",D216="",E216="",J216="",AND(A216="client",COUNTIF(الزبائن!$A$6:$A$505,B216)=0),AND(A216="proposed_name",COUNTIF('أسماء مقترحة'!$A$6:$A$505,B216)=0),AND(D216="mobile",J216&lt;&gt;"invalid",NOT(OR(AND(LEN(E216&amp;"")=10,LEFT(E216&amp;"",2)="09"),AND(LEN(E216&amp;"")=9,LEFT(E216&amp;"",1)="9")))),COUNTIFS($A$6:$A$505,A216,$B$6:$B$505,B216,$E$6:$E$505,E216)&gt;1),"REVIEW","READY"))</f>
        <v/>
      </c>
      <c r="N216" s="27" t="str">
        <f>IF(M216="","",IF(M216="READY","",TRIM(IF(A216="","missing entity_type; ","")&amp;IF(B216="","missing entity_key; ","")&amp;IF(C216="","missing contact_order; ","")&amp;IF(D216="","missing contact_type; ","")&amp;IF(E216="","missing number; ","")&amp;IF(J216="","missing status; ","")&amp;IF(AND(A216="client",COUNTIF(الزبائن!$A$6:$A$505,B216)=0),"client key not found; ","")&amp;IF(AND(A216="proposed_name",COUNTIF('أسماء مقترحة'!$A$6:$A$505,B216)=0),"proposed_name key not found; ","")&amp;IF(AND(D216="mobile",J216&lt;&gt;"invalid",NOT(OR(AND(LEN(E216&amp;"")=10,LEFT(E216&amp;"",2)="09"),AND(LEN(E216&amp;"")=9,LEFT(E216&amp;"",1)="9")))),"mobile must be 09XXXXXXXX or status invalid; ","")&amp;IF(COUNTIFS($A$6:$A$505,A216,$B$6:$B$505,B216,$E$6:$E$505,E216)&gt;1,"duplicate number for same entity; ",""))))</f>
        <v/>
      </c>
    </row>
    <row r="217" spans="1:14">
      <c r="A217" s="23"/>
      <c r="B217" s="24"/>
      <c r="C217" s="25"/>
      <c r="D217" s="25"/>
      <c r="E217" s="24"/>
      <c r="F217" s="24"/>
      <c r="G217" s="25"/>
      <c r="H217" s="25"/>
      <c r="I217" s="25"/>
      <c r="J217" s="25"/>
      <c r="K217" s="25"/>
      <c r="L217" s="25"/>
      <c r="M217" s="25" t="str">
        <f>IF(AND(A217="",B217="",E217=""),"",IF(OR(A217="",B217="",C217="",D217="",E217="",J217="",AND(A217="client",COUNTIF(الزبائن!$A$6:$A$505,B217)=0),AND(A217="proposed_name",COUNTIF('أسماء مقترحة'!$A$6:$A$505,B217)=0),AND(D217="mobile",J217&lt;&gt;"invalid",NOT(OR(AND(LEN(E217&amp;"")=10,LEFT(E217&amp;"",2)="09"),AND(LEN(E217&amp;"")=9,LEFT(E217&amp;"",1)="9")))),COUNTIFS($A$6:$A$505,A217,$B$6:$B$505,B217,$E$6:$E$505,E217)&gt;1),"REVIEW","READY"))</f>
        <v/>
      </c>
      <c r="N217" s="27" t="str">
        <f>IF(M217="","",IF(M217="READY","",TRIM(IF(A217="","missing entity_type; ","")&amp;IF(B217="","missing entity_key; ","")&amp;IF(C217="","missing contact_order; ","")&amp;IF(D217="","missing contact_type; ","")&amp;IF(E217="","missing number; ","")&amp;IF(J217="","missing status; ","")&amp;IF(AND(A217="client",COUNTIF(الزبائن!$A$6:$A$505,B217)=0),"client key not found; ","")&amp;IF(AND(A217="proposed_name",COUNTIF('أسماء مقترحة'!$A$6:$A$505,B217)=0),"proposed_name key not found; ","")&amp;IF(AND(D217="mobile",J217&lt;&gt;"invalid",NOT(OR(AND(LEN(E217&amp;"")=10,LEFT(E217&amp;"",2)="09"),AND(LEN(E217&amp;"")=9,LEFT(E217&amp;"",1)="9")))),"mobile must be 09XXXXXXXX or status invalid; ","")&amp;IF(COUNTIFS($A$6:$A$505,A217,$B$6:$B$505,B217,$E$6:$E$505,E217)&gt;1,"duplicate number for same entity; ",""))))</f>
        <v/>
      </c>
    </row>
    <row r="218" spans="1:14">
      <c r="A218" s="23"/>
      <c r="B218" s="24"/>
      <c r="C218" s="25"/>
      <c r="D218" s="25"/>
      <c r="E218" s="24"/>
      <c r="F218" s="24"/>
      <c r="G218" s="25"/>
      <c r="H218" s="25"/>
      <c r="I218" s="25"/>
      <c r="J218" s="25"/>
      <c r="K218" s="25"/>
      <c r="L218" s="25"/>
      <c r="M218" s="25" t="str">
        <f>IF(AND(A218="",B218="",E218=""),"",IF(OR(A218="",B218="",C218="",D218="",E218="",J218="",AND(A218="client",COUNTIF(الزبائن!$A$6:$A$505,B218)=0),AND(A218="proposed_name",COUNTIF('أسماء مقترحة'!$A$6:$A$505,B218)=0),AND(D218="mobile",J218&lt;&gt;"invalid",NOT(OR(AND(LEN(E218&amp;"")=10,LEFT(E218&amp;"",2)="09"),AND(LEN(E218&amp;"")=9,LEFT(E218&amp;"",1)="9")))),COUNTIFS($A$6:$A$505,A218,$B$6:$B$505,B218,$E$6:$E$505,E218)&gt;1),"REVIEW","READY"))</f>
        <v/>
      </c>
      <c r="N218" s="27" t="str">
        <f>IF(M218="","",IF(M218="READY","",TRIM(IF(A218="","missing entity_type; ","")&amp;IF(B218="","missing entity_key; ","")&amp;IF(C218="","missing contact_order; ","")&amp;IF(D218="","missing contact_type; ","")&amp;IF(E218="","missing number; ","")&amp;IF(J218="","missing status; ","")&amp;IF(AND(A218="client",COUNTIF(الزبائن!$A$6:$A$505,B218)=0),"client key not found; ","")&amp;IF(AND(A218="proposed_name",COUNTIF('أسماء مقترحة'!$A$6:$A$505,B218)=0),"proposed_name key not found; ","")&amp;IF(AND(D218="mobile",J218&lt;&gt;"invalid",NOT(OR(AND(LEN(E218&amp;"")=10,LEFT(E218&amp;"",2)="09"),AND(LEN(E218&amp;"")=9,LEFT(E218&amp;"",1)="9")))),"mobile must be 09XXXXXXXX or status invalid; ","")&amp;IF(COUNTIFS($A$6:$A$505,A218,$B$6:$B$505,B218,$E$6:$E$505,E218)&gt;1,"duplicate number for same entity; ",""))))</f>
        <v/>
      </c>
    </row>
    <row r="219" spans="1:14">
      <c r="A219" s="23"/>
      <c r="B219" s="24"/>
      <c r="C219" s="25"/>
      <c r="D219" s="25"/>
      <c r="E219" s="24"/>
      <c r="F219" s="24"/>
      <c r="G219" s="25"/>
      <c r="H219" s="25"/>
      <c r="I219" s="25"/>
      <c r="J219" s="25"/>
      <c r="K219" s="25"/>
      <c r="L219" s="25"/>
      <c r="M219" s="25" t="str">
        <f>IF(AND(A219="",B219="",E219=""),"",IF(OR(A219="",B219="",C219="",D219="",E219="",J219="",AND(A219="client",COUNTIF(الزبائن!$A$6:$A$505,B219)=0),AND(A219="proposed_name",COUNTIF('أسماء مقترحة'!$A$6:$A$505,B219)=0),AND(D219="mobile",J219&lt;&gt;"invalid",NOT(OR(AND(LEN(E219&amp;"")=10,LEFT(E219&amp;"",2)="09"),AND(LEN(E219&amp;"")=9,LEFT(E219&amp;"",1)="9")))),COUNTIFS($A$6:$A$505,A219,$B$6:$B$505,B219,$E$6:$E$505,E219)&gt;1),"REVIEW","READY"))</f>
        <v/>
      </c>
      <c r="N219" s="27" t="str">
        <f>IF(M219="","",IF(M219="READY","",TRIM(IF(A219="","missing entity_type; ","")&amp;IF(B219="","missing entity_key; ","")&amp;IF(C219="","missing contact_order; ","")&amp;IF(D219="","missing contact_type; ","")&amp;IF(E219="","missing number; ","")&amp;IF(J219="","missing status; ","")&amp;IF(AND(A219="client",COUNTIF(الزبائن!$A$6:$A$505,B219)=0),"client key not found; ","")&amp;IF(AND(A219="proposed_name",COUNTIF('أسماء مقترحة'!$A$6:$A$505,B219)=0),"proposed_name key not found; ","")&amp;IF(AND(D219="mobile",J219&lt;&gt;"invalid",NOT(OR(AND(LEN(E219&amp;"")=10,LEFT(E219&amp;"",2)="09"),AND(LEN(E219&amp;"")=9,LEFT(E219&amp;"",1)="9")))),"mobile must be 09XXXXXXXX or status invalid; ","")&amp;IF(COUNTIFS($A$6:$A$505,A219,$B$6:$B$505,B219,$E$6:$E$505,E219)&gt;1,"duplicate number for same entity; ",""))))</f>
        <v/>
      </c>
    </row>
    <row r="220" spans="1:14">
      <c r="A220" s="23"/>
      <c r="B220" s="24"/>
      <c r="C220" s="25"/>
      <c r="D220" s="25"/>
      <c r="E220" s="24"/>
      <c r="F220" s="24"/>
      <c r="G220" s="25"/>
      <c r="H220" s="25"/>
      <c r="I220" s="25"/>
      <c r="J220" s="25"/>
      <c r="K220" s="25"/>
      <c r="L220" s="25"/>
      <c r="M220" s="25" t="str">
        <f>IF(AND(A220="",B220="",E220=""),"",IF(OR(A220="",B220="",C220="",D220="",E220="",J220="",AND(A220="client",COUNTIF(الزبائن!$A$6:$A$505,B220)=0),AND(A220="proposed_name",COUNTIF('أسماء مقترحة'!$A$6:$A$505,B220)=0),AND(D220="mobile",J220&lt;&gt;"invalid",NOT(OR(AND(LEN(E220&amp;"")=10,LEFT(E220&amp;"",2)="09"),AND(LEN(E220&amp;"")=9,LEFT(E220&amp;"",1)="9")))),COUNTIFS($A$6:$A$505,A220,$B$6:$B$505,B220,$E$6:$E$505,E220)&gt;1),"REVIEW","READY"))</f>
        <v/>
      </c>
      <c r="N220" s="27" t="str">
        <f>IF(M220="","",IF(M220="READY","",TRIM(IF(A220="","missing entity_type; ","")&amp;IF(B220="","missing entity_key; ","")&amp;IF(C220="","missing contact_order; ","")&amp;IF(D220="","missing contact_type; ","")&amp;IF(E220="","missing number; ","")&amp;IF(J220="","missing status; ","")&amp;IF(AND(A220="client",COUNTIF(الزبائن!$A$6:$A$505,B220)=0),"client key not found; ","")&amp;IF(AND(A220="proposed_name",COUNTIF('أسماء مقترحة'!$A$6:$A$505,B220)=0),"proposed_name key not found; ","")&amp;IF(AND(D220="mobile",J220&lt;&gt;"invalid",NOT(OR(AND(LEN(E220&amp;"")=10,LEFT(E220&amp;"",2)="09"),AND(LEN(E220&amp;"")=9,LEFT(E220&amp;"",1)="9")))),"mobile must be 09XXXXXXXX or status invalid; ","")&amp;IF(COUNTIFS($A$6:$A$505,A220,$B$6:$B$505,B220,$E$6:$E$505,E220)&gt;1,"duplicate number for same entity; ",""))))</f>
        <v/>
      </c>
    </row>
    <row r="221" spans="1:14">
      <c r="A221" s="23"/>
      <c r="B221" s="24"/>
      <c r="C221" s="25"/>
      <c r="D221" s="25"/>
      <c r="E221" s="24"/>
      <c r="F221" s="24"/>
      <c r="G221" s="25"/>
      <c r="H221" s="25"/>
      <c r="I221" s="25"/>
      <c r="J221" s="25"/>
      <c r="K221" s="25"/>
      <c r="L221" s="25"/>
      <c r="M221" s="25" t="str">
        <f>IF(AND(A221="",B221="",E221=""),"",IF(OR(A221="",B221="",C221="",D221="",E221="",J221="",AND(A221="client",COUNTIF(الزبائن!$A$6:$A$505,B221)=0),AND(A221="proposed_name",COUNTIF('أسماء مقترحة'!$A$6:$A$505,B221)=0),AND(D221="mobile",J221&lt;&gt;"invalid",NOT(OR(AND(LEN(E221&amp;"")=10,LEFT(E221&amp;"",2)="09"),AND(LEN(E221&amp;"")=9,LEFT(E221&amp;"",1)="9")))),COUNTIFS($A$6:$A$505,A221,$B$6:$B$505,B221,$E$6:$E$505,E221)&gt;1),"REVIEW","READY"))</f>
        <v/>
      </c>
      <c r="N221" s="27" t="str">
        <f>IF(M221="","",IF(M221="READY","",TRIM(IF(A221="","missing entity_type; ","")&amp;IF(B221="","missing entity_key; ","")&amp;IF(C221="","missing contact_order; ","")&amp;IF(D221="","missing contact_type; ","")&amp;IF(E221="","missing number; ","")&amp;IF(J221="","missing status; ","")&amp;IF(AND(A221="client",COUNTIF(الزبائن!$A$6:$A$505,B221)=0),"client key not found; ","")&amp;IF(AND(A221="proposed_name",COUNTIF('أسماء مقترحة'!$A$6:$A$505,B221)=0),"proposed_name key not found; ","")&amp;IF(AND(D221="mobile",J221&lt;&gt;"invalid",NOT(OR(AND(LEN(E221&amp;"")=10,LEFT(E221&amp;"",2)="09"),AND(LEN(E221&amp;"")=9,LEFT(E221&amp;"",1)="9")))),"mobile must be 09XXXXXXXX or status invalid; ","")&amp;IF(COUNTIFS($A$6:$A$505,A221,$B$6:$B$505,B221,$E$6:$E$505,E221)&gt;1,"duplicate number for same entity; ",""))))</f>
        <v/>
      </c>
    </row>
    <row r="222" spans="1:14">
      <c r="A222" s="23"/>
      <c r="B222" s="24"/>
      <c r="C222" s="25"/>
      <c r="D222" s="25"/>
      <c r="E222" s="24"/>
      <c r="F222" s="24"/>
      <c r="G222" s="25"/>
      <c r="H222" s="25"/>
      <c r="I222" s="25"/>
      <c r="J222" s="25"/>
      <c r="K222" s="25"/>
      <c r="L222" s="25"/>
      <c r="M222" s="25" t="str">
        <f>IF(AND(A222="",B222="",E222=""),"",IF(OR(A222="",B222="",C222="",D222="",E222="",J222="",AND(A222="client",COUNTIF(الزبائن!$A$6:$A$505,B222)=0),AND(A222="proposed_name",COUNTIF('أسماء مقترحة'!$A$6:$A$505,B222)=0),AND(D222="mobile",J222&lt;&gt;"invalid",NOT(OR(AND(LEN(E222&amp;"")=10,LEFT(E222&amp;"",2)="09"),AND(LEN(E222&amp;"")=9,LEFT(E222&amp;"",1)="9")))),COUNTIFS($A$6:$A$505,A222,$B$6:$B$505,B222,$E$6:$E$505,E222)&gt;1),"REVIEW","READY"))</f>
        <v/>
      </c>
      <c r="N222" s="27" t="str">
        <f>IF(M222="","",IF(M222="READY","",TRIM(IF(A222="","missing entity_type; ","")&amp;IF(B222="","missing entity_key; ","")&amp;IF(C222="","missing contact_order; ","")&amp;IF(D222="","missing contact_type; ","")&amp;IF(E222="","missing number; ","")&amp;IF(J222="","missing status; ","")&amp;IF(AND(A222="client",COUNTIF(الزبائن!$A$6:$A$505,B222)=0),"client key not found; ","")&amp;IF(AND(A222="proposed_name",COUNTIF('أسماء مقترحة'!$A$6:$A$505,B222)=0),"proposed_name key not found; ","")&amp;IF(AND(D222="mobile",J222&lt;&gt;"invalid",NOT(OR(AND(LEN(E222&amp;"")=10,LEFT(E222&amp;"",2)="09"),AND(LEN(E222&amp;"")=9,LEFT(E222&amp;"",1)="9")))),"mobile must be 09XXXXXXXX or status invalid; ","")&amp;IF(COUNTIFS($A$6:$A$505,A222,$B$6:$B$505,B222,$E$6:$E$505,E222)&gt;1,"duplicate number for same entity; ",""))))</f>
        <v/>
      </c>
    </row>
    <row r="223" spans="1:14">
      <c r="A223" s="23"/>
      <c r="B223" s="24"/>
      <c r="C223" s="25"/>
      <c r="D223" s="25"/>
      <c r="E223" s="24"/>
      <c r="F223" s="24"/>
      <c r="G223" s="25"/>
      <c r="H223" s="25"/>
      <c r="I223" s="25"/>
      <c r="J223" s="25"/>
      <c r="K223" s="25"/>
      <c r="L223" s="25"/>
      <c r="M223" s="25" t="str">
        <f>IF(AND(A223="",B223="",E223=""),"",IF(OR(A223="",B223="",C223="",D223="",E223="",J223="",AND(A223="client",COUNTIF(الزبائن!$A$6:$A$505,B223)=0),AND(A223="proposed_name",COUNTIF('أسماء مقترحة'!$A$6:$A$505,B223)=0),AND(D223="mobile",J223&lt;&gt;"invalid",NOT(OR(AND(LEN(E223&amp;"")=10,LEFT(E223&amp;"",2)="09"),AND(LEN(E223&amp;"")=9,LEFT(E223&amp;"",1)="9")))),COUNTIFS($A$6:$A$505,A223,$B$6:$B$505,B223,$E$6:$E$505,E223)&gt;1),"REVIEW","READY"))</f>
        <v/>
      </c>
      <c r="N223" s="27" t="str">
        <f>IF(M223="","",IF(M223="READY","",TRIM(IF(A223="","missing entity_type; ","")&amp;IF(B223="","missing entity_key; ","")&amp;IF(C223="","missing contact_order; ","")&amp;IF(D223="","missing contact_type; ","")&amp;IF(E223="","missing number; ","")&amp;IF(J223="","missing status; ","")&amp;IF(AND(A223="client",COUNTIF(الزبائن!$A$6:$A$505,B223)=0),"client key not found; ","")&amp;IF(AND(A223="proposed_name",COUNTIF('أسماء مقترحة'!$A$6:$A$505,B223)=0),"proposed_name key not found; ","")&amp;IF(AND(D223="mobile",J223&lt;&gt;"invalid",NOT(OR(AND(LEN(E223&amp;"")=10,LEFT(E223&amp;"",2)="09"),AND(LEN(E223&amp;"")=9,LEFT(E223&amp;"",1)="9")))),"mobile must be 09XXXXXXXX or status invalid; ","")&amp;IF(COUNTIFS($A$6:$A$505,A223,$B$6:$B$505,B223,$E$6:$E$505,E223)&gt;1,"duplicate number for same entity; ",""))))</f>
        <v/>
      </c>
    </row>
    <row r="224" spans="1:14">
      <c r="A224" s="23"/>
      <c r="B224" s="24"/>
      <c r="C224" s="25"/>
      <c r="D224" s="25"/>
      <c r="E224" s="24"/>
      <c r="F224" s="24"/>
      <c r="G224" s="25"/>
      <c r="H224" s="25"/>
      <c r="I224" s="25"/>
      <c r="J224" s="25"/>
      <c r="K224" s="25"/>
      <c r="L224" s="25"/>
      <c r="M224" s="25" t="str">
        <f>IF(AND(A224="",B224="",E224=""),"",IF(OR(A224="",B224="",C224="",D224="",E224="",J224="",AND(A224="client",COUNTIF(الزبائن!$A$6:$A$505,B224)=0),AND(A224="proposed_name",COUNTIF('أسماء مقترحة'!$A$6:$A$505,B224)=0),AND(D224="mobile",J224&lt;&gt;"invalid",NOT(OR(AND(LEN(E224&amp;"")=10,LEFT(E224&amp;"",2)="09"),AND(LEN(E224&amp;"")=9,LEFT(E224&amp;"",1)="9")))),COUNTIFS($A$6:$A$505,A224,$B$6:$B$505,B224,$E$6:$E$505,E224)&gt;1),"REVIEW","READY"))</f>
        <v/>
      </c>
      <c r="N224" s="27" t="str">
        <f>IF(M224="","",IF(M224="READY","",TRIM(IF(A224="","missing entity_type; ","")&amp;IF(B224="","missing entity_key; ","")&amp;IF(C224="","missing contact_order; ","")&amp;IF(D224="","missing contact_type; ","")&amp;IF(E224="","missing number; ","")&amp;IF(J224="","missing status; ","")&amp;IF(AND(A224="client",COUNTIF(الزبائن!$A$6:$A$505,B224)=0),"client key not found; ","")&amp;IF(AND(A224="proposed_name",COUNTIF('أسماء مقترحة'!$A$6:$A$505,B224)=0),"proposed_name key not found; ","")&amp;IF(AND(D224="mobile",J224&lt;&gt;"invalid",NOT(OR(AND(LEN(E224&amp;"")=10,LEFT(E224&amp;"",2)="09"),AND(LEN(E224&amp;"")=9,LEFT(E224&amp;"",1)="9")))),"mobile must be 09XXXXXXXX or status invalid; ","")&amp;IF(COUNTIFS($A$6:$A$505,A224,$B$6:$B$505,B224,$E$6:$E$505,E224)&gt;1,"duplicate number for same entity; ",""))))</f>
        <v/>
      </c>
    </row>
    <row r="225" spans="1:14">
      <c r="A225" s="23"/>
      <c r="B225" s="24"/>
      <c r="C225" s="25"/>
      <c r="D225" s="25"/>
      <c r="E225" s="24"/>
      <c r="F225" s="24"/>
      <c r="G225" s="25"/>
      <c r="H225" s="25"/>
      <c r="I225" s="25"/>
      <c r="J225" s="25"/>
      <c r="K225" s="25"/>
      <c r="L225" s="25"/>
      <c r="M225" s="25" t="str">
        <f>IF(AND(A225="",B225="",E225=""),"",IF(OR(A225="",B225="",C225="",D225="",E225="",J225="",AND(A225="client",COUNTIF(الزبائن!$A$6:$A$505,B225)=0),AND(A225="proposed_name",COUNTIF('أسماء مقترحة'!$A$6:$A$505,B225)=0),AND(D225="mobile",J225&lt;&gt;"invalid",NOT(OR(AND(LEN(E225&amp;"")=10,LEFT(E225&amp;"",2)="09"),AND(LEN(E225&amp;"")=9,LEFT(E225&amp;"",1)="9")))),COUNTIFS($A$6:$A$505,A225,$B$6:$B$505,B225,$E$6:$E$505,E225)&gt;1),"REVIEW","READY"))</f>
        <v/>
      </c>
      <c r="N225" s="27" t="str">
        <f>IF(M225="","",IF(M225="READY","",TRIM(IF(A225="","missing entity_type; ","")&amp;IF(B225="","missing entity_key; ","")&amp;IF(C225="","missing contact_order; ","")&amp;IF(D225="","missing contact_type; ","")&amp;IF(E225="","missing number; ","")&amp;IF(J225="","missing status; ","")&amp;IF(AND(A225="client",COUNTIF(الزبائن!$A$6:$A$505,B225)=0),"client key not found; ","")&amp;IF(AND(A225="proposed_name",COUNTIF('أسماء مقترحة'!$A$6:$A$505,B225)=0),"proposed_name key not found; ","")&amp;IF(AND(D225="mobile",J225&lt;&gt;"invalid",NOT(OR(AND(LEN(E225&amp;"")=10,LEFT(E225&amp;"",2)="09"),AND(LEN(E225&amp;"")=9,LEFT(E225&amp;"",1)="9")))),"mobile must be 09XXXXXXXX or status invalid; ","")&amp;IF(COUNTIFS($A$6:$A$505,A225,$B$6:$B$505,B225,$E$6:$E$505,E225)&gt;1,"duplicate number for same entity; ",""))))</f>
        <v/>
      </c>
    </row>
    <row r="226" spans="1:14">
      <c r="A226" s="23"/>
      <c r="B226" s="24"/>
      <c r="C226" s="25"/>
      <c r="D226" s="25"/>
      <c r="E226" s="24"/>
      <c r="F226" s="24"/>
      <c r="G226" s="25"/>
      <c r="H226" s="25"/>
      <c r="I226" s="25"/>
      <c r="J226" s="25"/>
      <c r="K226" s="25"/>
      <c r="L226" s="25"/>
      <c r="M226" s="25" t="str">
        <f>IF(AND(A226="",B226="",E226=""),"",IF(OR(A226="",B226="",C226="",D226="",E226="",J226="",AND(A226="client",COUNTIF(الزبائن!$A$6:$A$505,B226)=0),AND(A226="proposed_name",COUNTIF('أسماء مقترحة'!$A$6:$A$505,B226)=0),AND(D226="mobile",J226&lt;&gt;"invalid",NOT(OR(AND(LEN(E226&amp;"")=10,LEFT(E226&amp;"",2)="09"),AND(LEN(E226&amp;"")=9,LEFT(E226&amp;"",1)="9")))),COUNTIFS($A$6:$A$505,A226,$B$6:$B$505,B226,$E$6:$E$505,E226)&gt;1),"REVIEW","READY"))</f>
        <v/>
      </c>
      <c r="N226" s="27" t="str">
        <f>IF(M226="","",IF(M226="READY","",TRIM(IF(A226="","missing entity_type; ","")&amp;IF(B226="","missing entity_key; ","")&amp;IF(C226="","missing contact_order; ","")&amp;IF(D226="","missing contact_type; ","")&amp;IF(E226="","missing number; ","")&amp;IF(J226="","missing status; ","")&amp;IF(AND(A226="client",COUNTIF(الزبائن!$A$6:$A$505,B226)=0),"client key not found; ","")&amp;IF(AND(A226="proposed_name",COUNTIF('أسماء مقترحة'!$A$6:$A$505,B226)=0),"proposed_name key not found; ","")&amp;IF(AND(D226="mobile",J226&lt;&gt;"invalid",NOT(OR(AND(LEN(E226&amp;"")=10,LEFT(E226&amp;"",2)="09"),AND(LEN(E226&amp;"")=9,LEFT(E226&amp;"",1)="9")))),"mobile must be 09XXXXXXXX or status invalid; ","")&amp;IF(COUNTIFS($A$6:$A$505,A226,$B$6:$B$505,B226,$E$6:$E$505,E226)&gt;1,"duplicate number for same entity; ",""))))</f>
        <v/>
      </c>
    </row>
    <row r="227" spans="1:14">
      <c r="A227" s="23"/>
      <c r="B227" s="24"/>
      <c r="C227" s="25"/>
      <c r="D227" s="25"/>
      <c r="E227" s="24"/>
      <c r="F227" s="24"/>
      <c r="G227" s="25"/>
      <c r="H227" s="25"/>
      <c r="I227" s="25"/>
      <c r="J227" s="25"/>
      <c r="K227" s="25"/>
      <c r="L227" s="25"/>
      <c r="M227" s="25" t="str">
        <f>IF(AND(A227="",B227="",E227=""),"",IF(OR(A227="",B227="",C227="",D227="",E227="",J227="",AND(A227="client",COUNTIF(الزبائن!$A$6:$A$505,B227)=0),AND(A227="proposed_name",COUNTIF('أسماء مقترحة'!$A$6:$A$505,B227)=0),AND(D227="mobile",J227&lt;&gt;"invalid",NOT(OR(AND(LEN(E227&amp;"")=10,LEFT(E227&amp;"",2)="09"),AND(LEN(E227&amp;"")=9,LEFT(E227&amp;"",1)="9")))),COUNTIFS($A$6:$A$505,A227,$B$6:$B$505,B227,$E$6:$E$505,E227)&gt;1),"REVIEW","READY"))</f>
        <v/>
      </c>
      <c r="N227" s="27" t="str">
        <f>IF(M227="","",IF(M227="READY","",TRIM(IF(A227="","missing entity_type; ","")&amp;IF(B227="","missing entity_key; ","")&amp;IF(C227="","missing contact_order; ","")&amp;IF(D227="","missing contact_type; ","")&amp;IF(E227="","missing number; ","")&amp;IF(J227="","missing status; ","")&amp;IF(AND(A227="client",COUNTIF(الزبائن!$A$6:$A$505,B227)=0),"client key not found; ","")&amp;IF(AND(A227="proposed_name",COUNTIF('أسماء مقترحة'!$A$6:$A$505,B227)=0),"proposed_name key not found; ","")&amp;IF(AND(D227="mobile",J227&lt;&gt;"invalid",NOT(OR(AND(LEN(E227&amp;"")=10,LEFT(E227&amp;"",2)="09"),AND(LEN(E227&amp;"")=9,LEFT(E227&amp;"",1)="9")))),"mobile must be 09XXXXXXXX or status invalid; ","")&amp;IF(COUNTIFS($A$6:$A$505,A227,$B$6:$B$505,B227,$E$6:$E$505,E227)&gt;1,"duplicate number for same entity; ",""))))</f>
        <v/>
      </c>
    </row>
    <row r="228" spans="1:14">
      <c r="A228" s="23"/>
      <c r="B228" s="24"/>
      <c r="C228" s="25"/>
      <c r="D228" s="25"/>
      <c r="E228" s="24"/>
      <c r="F228" s="24"/>
      <c r="G228" s="25"/>
      <c r="H228" s="25"/>
      <c r="I228" s="25"/>
      <c r="J228" s="25"/>
      <c r="K228" s="25"/>
      <c r="L228" s="25"/>
      <c r="M228" s="25" t="str">
        <f>IF(AND(A228="",B228="",E228=""),"",IF(OR(A228="",B228="",C228="",D228="",E228="",J228="",AND(A228="client",COUNTIF(الزبائن!$A$6:$A$505,B228)=0),AND(A228="proposed_name",COUNTIF('أسماء مقترحة'!$A$6:$A$505,B228)=0),AND(D228="mobile",J228&lt;&gt;"invalid",NOT(OR(AND(LEN(E228&amp;"")=10,LEFT(E228&amp;"",2)="09"),AND(LEN(E228&amp;"")=9,LEFT(E228&amp;"",1)="9")))),COUNTIFS($A$6:$A$505,A228,$B$6:$B$505,B228,$E$6:$E$505,E228)&gt;1),"REVIEW","READY"))</f>
        <v/>
      </c>
      <c r="N228" s="27" t="str">
        <f>IF(M228="","",IF(M228="READY","",TRIM(IF(A228="","missing entity_type; ","")&amp;IF(B228="","missing entity_key; ","")&amp;IF(C228="","missing contact_order; ","")&amp;IF(D228="","missing contact_type; ","")&amp;IF(E228="","missing number; ","")&amp;IF(J228="","missing status; ","")&amp;IF(AND(A228="client",COUNTIF(الزبائن!$A$6:$A$505,B228)=0),"client key not found; ","")&amp;IF(AND(A228="proposed_name",COUNTIF('أسماء مقترحة'!$A$6:$A$505,B228)=0),"proposed_name key not found; ","")&amp;IF(AND(D228="mobile",J228&lt;&gt;"invalid",NOT(OR(AND(LEN(E228&amp;"")=10,LEFT(E228&amp;"",2)="09"),AND(LEN(E228&amp;"")=9,LEFT(E228&amp;"",1)="9")))),"mobile must be 09XXXXXXXX or status invalid; ","")&amp;IF(COUNTIFS($A$6:$A$505,A228,$B$6:$B$505,B228,$E$6:$E$505,E228)&gt;1,"duplicate number for same entity; ",""))))</f>
        <v/>
      </c>
    </row>
    <row r="229" spans="1:14">
      <c r="A229" s="23"/>
      <c r="B229" s="24"/>
      <c r="C229" s="25"/>
      <c r="D229" s="25"/>
      <c r="E229" s="24"/>
      <c r="F229" s="24"/>
      <c r="G229" s="25"/>
      <c r="H229" s="25"/>
      <c r="I229" s="25"/>
      <c r="J229" s="25"/>
      <c r="K229" s="25"/>
      <c r="L229" s="25"/>
      <c r="M229" s="25" t="str">
        <f>IF(AND(A229="",B229="",E229=""),"",IF(OR(A229="",B229="",C229="",D229="",E229="",J229="",AND(A229="client",COUNTIF(الزبائن!$A$6:$A$505,B229)=0),AND(A229="proposed_name",COUNTIF('أسماء مقترحة'!$A$6:$A$505,B229)=0),AND(D229="mobile",J229&lt;&gt;"invalid",NOT(OR(AND(LEN(E229&amp;"")=10,LEFT(E229&amp;"",2)="09"),AND(LEN(E229&amp;"")=9,LEFT(E229&amp;"",1)="9")))),COUNTIFS($A$6:$A$505,A229,$B$6:$B$505,B229,$E$6:$E$505,E229)&gt;1),"REVIEW","READY"))</f>
        <v/>
      </c>
      <c r="N229" s="27" t="str">
        <f>IF(M229="","",IF(M229="READY","",TRIM(IF(A229="","missing entity_type; ","")&amp;IF(B229="","missing entity_key; ","")&amp;IF(C229="","missing contact_order; ","")&amp;IF(D229="","missing contact_type; ","")&amp;IF(E229="","missing number; ","")&amp;IF(J229="","missing status; ","")&amp;IF(AND(A229="client",COUNTIF(الزبائن!$A$6:$A$505,B229)=0),"client key not found; ","")&amp;IF(AND(A229="proposed_name",COUNTIF('أسماء مقترحة'!$A$6:$A$505,B229)=0),"proposed_name key not found; ","")&amp;IF(AND(D229="mobile",J229&lt;&gt;"invalid",NOT(OR(AND(LEN(E229&amp;"")=10,LEFT(E229&amp;"",2)="09"),AND(LEN(E229&amp;"")=9,LEFT(E229&amp;"",1)="9")))),"mobile must be 09XXXXXXXX or status invalid; ","")&amp;IF(COUNTIFS($A$6:$A$505,A229,$B$6:$B$505,B229,$E$6:$E$505,E229)&gt;1,"duplicate number for same entity; ",""))))</f>
        <v/>
      </c>
    </row>
    <row r="230" spans="1:14">
      <c r="A230" s="23"/>
      <c r="B230" s="24"/>
      <c r="C230" s="25"/>
      <c r="D230" s="25"/>
      <c r="E230" s="24"/>
      <c r="F230" s="24"/>
      <c r="G230" s="25"/>
      <c r="H230" s="25"/>
      <c r="I230" s="25"/>
      <c r="J230" s="25"/>
      <c r="K230" s="25"/>
      <c r="L230" s="25"/>
      <c r="M230" s="25" t="str">
        <f>IF(AND(A230="",B230="",E230=""),"",IF(OR(A230="",B230="",C230="",D230="",E230="",J230="",AND(A230="client",COUNTIF(الزبائن!$A$6:$A$505,B230)=0),AND(A230="proposed_name",COUNTIF('أسماء مقترحة'!$A$6:$A$505,B230)=0),AND(D230="mobile",J230&lt;&gt;"invalid",NOT(OR(AND(LEN(E230&amp;"")=10,LEFT(E230&amp;"",2)="09"),AND(LEN(E230&amp;"")=9,LEFT(E230&amp;"",1)="9")))),COUNTIFS($A$6:$A$505,A230,$B$6:$B$505,B230,$E$6:$E$505,E230)&gt;1),"REVIEW","READY"))</f>
        <v/>
      </c>
      <c r="N230" s="27" t="str">
        <f>IF(M230="","",IF(M230="READY","",TRIM(IF(A230="","missing entity_type; ","")&amp;IF(B230="","missing entity_key; ","")&amp;IF(C230="","missing contact_order; ","")&amp;IF(D230="","missing contact_type; ","")&amp;IF(E230="","missing number; ","")&amp;IF(J230="","missing status; ","")&amp;IF(AND(A230="client",COUNTIF(الزبائن!$A$6:$A$505,B230)=0),"client key not found; ","")&amp;IF(AND(A230="proposed_name",COUNTIF('أسماء مقترحة'!$A$6:$A$505,B230)=0),"proposed_name key not found; ","")&amp;IF(AND(D230="mobile",J230&lt;&gt;"invalid",NOT(OR(AND(LEN(E230&amp;"")=10,LEFT(E230&amp;"",2)="09"),AND(LEN(E230&amp;"")=9,LEFT(E230&amp;"",1)="9")))),"mobile must be 09XXXXXXXX or status invalid; ","")&amp;IF(COUNTIFS($A$6:$A$505,A230,$B$6:$B$505,B230,$E$6:$E$505,E230)&gt;1,"duplicate number for same entity; ",""))))</f>
        <v/>
      </c>
    </row>
    <row r="231" spans="1:14">
      <c r="A231" s="23"/>
      <c r="B231" s="24"/>
      <c r="C231" s="25"/>
      <c r="D231" s="25"/>
      <c r="E231" s="24"/>
      <c r="F231" s="24"/>
      <c r="G231" s="25"/>
      <c r="H231" s="25"/>
      <c r="I231" s="25"/>
      <c r="J231" s="25"/>
      <c r="K231" s="25"/>
      <c r="L231" s="25"/>
      <c r="M231" s="25" t="str">
        <f>IF(AND(A231="",B231="",E231=""),"",IF(OR(A231="",B231="",C231="",D231="",E231="",J231="",AND(A231="client",COUNTIF(الزبائن!$A$6:$A$505,B231)=0),AND(A231="proposed_name",COUNTIF('أسماء مقترحة'!$A$6:$A$505,B231)=0),AND(D231="mobile",J231&lt;&gt;"invalid",NOT(OR(AND(LEN(E231&amp;"")=10,LEFT(E231&amp;"",2)="09"),AND(LEN(E231&amp;"")=9,LEFT(E231&amp;"",1)="9")))),COUNTIFS($A$6:$A$505,A231,$B$6:$B$505,B231,$E$6:$E$505,E231)&gt;1),"REVIEW","READY"))</f>
        <v/>
      </c>
      <c r="N231" s="27" t="str">
        <f>IF(M231="","",IF(M231="READY","",TRIM(IF(A231="","missing entity_type; ","")&amp;IF(B231="","missing entity_key; ","")&amp;IF(C231="","missing contact_order; ","")&amp;IF(D231="","missing contact_type; ","")&amp;IF(E231="","missing number; ","")&amp;IF(J231="","missing status; ","")&amp;IF(AND(A231="client",COUNTIF(الزبائن!$A$6:$A$505,B231)=0),"client key not found; ","")&amp;IF(AND(A231="proposed_name",COUNTIF('أسماء مقترحة'!$A$6:$A$505,B231)=0),"proposed_name key not found; ","")&amp;IF(AND(D231="mobile",J231&lt;&gt;"invalid",NOT(OR(AND(LEN(E231&amp;"")=10,LEFT(E231&amp;"",2)="09"),AND(LEN(E231&amp;"")=9,LEFT(E231&amp;"",1)="9")))),"mobile must be 09XXXXXXXX or status invalid; ","")&amp;IF(COUNTIFS($A$6:$A$505,A231,$B$6:$B$505,B231,$E$6:$E$505,E231)&gt;1,"duplicate number for same entity; ",""))))</f>
        <v/>
      </c>
    </row>
    <row r="232" spans="1:14">
      <c r="A232" s="23"/>
      <c r="B232" s="24"/>
      <c r="C232" s="25"/>
      <c r="D232" s="25"/>
      <c r="E232" s="24"/>
      <c r="F232" s="24"/>
      <c r="G232" s="25"/>
      <c r="H232" s="25"/>
      <c r="I232" s="25"/>
      <c r="J232" s="25"/>
      <c r="K232" s="25"/>
      <c r="L232" s="25"/>
      <c r="M232" s="25" t="str">
        <f>IF(AND(A232="",B232="",E232=""),"",IF(OR(A232="",B232="",C232="",D232="",E232="",J232="",AND(A232="client",COUNTIF(الزبائن!$A$6:$A$505,B232)=0),AND(A232="proposed_name",COUNTIF('أسماء مقترحة'!$A$6:$A$505,B232)=0),AND(D232="mobile",J232&lt;&gt;"invalid",NOT(OR(AND(LEN(E232&amp;"")=10,LEFT(E232&amp;"",2)="09"),AND(LEN(E232&amp;"")=9,LEFT(E232&amp;"",1)="9")))),COUNTIFS($A$6:$A$505,A232,$B$6:$B$505,B232,$E$6:$E$505,E232)&gt;1),"REVIEW","READY"))</f>
        <v/>
      </c>
      <c r="N232" s="27" t="str">
        <f>IF(M232="","",IF(M232="READY","",TRIM(IF(A232="","missing entity_type; ","")&amp;IF(B232="","missing entity_key; ","")&amp;IF(C232="","missing contact_order; ","")&amp;IF(D232="","missing contact_type; ","")&amp;IF(E232="","missing number; ","")&amp;IF(J232="","missing status; ","")&amp;IF(AND(A232="client",COUNTIF(الزبائن!$A$6:$A$505,B232)=0),"client key not found; ","")&amp;IF(AND(A232="proposed_name",COUNTIF('أسماء مقترحة'!$A$6:$A$505,B232)=0),"proposed_name key not found; ","")&amp;IF(AND(D232="mobile",J232&lt;&gt;"invalid",NOT(OR(AND(LEN(E232&amp;"")=10,LEFT(E232&amp;"",2)="09"),AND(LEN(E232&amp;"")=9,LEFT(E232&amp;"",1)="9")))),"mobile must be 09XXXXXXXX or status invalid; ","")&amp;IF(COUNTIFS($A$6:$A$505,A232,$B$6:$B$505,B232,$E$6:$E$505,E232)&gt;1,"duplicate number for same entity; ",""))))</f>
        <v/>
      </c>
    </row>
    <row r="233" spans="1:14">
      <c r="A233" s="23"/>
      <c r="B233" s="24"/>
      <c r="C233" s="25"/>
      <c r="D233" s="25"/>
      <c r="E233" s="24"/>
      <c r="F233" s="24"/>
      <c r="G233" s="25"/>
      <c r="H233" s="25"/>
      <c r="I233" s="25"/>
      <c r="J233" s="25"/>
      <c r="K233" s="25"/>
      <c r="L233" s="25"/>
      <c r="M233" s="25" t="str">
        <f>IF(AND(A233="",B233="",E233=""),"",IF(OR(A233="",B233="",C233="",D233="",E233="",J233="",AND(A233="client",COUNTIF(الزبائن!$A$6:$A$505,B233)=0),AND(A233="proposed_name",COUNTIF('أسماء مقترحة'!$A$6:$A$505,B233)=0),AND(D233="mobile",J233&lt;&gt;"invalid",NOT(OR(AND(LEN(E233&amp;"")=10,LEFT(E233&amp;"",2)="09"),AND(LEN(E233&amp;"")=9,LEFT(E233&amp;"",1)="9")))),COUNTIFS($A$6:$A$505,A233,$B$6:$B$505,B233,$E$6:$E$505,E233)&gt;1),"REVIEW","READY"))</f>
        <v/>
      </c>
      <c r="N233" s="27" t="str">
        <f>IF(M233="","",IF(M233="READY","",TRIM(IF(A233="","missing entity_type; ","")&amp;IF(B233="","missing entity_key; ","")&amp;IF(C233="","missing contact_order; ","")&amp;IF(D233="","missing contact_type; ","")&amp;IF(E233="","missing number; ","")&amp;IF(J233="","missing status; ","")&amp;IF(AND(A233="client",COUNTIF(الزبائن!$A$6:$A$505,B233)=0),"client key not found; ","")&amp;IF(AND(A233="proposed_name",COUNTIF('أسماء مقترحة'!$A$6:$A$505,B233)=0),"proposed_name key not found; ","")&amp;IF(AND(D233="mobile",J233&lt;&gt;"invalid",NOT(OR(AND(LEN(E233&amp;"")=10,LEFT(E233&amp;"",2)="09"),AND(LEN(E233&amp;"")=9,LEFT(E233&amp;"",1)="9")))),"mobile must be 09XXXXXXXX or status invalid; ","")&amp;IF(COUNTIFS($A$6:$A$505,A233,$B$6:$B$505,B233,$E$6:$E$505,E233)&gt;1,"duplicate number for same entity; ",""))))</f>
        <v/>
      </c>
    </row>
    <row r="234" spans="1:14">
      <c r="A234" s="23"/>
      <c r="B234" s="24"/>
      <c r="C234" s="25"/>
      <c r="D234" s="25"/>
      <c r="E234" s="24"/>
      <c r="F234" s="24"/>
      <c r="G234" s="25"/>
      <c r="H234" s="25"/>
      <c r="I234" s="25"/>
      <c r="J234" s="25"/>
      <c r="K234" s="25"/>
      <c r="L234" s="25"/>
      <c r="M234" s="25" t="str">
        <f>IF(AND(A234="",B234="",E234=""),"",IF(OR(A234="",B234="",C234="",D234="",E234="",J234="",AND(A234="client",COUNTIF(الزبائن!$A$6:$A$505,B234)=0),AND(A234="proposed_name",COUNTIF('أسماء مقترحة'!$A$6:$A$505,B234)=0),AND(D234="mobile",J234&lt;&gt;"invalid",NOT(OR(AND(LEN(E234&amp;"")=10,LEFT(E234&amp;"",2)="09"),AND(LEN(E234&amp;"")=9,LEFT(E234&amp;"",1)="9")))),COUNTIFS($A$6:$A$505,A234,$B$6:$B$505,B234,$E$6:$E$505,E234)&gt;1),"REVIEW","READY"))</f>
        <v/>
      </c>
      <c r="N234" s="27" t="str">
        <f>IF(M234="","",IF(M234="READY","",TRIM(IF(A234="","missing entity_type; ","")&amp;IF(B234="","missing entity_key; ","")&amp;IF(C234="","missing contact_order; ","")&amp;IF(D234="","missing contact_type; ","")&amp;IF(E234="","missing number; ","")&amp;IF(J234="","missing status; ","")&amp;IF(AND(A234="client",COUNTIF(الزبائن!$A$6:$A$505,B234)=0),"client key not found; ","")&amp;IF(AND(A234="proposed_name",COUNTIF('أسماء مقترحة'!$A$6:$A$505,B234)=0),"proposed_name key not found; ","")&amp;IF(AND(D234="mobile",J234&lt;&gt;"invalid",NOT(OR(AND(LEN(E234&amp;"")=10,LEFT(E234&amp;"",2)="09"),AND(LEN(E234&amp;"")=9,LEFT(E234&amp;"",1)="9")))),"mobile must be 09XXXXXXXX or status invalid; ","")&amp;IF(COUNTIFS($A$6:$A$505,A234,$B$6:$B$505,B234,$E$6:$E$505,E234)&gt;1,"duplicate number for same entity; ",""))))</f>
        <v/>
      </c>
    </row>
    <row r="235" spans="1:14">
      <c r="A235" s="23"/>
      <c r="B235" s="24"/>
      <c r="C235" s="25"/>
      <c r="D235" s="25"/>
      <c r="E235" s="24"/>
      <c r="F235" s="24"/>
      <c r="G235" s="25"/>
      <c r="H235" s="25"/>
      <c r="I235" s="25"/>
      <c r="J235" s="25"/>
      <c r="K235" s="25"/>
      <c r="L235" s="25"/>
      <c r="M235" s="25" t="str">
        <f>IF(AND(A235="",B235="",E235=""),"",IF(OR(A235="",B235="",C235="",D235="",E235="",J235="",AND(A235="client",COUNTIF(الزبائن!$A$6:$A$505,B235)=0),AND(A235="proposed_name",COUNTIF('أسماء مقترحة'!$A$6:$A$505,B235)=0),AND(D235="mobile",J235&lt;&gt;"invalid",NOT(OR(AND(LEN(E235&amp;"")=10,LEFT(E235&amp;"",2)="09"),AND(LEN(E235&amp;"")=9,LEFT(E235&amp;"",1)="9")))),COUNTIFS($A$6:$A$505,A235,$B$6:$B$505,B235,$E$6:$E$505,E235)&gt;1),"REVIEW","READY"))</f>
        <v/>
      </c>
      <c r="N235" s="27" t="str">
        <f>IF(M235="","",IF(M235="READY","",TRIM(IF(A235="","missing entity_type; ","")&amp;IF(B235="","missing entity_key; ","")&amp;IF(C235="","missing contact_order; ","")&amp;IF(D235="","missing contact_type; ","")&amp;IF(E235="","missing number; ","")&amp;IF(J235="","missing status; ","")&amp;IF(AND(A235="client",COUNTIF(الزبائن!$A$6:$A$505,B235)=0),"client key not found; ","")&amp;IF(AND(A235="proposed_name",COUNTIF('أسماء مقترحة'!$A$6:$A$505,B235)=0),"proposed_name key not found; ","")&amp;IF(AND(D235="mobile",J235&lt;&gt;"invalid",NOT(OR(AND(LEN(E235&amp;"")=10,LEFT(E235&amp;"",2)="09"),AND(LEN(E235&amp;"")=9,LEFT(E235&amp;"",1)="9")))),"mobile must be 09XXXXXXXX or status invalid; ","")&amp;IF(COUNTIFS($A$6:$A$505,A235,$B$6:$B$505,B235,$E$6:$E$505,E235)&gt;1,"duplicate number for same entity; ",""))))</f>
        <v/>
      </c>
    </row>
    <row r="236" spans="1:14">
      <c r="A236" s="23"/>
      <c r="B236" s="24"/>
      <c r="C236" s="25"/>
      <c r="D236" s="25"/>
      <c r="E236" s="24"/>
      <c r="F236" s="24"/>
      <c r="G236" s="25"/>
      <c r="H236" s="25"/>
      <c r="I236" s="25"/>
      <c r="J236" s="25"/>
      <c r="K236" s="25"/>
      <c r="L236" s="25"/>
      <c r="M236" s="25" t="str">
        <f>IF(AND(A236="",B236="",E236=""),"",IF(OR(A236="",B236="",C236="",D236="",E236="",J236="",AND(A236="client",COUNTIF(الزبائن!$A$6:$A$505,B236)=0),AND(A236="proposed_name",COUNTIF('أسماء مقترحة'!$A$6:$A$505,B236)=0),AND(D236="mobile",J236&lt;&gt;"invalid",NOT(OR(AND(LEN(E236&amp;"")=10,LEFT(E236&amp;"",2)="09"),AND(LEN(E236&amp;"")=9,LEFT(E236&amp;"",1)="9")))),COUNTIFS($A$6:$A$505,A236,$B$6:$B$505,B236,$E$6:$E$505,E236)&gt;1),"REVIEW","READY"))</f>
        <v/>
      </c>
      <c r="N236" s="27" t="str">
        <f>IF(M236="","",IF(M236="READY","",TRIM(IF(A236="","missing entity_type; ","")&amp;IF(B236="","missing entity_key; ","")&amp;IF(C236="","missing contact_order; ","")&amp;IF(D236="","missing contact_type; ","")&amp;IF(E236="","missing number; ","")&amp;IF(J236="","missing status; ","")&amp;IF(AND(A236="client",COUNTIF(الزبائن!$A$6:$A$505,B236)=0),"client key not found; ","")&amp;IF(AND(A236="proposed_name",COUNTIF('أسماء مقترحة'!$A$6:$A$505,B236)=0),"proposed_name key not found; ","")&amp;IF(AND(D236="mobile",J236&lt;&gt;"invalid",NOT(OR(AND(LEN(E236&amp;"")=10,LEFT(E236&amp;"",2)="09"),AND(LEN(E236&amp;"")=9,LEFT(E236&amp;"",1)="9")))),"mobile must be 09XXXXXXXX or status invalid; ","")&amp;IF(COUNTIFS($A$6:$A$505,A236,$B$6:$B$505,B236,$E$6:$E$505,E236)&gt;1,"duplicate number for same entity; ",""))))</f>
        <v/>
      </c>
    </row>
    <row r="237" spans="1:14">
      <c r="A237" s="23"/>
      <c r="B237" s="24"/>
      <c r="C237" s="25"/>
      <c r="D237" s="25"/>
      <c r="E237" s="24"/>
      <c r="F237" s="24"/>
      <c r="G237" s="25"/>
      <c r="H237" s="25"/>
      <c r="I237" s="25"/>
      <c r="J237" s="25"/>
      <c r="K237" s="25"/>
      <c r="L237" s="25"/>
      <c r="M237" s="25" t="str">
        <f>IF(AND(A237="",B237="",E237=""),"",IF(OR(A237="",B237="",C237="",D237="",E237="",J237="",AND(A237="client",COUNTIF(الزبائن!$A$6:$A$505,B237)=0),AND(A237="proposed_name",COUNTIF('أسماء مقترحة'!$A$6:$A$505,B237)=0),AND(D237="mobile",J237&lt;&gt;"invalid",NOT(OR(AND(LEN(E237&amp;"")=10,LEFT(E237&amp;"",2)="09"),AND(LEN(E237&amp;"")=9,LEFT(E237&amp;"",1)="9")))),COUNTIFS($A$6:$A$505,A237,$B$6:$B$505,B237,$E$6:$E$505,E237)&gt;1),"REVIEW","READY"))</f>
        <v/>
      </c>
      <c r="N237" s="27" t="str">
        <f>IF(M237="","",IF(M237="READY","",TRIM(IF(A237="","missing entity_type; ","")&amp;IF(B237="","missing entity_key; ","")&amp;IF(C237="","missing contact_order; ","")&amp;IF(D237="","missing contact_type; ","")&amp;IF(E237="","missing number; ","")&amp;IF(J237="","missing status; ","")&amp;IF(AND(A237="client",COUNTIF(الزبائن!$A$6:$A$505,B237)=0),"client key not found; ","")&amp;IF(AND(A237="proposed_name",COUNTIF('أسماء مقترحة'!$A$6:$A$505,B237)=0),"proposed_name key not found; ","")&amp;IF(AND(D237="mobile",J237&lt;&gt;"invalid",NOT(OR(AND(LEN(E237&amp;"")=10,LEFT(E237&amp;"",2)="09"),AND(LEN(E237&amp;"")=9,LEFT(E237&amp;"",1)="9")))),"mobile must be 09XXXXXXXX or status invalid; ","")&amp;IF(COUNTIFS($A$6:$A$505,A237,$B$6:$B$505,B237,$E$6:$E$505,E237)&gt;1,"duplicate number for same entity; ",""))))</f>
        <v/>
      </c>
    </row>
    <row r="238" spans="1:14">
      <c r="A238" s="23"/>
      <c r="B238" s="24"/>
      <c r="C238" s="25"/>
      <c r="D238" s="25"/>
      <c r="E238" s="24"/>
      <c r="F238" s="24"/>
      <c r="G238" s="25"/>
      <c r="H238" s="25"/>
      <c r="I238" s="25"/>
      <c r="J238" s="25"/>
      <c r="K238" s="25"/>
      <c r="L238" s="25"/>
      <c r="M238" s="25" t="str">
        <f>IF(AND(A238="",B238="",E238=""),"",IF(OR(A238="",B238="",C238="",D238="",E238="",J238="",AND(A238="client",COUNTIF(الزبائن!$A$6:$A$505,B238)=0),AND(A238="proposed_name",COUNTIF('أسماء مقترحة'!$A$6:$A$505,B238)=0),AND(D238="mobile",J238&lt;&gt;"invalid",NOT(OR(AND(LEN(E238&amp;"")=10,LEFT(E238&amp;"",2)="09"),AND(LEN(E238&amp;"")=9,LEFT(E238&amp;"",1)="9")))),COUNTIFS($A$6:$A$505,A238,$B$6:$B$505,B238,$E$6:$E$505,E238)&gt;1),"REVIEW","READY"))</f>
        <v/>
      </c>
      <c r="N238" s="27" t="str">
        <f>IF(M238="","",IF(M238="READY","",TRIM(IF(A238="","missing entity_type; ","")&amp;IF(B238="","missing entity_key; ","")&amp;IF(C238="","missing contact_order; ","")&amp;IF(D238="","missing contact_type; ","")&amp;IF(E238="","missing number; ","")&amp;IF(J238="","missing status; ","")&amp;IF(AND(A238="client",COUNTIF(الزبائن!$A$6:$A$505,B238)=0),"client key not found; ","")&amp;IF(AND(A238="proposed_name",COUNTIF('أسماء مقترحة'!$A$6:$A$505,B238)=0),"proposed_name key not found; ","")&amp;IF(AND(D238="mobile",J238&lt;&gt;"invalid",NOT(OR(AND(LEN(E238&amp;"")=10,LEFT(E238&amp;"",2)="09"),AND(LEN(E238&amp;"")=9,LEFT(E238&amp;"",1)="9")))),"mobile must be 09XXXXXXXX or status invalid; ","")&amp;IF(COUNTIFS($A$6:$A$505,A238,$B$6:$B$505,B238,$E$6:$E$505,E238)&gt;1,"duplicate number for same entity; ",""))))</f>
        <v/>
      </c>
    </row>
    <row r="239" spans="1:14">
      <c r="A239" s="23"/>
      <c r="B239" s="24"/>
      <c r="C239" s="25"/>
      <c r="D239" s="25"/>
      <c r="E239" s="24"/>
      <c r="F239" s="24"/>
      <c r="G239" s="25"/>
      <c r="H239" s="25"/>
      <c r="I239" s="25"/>
      <c r="J239" s="25"/>
      <c r="K239" s="25"/>
      <c r="L239" s="25"/>
      <c r="M239" s="25" t="str">
        <f>IF(AND(A239="",B239="",E239=""),"",IF(OR(A239="",B239="",C239="",D239="",E239="",J239="",AND(A239="client",COUNTIF(الزبائن!$A$6:$A$505,B239)=0),AND(A239="proposed_name",COUNTIF('أسماء مقترحة'!$A$6:$A$505,B239)=0),AND(D239="mobile",J239&lt;&gt;"invalid",NOT(OR(AND(LEN(E239&amp;"")=10,LEFT(E239&amp;"",2)="09"),AND(LEN(E239&amp;"")=9,LEFT(E239&amp;"",1)="9")))),COUNTIFS($A$6:$A$505,A239,$B$6:$B$505,B239,$E$6:$E$505,E239)&gt;1),"REVIEW","READY"))</f>
        <v/>
      </c>
      <c r="N239" s="27" t="str">
        <f>IF(M239="","",IF(M239="READY","",TRIM(IF(A239="","missing entity_type; ","")&amp;IF(B239="","missing entity_key; ","")&amp;IF(C239="","missing contact_order; ","")&amp;IF(D239="","missing contact_type; ","")&amp;IF(E239="","missing number; ","")&amp;IF(J239="","missing status; ","")&amp;IF(AND(A239="client",COUNTIF(الزبائن!$A$6:$A$505,B239)=0),"client key not found; ","")&amp;IF(AND(A239="proposed_name",COUNTIF('أسماء مقترحة'!$A$6:$A$505,B239)=0),"proposed_name key not found; ","")&amp;IF(AND(D239="mobile",J239&lt;&gt;"invalid",NOT(OR(AND(LEN(E239&amp;"")=10,LEFT(E239&amp;"",2)="09"),AND(LEN(E239&amp;"")=9,LEFT(E239&amp;"",1)="9")))),"mobile must be 09XXXXXXXX or status invalid; ","")&amp;IF(COUNTIFS($A$6:$A$505,A239,$B$6:$B$505,B239,$E$6:$E$505,E239)&gt;1,"duplicate number for same entity; ",""))))</f>
        <v/>
      </c>
    </row>
    <row r="240" spans="1:14">
      <c r="A240" s="23"/>
      <c r="B240" s="24"/>
      <c r="C240" s="25"/>
      <c r="D240" s="25"/>
      <c r="E240" s="24"/>
      <c r="F240" s="24"/>
      <c r="G240" s="25"/>
      <c r="H240" s="25"/>
      <c r="I240" s="25"/>
      <c r="J240" s="25"/>
      <c r="K240" s="25"/>
      <c r="L240" s="25"/>
      <c r="M240" s="25" t="str">
        <f>IF(AND(A240="",B240="",E240=""),"",IF(OR(A240="",B240="",C240="",D240="",E240="",J240="",AND(A240="client",COUNTIF(الزبائن!$A$6:$A$505,B240)=0),AND(A240="proposed_name",COUNTIF('أسماء مقترحة'!$A$6:$A$505,B240)=0),AND(D240="mobile",J240&lt;&gt;"invalid",NOT(OR(AND(LEN(E240&amp;"")=10,LEFT(E240&amp;"",2)="09"),AND(LEN(E240&amp;"")=9,LEFT(E240&amp;"",1)="9")))),COUNTIFS($A$6:$A$505,A240,$B$6:$B$505,B240,$E$6:$E$505,E240)&gt;1),"REVIEW","READY"))</f>
        <v/>
      </c>
      <c r="N240" s="27" t="str">
        <f>IF(M240="","",IF(M240="READY","",TRIM(IF(A240="","missing entity_type; ","")&amp;IF(B240="","missing entity_key; ","")&amp;IF(C240="","missing contact_order; ","")&amp;IF(D240="","missing contact_type; ","")&amp;IF(E240="","missing number; ","")&amp;IF(J240="","missing status; ","")&amp;IF(AND(A240="client",COUNTIF(الزبائن!$A$6:$A$505,B240)=0),"client key not found; ","")&amp;IF(AND(A240="proposed_name",COUNTIF('أسماء مقترحة'!$A$6:$A$505,B240)=0),"proposed_name key not found; ","")&amp;IF(AND(D240="mobile",J240&lt;&gt;"invalid",NOT(OR(AND(LEN(E240&amp;"")=10,LEFT(E240&amp;"",2)="09"),AND(LEN(E240&amp;"")=9,LEFT(E240&amp;"",1)="9")))),"mobile must be 09XXXXXXXX or status invalid; ","")&amp;IF(COUNTIFS($A$6:$A$505,A240,$B$6:$B$505,B240,$E$6:$E$505,E240)&gt;1,"duplicate number for same entity; ",""))))</f>
        <v/>
      </c>
    </row>
    <row r="241" spans="1:14">
      <c r="A241" s="23"/>
      <c r="B241" s="24"/>
      <c r="C241" s="25"/>
      <c r="D241" s="25"/>
      <c r="E241" s="24"/>
      <c r="F241" s="24"/>
      <c r="G241" s="25"/>
      <c r="H241" s="25"/>
      <c r="I241" s="25"/>
      <c r="J241" s="25"/>
      <c r="K241" s="25"/>
      <c r="L241" s="25"/>
      <c r="M241" s="25" t="str">
        <f>IF(AND(A241="",B241="",E241=""),"",IF(OR(A241="",B241="",C241="",D241="",E241="",J241="",AND(A241="client",COUNTIF(الزبائن!$A$6:$A$505,B241)=0),AND(A241="proposed_name",COUNTIF('أسماء مقترحة'!$A$6:$A$505,B241)=0),AND(D241="mobile",J241&lt;&gt;"invalid",NOT(OR(AND(LEN(E241&amp;"")=10,LEFT(E241&amp;"",2)="09"),AND(LEN(E241&amp;"")=9,LEFT(E241&amp;"",1)="9")))),COUNTIFS($A$6:$A$505,A241,$B$6:$B$505,B241,$E$6:$E$505,E241)&gt;1),"REVIEW","READY"))</f>
        <v/>
      </c>
      <c r="N241" s="27" t="str">
        <f>IF(M241="","",IF(M241="READY","",TRIM(IF(A241="","missing entity_type; ","")&amp;IF(B241="","missing entity_key; ","")&amp;IF(C241="","missing contact_order; ","")&amp;IF(D241="","missing contact_type; ","")&amp;IF(E241="","missing number; ","")&amp;IF(J241="","missing status; ","")&amp;IF(AND(A241="client",COUNTIF(الزبائن!$A$6:$A$505,B241)=0),"client key not found; ","")&amp;IF(AND(A241="proposed_name",COUNTIF('أسماء مقترحة'!$A$6:$A$505,B241)=0),"proposed_name key not found; ","")&amp;IF(AND(D241="mobile",J241&lt;&gt;"invalid",NOT(OR(AND(LEN(E241&amp;"")=10,LEFT(E241&amp;"",2)="09"),AND(LEN(E241&amp;"")=9,LEFT(E241&amp;"",1)="9")))),"mobile must be 09XXXXXXXX or status invalid; ","")&amp;IF(COUNTIFS($A$6:$A$505,A241,$B$6:$B$505,B241,$E$6:$E$505,E241)&gt;1,"duplicate number for same entity; ",""))))</f>
        <v/>
      </c>
    </row>
    <row r="242" spans="1:14">
      <c r="A242" s="23"/>
      <c r="B242" s="24"/>
      <c r="C242" s="25"/>
      <c r="D242" s="25"/>
      <c r="E242" s="24"/>
      <c r="F242" s="24"/>
      <c r="G242" s="25"/>
      <c r="H242" s="25"/>
      <c r="I242" s="25"/>
      <c r="J242" s="25"/>
      <c r="K242" s="25"/>
      <c r="L242" s="25"/>
      <c r="M242" s="25" t="str">
        <f>IF(AND(A242="",B242="",E242=""),"",IF(OR(A242="",B242="",C242="",D242="",E242="",J242="",AND(A242="client",COUNTIF(الزبائن!$A$6:$A$505,B242)=0),AND(A242="proposed_name",COUNTIF('أسماء مقترحة'!$A$6:$A$505,B242)=0),AND(D242="mobile",J242&lt;&gt;"invalid",NOT(OR(AND(LEN(E242&amp;"")=10,LEFT(E242&amp;"",2)="09"),AND(LEN(E242&amp;"")=9,LEFT(E242&amp;"",1)="9")))),COUNTIFS($A$6:$A$505,A242,$B$6:$B$505,B242,$E$6:$E$505,E242)&gt;1),"REVIEW","READY"))</f>
        <v/>
      </c>
      <c r="N242" s="27" t="str">
        <f>IF(M242="","",IF(M242="READY","",TRIM(IF(A242="","missing entity_type; ","")&amp;IF(B242="","missing entity_key; ","")&amp;IF(C242="","missing contact_order; ","")&amp;IF(D242="","missing contact_type; ","")&amp;IF(E242="","missing number; ","")&amp;IF(J242="","missing status; ","")&amp;IF(AND(A242="client",COUNTIF(الزبائن!$A$6:$A$505,B242)=0),"client key not found; ","")&amp;IF(AND(A242="proposed_name",COUNTIF('أسماء مقترحة'!$A$6:$A$505,B242)=0),"proposed_name key not found; ","")&amp;IF(AND(D242="mobile",J242&lt;&gt;"invalid",NOT(OR(AND(LEN(E242&amp;"")=10,LEFT(E242&amp;"",2)="09"),AND(LEN(E242&amp;"")=9,LEFT(E242&amp;"",1)="9")))),"mobile must be 09XXXXXXXX or status invalid; ","")&amp;IF(COUNTIFS($A$6:$A$505,A242,$B$6:$B$505,B242,$E$6:$E$505,E242)&gt;1,"duplicate number for same entity; ",""))))</f>
        <v/>
      </c>
    </row>
    <row r="243" spans="1:14">
      <c r="A243" s="23"/>
      <c r="B243" s="24"/>
      <c r="C243" s="25"/>
      <c r="D243" s="25"/>
      <c r="E243" s="24"/>
      <c r="F243" s="24"/>
      <c r="G243" s="25"/>
      <c r="H243" s="25"/>
      <c r="I243" s="25"/>
      <c r="J243" s="25"/>
      <c r="K243" s="25"/>
      <c r="L243" s="25"/>
      <c r="M243" s="25" t="str">
        <f>IF(AND(A243="",B243="",E243=""),"",IF(OR(A243="",B243="",C243="",D243="",E243="",J243="",AND(A243="client",COUNTIF(الزبائن!$A$6:$A$505,B243)=0),AND(A243="proposed_name",COUNTIF('أسماء مقترحة'!$A$6:$A$505,B243)=0),AND(D243="mobile",J243&lt;&gt;"invalid",NOT(OR(AND(LEN(E243&amp;"")=10,LEFT(E243&amp;"",2)="09"),AND(LEN(E243&amp;"")=9,LEFT(E243&amp;"",1)="9")))),COUNTIFS($A$6:$A$505,A243,$B$6:$B$505,B243,$E$6:$E$505,E243)&gt;1),"REVIEW","READY"))</f>
        <v/>
      </c>
      <c r="N243" s="27" t="str">
        <f>IF(M243="","",IF(M243="READY","",TRIM(IF(A243="","missing entity_type; ","")&amp;IF(B243="","missing entity_key; ","")&amp;IF(C243="","missing contact_order; ","")&amp;IF(D243="","missing contact_type; ","")&amp;IF(E243="","missing number; ","")&amp;IF(J243="","missing status; ","")&amp;IF(AND(A243="client",COUNTIF(الزبائن!$A$6:$A$505,B243)=0),"client key not found; ","")&amp;IF(AND(A243="proposed_name",COUNTIF('أسماء مقترحة'!$A$6:$A$505,B243)=0),"proposed_name key not found; ","")&amp;IF(AND(D243="mobile",J243&lt;&gt;"invalid",NOT(OR(AND(LEN(E243&amp;"")=10,LEFT(E243&amp;"",2)="09"),AND(LEN(E243&amp;"")=9,LEFT(E243&amp;"",1)="9")))),"mobile must be 09XXXXXXXX or status invalid; ","")&amp;IF(COUNTIFS($A$6:$A$505,A243,$B$6:$B$505,B243,$E$6:$E$505,E243)&gt;1,"duplicate number for same entity; ",""))))</f>
        <v/>
      </c>
    </row>
    <row r="244" spans="1:14">
      <c r="A244" s="23"/>
      <c r="B244" s="24"/>
      <c r="C244" s="25"/>
      <c r="D244" s="25"/>
      <c r="E244" s="24"/>
      <c r="F244" s="24"/>
      <c r="G244" s="25"/>
      <c r="H244" s="25"/>
      <c r="I244" s="25"/>
      <c r="J244" s="25"/>
      <c r="K244" s="25"/>
      <c r="L244" s="25"/>
      <c r="M244" s="25" t="str">
        <f>IF(AND(A244="",B244="",E244=""),"",IF(OR(A244="",B244="",C244="",D244="",E244="",J244="",AND(A244="client",COUNTIF(الزبائن!$A$6:$A$505,B244)=0),AND(A244="proposed_name",COUNTIF('أسماء مقترحة'!$A$6:$A$505,B244)=0),AND(D244="mobile",J244&lt;&gt;"invalid",NOT(OR(AND(LEN(E244&amp;"")=10,LEFT(E244&amp;"",2)="09"),AND(LEN(E244&amp;"")=9,LEFT(E244&amp;"",1)="9")))),COUNTIFS($A$6:$A$505,A244,$B$6:$B$505,B244,$E$6:$E$505,E244)&gt;1),"REVIEW","READY"))</f>
        <v/>
      </c>
      <c r="N244" s="27" t="str">
        <f>IF(M244="","",IF(M244="READY","",TRIM(IF(A244="","missing entity_type; ","")&amp;IF(B244="","missing entity_key; ","")&amp;IF(C244="","missing contact_order; ","")&amp;IF(D244="","missing contact_type; ","")&amp;IF(E244="","missing number; ","")&amp;IF(J244="","missing status; ","")&amp;IF(AND(A244="client",COUNTIF(الزبائن!$A$6:$A$505,B244)=0),"client key not found; ","")&amp;IF(AND(A244="proposed_name",COUNTIF('أسماء مقترحة'!$A$6:$A$505,B244)=0),"proposed_name key not found; ","")&amp;IF(AND(D244="mobile",J244&lt;&gt;"invalid",NOT(OR(AND(LEN(E244&amp;"")=10,LEFT(E244&amp;"",2)="09"),AND(LEN(E244&amp;"")=9,LEFT(E244&amp;"",1)="9")))),"mobile must be 09XXXXXXXX or status invalid; ","")&amp;IF(COUNTIFS($A$6:$A$505,A244,$B$6:$B$505,B244,$E$6:$E$505,E244)&gt;1,"duplicate number for same entity; ",""))))</f>
        <v/>
      </c>
    </row>
    <row r="245" spans="1:14">
      <c r="A245" s="23"/>
      <c r="B245" s="24"/>
      <c r="C245" s="25"/>
      <c r="D245" s="25"/>
      <c r="E245" s="24"/>
      <c r="F245" s="24"/>
      <c r="G245" s="25"/>
      <c r="H245" s="25"/>
      <c r="I245" s="25"/>
      <c r="J245" s="25"/>
      <c r="K245" s="25"/>
      <c r="L245" s="25"/>
      <c r="M245" s="25" t="str">
        <f>IF(AND(A245="",B245="",E245=""),"",IF(OR(A245="",B245="",C245="",D245="",E245="",J245="",AND(A245="client",COUNTIF(الزبائن!$A$6:$A$505,B245)=0),AND(A245="proposed_name",COUNTIF('أسماء مقترحة'!$A$6:$A$505,B245)=0),AND(D245="mobile",J245&lt;&gt;"invalid",NOT(OR(AND(LEN(E245&amp;"")=10,LEFT(E245&amp;"",2)="09"),AND(LEN(E245&amp;"")=9,LEFT(E245&amp;"",1)="9")))),COUNTIFS($A$6:$A$505,A245,$B$6:$B$505,B245,$E$6:$E$505,E245)&gt;1),"REVIEW","READY"))</f>
        <v/>
      </c>
      <c r="N245" s="27" t="str">
        <f>IF(M245="","",IF(M245="READY","",TRIM(IF(A245="","missing entity_type; ","")&amp;IF(B245="","missing entity_key; ","")&amp;IF(C245="","missing contact_order; ","")&amp;IF(D245="","missing contact_type; ","")&amp;IF(E245="","missing number; ","")&amp;IF(J245="","missing status; ","")&amp;IF(AND(A245="client",COUNTIF(الزبائن!$A$6:$A$505,B245)=0),"client key not found; ","")&amp;IF(AND(A245="proposed_name",COUNTIF('أسماء مقترحة'!$A$6:$A$505,B245)=0),"proposed_name key not found; ","")&amp;IF(AND(D245="mobile",J245&lt;&gt;"invalid",NOT(OR(AND(LEN(E245&amp;"")=10,LEFT(E245&amp;"",2)="09"),AND(LEN(E245&amp;"")=9,LEFT(E245&amp;"",1)="9")))),"mobile must be 09XXXXXXXX or status invalid; ","")&amp;IF(COUNTIFS($A$6:$A$505,A245,$B$6:$B$505,B245,$E$6:$E$505,E245)&gt;1,"duplicate number for same entity; ",""))))</f>
        <v/>
      </c>
    </row>
    <row r="246" spans="1:14">
      <c r="A246" s="23"/>
      <c r="B246" s="24"/>
      <c r="C246" s="25"/>
      <c r="D246" s="25"/>
      <c r="E246" s="24"/>
      <c r="F246" s="24"/>
      <c r="G246" s="25"/>
      <c r="H246" s="25"/>
      <c r="I246" s="25"/>
      <c r="J246" s="25"/>
      <c r="K246" s="25"/>
      <c r="L246" s="25"/>
      <c r="M246" s="25" t="str">
        <f>IF(AND(A246="",B246="",E246=""),"",IF(OR(A246="",B246="",C246="",D246="",E246="",J246="",AND(A246="client",COUNTIF(الزبائن!$A$6:$A$505,B246)=0),AND(A246="proposed_name",COUNTIF('أسماء مقترحة'!$A$6:$A$505,B246)=0),AND(D246="mobile",J246&lt;&gt;"invalid",NOT(OR(AND(LEN(E246&amp;"")=10,LEFT(E246&amp;"",2)="09"),AND(LEN(E246&amp;"")=9,LEFT(E246&amp;"",1)="9")))),COUNTIFS($A$6:$A$505,A246,$B$6:$B$505,B246,$E$6:$E$505,E246)&gt;1),"REVIEW","READY"))</f>
        <v/>
      </c>
      <c r="N246" s="27" t="str">
        <f>IF(M246="","",IF(M246="READY","",TRIM(IF(A246="","missing entity_type; ","")&amp;IF(B246="","missing entity_key; ","")&amp;IF(C246="","missing contact_order; ","")&amp;IF(D246="","missing contact_type; ","")&amp;IF(E246="","missing number; ","")&amp;IF(J246="","missing status; ","")&amp;IF(AND(A246="client",COUNTIF(الزبائن!$A$6:$A$505,B246)=0),"client key not found; ","")&amp;IF(AND(A246="proposed_name",COUNTIF('أسماء مقترحة'!$A$6:$A$505,B246)=0),"proposed_name key not found; ","")&amp;IF(AND(D246="mobile",J246&lt;&gt;"invalid",NOT(OR(AND(LEN(E246&amp;"")=10,LEFT(E246&amp;"",2)="09"),AND(LEN(E246&amp;"")=9,LEFT(E246&amp;"",1)="9")))),"mobile must be 09XXXXXXXX or status invalid; ","")&amp;IF(COUNTIFS($A$6:$A$505,A246,$B$6:$B$505,B246,$E$6:$E$505,E246)&gt;1,"duplicate number for same entity; ",""))))</f>
        <v/>
      </c>
    </row>
    <row r="247" spans="1:14">
      <c r="A247" s="23"/>
      <c r="B247" s="24"/>
      <c r="C247" s="25"/>
      <c r="D247" s="25"/>
      <c r="E247" s="24"/>
      <c r="F247" s="24"/>
      <c r="G247" s="25"/>
      <c r="H247" s="25"/>
      <c r="I247" s="25"/>
      <c r="J247" s="25"/>
      <c r="K247" s="25"/>
      <c r="L247" s="25"/>
      <c r="M247" s="25" t="str">
        <f>IF(AND(A247="",B247="",E247=""),"",IF(OR(A247="",B247="",C247="",D247="",E247="",J247="",AND(A247="client",COUNTIF(الزبائن!$A$6:$A$505,B247)=0),AND(A247="proposed_name",COUNTIF('أسماء مقترحة'!$A$6:$A$505,B247)=0),AND(D247="mobile",J247&lt;&gt;"invalid",NOT(OR(AND(LEN(E247&amp;"")=10,LEFT(E247&amp;"",2)="09"),AND(LEN(E247&amp;"")=9,LEFT(E247&amp;"",1)="9")))),COUNTIFS($A$6:$A$505,A247,$B$6:$B$505,B247,$E$6:$E$505,E247)&gt;1),"REVIEW","READY"))</f>
        <v/>
      </c>
      <c r="N247" s="27" t="str">
        <f>IF(M247="","",IF(M247="READY","",TRIM(IF(A247="","missing entity_type; ","")&amp;IF(B247="","missing entity_key; ","")&amp;IF(C247="","missing contact_order; ","")&amp;IF(D247="","missing contact_type; ","")&amp;IF(E247="","missing number; ","")&amp;IF(J247="","missing status; ","")&amp;IF(AND(A247="client",COUNTIF(الزبائن!$A$6:$A$505,B247)=0),"client key not found; ","")&amp;IF(AND(A247="proposed_name",COUNTIF('أسماء مقترحة'!$A$6:$A$505,B247)=0),"proposed_name key not found; ","")&amp;IF(AND(D247="mobile",J247&lt;&gt;"invalid",NOT(OR(AND(LEN(E247&amp;"")=10,LEFT(E247&amp;"",2)="09"),AND(LEN(E247&amp;"")=9,LEFT(E247&amp;"",1)="9")))),"mobile must be 09XXXXXXXX or status invalid; ","")&amp;IF(COUNTIFS($A$6:$A$505,A247,$B$6:$B$505,B247,$E$6:$E$505,E247)&gt;1,"duplicate number for same entity; ",""))))</f>
        <v/>
      </c>
    </row>
    <row r="248" spans="1:14">
      <c r="A248" s="23"/>
      <c r="B248" s="24"/>
      <c r="C248" s="25"/>
      <c r="D248" s="25"/>
      <c r="E248" s="24"/>
      <c r="F248" s="24"/>
      <c r="G248" s="25"/>
      <c r="H248" s="25"/>
      <c r="I248" s="25"/>
      <c r="J248" s="25"/>
      <c r="K248" s="25"/>
      <c r="L248" s="25"/>
      <c r="M248" s="25" t="str">
        <f>IF(AND(A248="",B248="",E248=""),"",IF(OR(A248="",B248="",C248="",D248="",E248="",J248="",AND(A248="client",COUNTIF(الزبائن!$A$6:$A$505,B248)=0),AND(A248="proposed_name",COUNTIF('أسماء مقترحة'!$A$6:$A$505,B248)=0),AND(D248="mobile",J248&lt;&gt;"invalid",NOT(OR(AND(LEN(E248&amp;"")=10,LEFT(E248&amp;"",2)="09"),AND(LEN(E248&amp;"")=9,LEFT(E248&amp;"",1)="9")))),COUNTIFS($A$6:$A$505,A248,$B$6:$B$505,B248,$E$6:$E$505,E248)&gt;1),"REVIEW","READY"))</f>
        <v/>
      </c>
      <c r="N248" s="27" t="str">
        <f>IF(M248="","",IF(M248="READY","",TRIM(IF(A248="","missing entity_type; ","")&amp;IF(B248="","missing entity_key; ","")&amp;IF(C248="","missing contact_order; ","")&amp;IF(D248="","missing contact_type; ","")&amp;IF(E248="","missing number; ","")&amp;IF(J248="","missing status; ","")&amp;IF(AND(A248="client",COUNTIF(الزبائن!$A$6:$A$505,B248)=0),"client key not found; ","")&amp;IF(AND(A248="proposed_name",COUNTIF('أسماء مقترحة'!$A$6:$A$505,B248)=0),"proposed_name key not found; ","")&amp;IF(AND(D248="mobile",J248&lt;&gt;"invalid",NOT(OR(AND(LEN(E248&amp;"")=10,LEFT(E248&amp;"",2)="09"),AND(LEN(E248&amp;"")=9,LEFT(E248&amp;"",1)="9")))),"mobile must be 09XXXXXXXX or status invalid; ","")&amp;IF(COUNTIFS($A$6:$A$505,A248,$B$6:$B$505,B248,$E$6:$E$505,E248)&gt;1,"duplicate number for same entity; ",""))))</f>
        <v/>
      </c>
    </row>
    <row r="249" spans="1:14">
      <c r="A249" s="23"/>
      <c r="B249" s="24"/>
      <c r="C249" s="25"/>
      <c r="D249" s="25"/>
      <c r="E249" s="24"/>
      <c r="F249" s="24"/>
      <c r="G249" s="25"/>
      <c r="H249" s="25"/>
      <c r="I249" s="25"/>
      <c r="J249" s="25"/>
      <c r="K249" s="25"/>
      <c r="L249" s="25"/>
      <c r="M249" s="25" t="str">
        <f>IF(AND(A249="",B249="",E249=""),"",IF(OR(A249="",B249="",C249="",D249="",E249="",J249="",AND(A249="client",COUNTIF(الزبائن!$A$6:$A$505,B249)=0),AND(A249="proposed_name",COUNTIF('أسماء مقترحة'!$A$6:$A$505,B249)=0),AND(D249="mobile",J249&lt;&gt;"invalid",NOT(OR(AND(LEN(E249&amp;"")=10,LEFT(E249&amp;"",2)="09"),AND(LEN(E249&amp;"")=9,LEFT(E249&amp;"",1)="9")))),COUNTIFS($A$6:$A$505,A249,$B$6:$B$505,B249,$E$6:$E$505,E249)&gt;1),"REVIEW","READY"))</f>
        <v/>
      </c>
      <c r="N249" s="27" t="str">
        <f>IF(M249="","",IF(M249="READY","",TRIM(IF(A249="","missing entity_type; ","")&amp;IF(B249="","missing entity_key; ","")&amp;IF(C249="","missing contact_order; ","")&amp;IF(D249="","missing contact_type; ","")&amp;IF(E249="","missing number; ","")&amp;IF(J249="","missing status; ","")&amp;IF(AND(A249="client",COUNTIF(الزبائن!$A$6:$A$505,B249)=0),"client key not found; ","")&amp;IF(AND(A249="proposed_name",COUNTIF('أسماء مقترحة'!$A$6:$A$505,B249)=0),"proposed_name key not found; ","")&amp;IF(AND(D249="mobile",J249&lt;&gt;"invalid",NOT(OR(AND(LEN(E249&amp;"")=10,LEFT(E249&amp;"",2)="09"),AND(LEN(E249&amp;"")=9,LEFT(E249&amp;"",1)="9")))),"mobile must be 09XXXXXXXX or status invalid; ","")&amp;IF(COUNTIFS($A$6:$A$505,A249,$B$6:$B$505,B249,$E$6:$E$505,E249)&gt;1,"duplicate number for same entity; ",""))))</f>
        <v/>
      </c>
    </row>
    <row r="250" spans="1:14">
      <c r="A250" s="23"/>
      <c r="B250" s="24"/>
      <c r="C250" s="25"/>
      <c r="D250" s="25"/>
      <c r="E250" s="24"/>
      <c r="F250" s="24"/>
      <c r="G250" s="25"/>
      <c r="H250" s="25"/>
      <c r="I250" s="25"/>
      <c r="J250" s="25"/>
      <c r="K250" s="25"/>
      <c r="L250" s="25"/>
      <c r="M250" s="25" t="str">
        <f>IF(AND(A250="",B250="",E250=""),"",IF(OR(A250="",B250="",C250="",D250="",E250="",J250="",AND(A250="client",COUNTIF(الزبائن!$A$6:$A$505,B250)=0),AND(A250="proposed_name",COUNTIF('أسماء مقترحة'!$A$6:$A$505,B250)=0),AND(D250="mobile",J250&lt;&gt;"invalid",NOT(OR(AND(LEN(E250&amp;"")=10,LEFT(E250&amp;"",2)="09"),AND(LEN(E250&amp;"")=9,LEFT(E250&amp;"",1)="9")))),COUNTIFS($A$6:$A$505,A250,$B$6:$B$505,B250,$E$6:$E$505,E250)&gt;1),"REVIEW","READY"))</f>
        <v/>
      </c>
      <c r="N250" s="27" t="str">
        <f>IF(M250="","",IF(M250="READY","",TRIM(IF(A250="","missing entity_type; ","")&amp;IF(B250="","missing entity_key; ","")&amp;IF(C250="","missing contact_order; ","")&amp;IF(D250="","missing contact_type; ","")&amp;IF(E250="","missing number; ","")&amp;IF(J250="","missing status; ","")&amp;IF(AND(A250="client",COUNTIF(الزبائن!$A$6:$A$505,B250)=0),"client key not found; ","")&amp;IF(AND(A250="proposed_name",COUNTIF('أسماء مقترحة'!$A$6:$A$505,B250)=0),"proposed_name key not found; ","")&amp;IF(AND(D250="mobile",J250&lt;&gt;"invalid",NOT(OR(AND(LEN(E250&amp;"")=10,LEFT(E250&amp;"",2)="09"),AND(LEN(E250&amp;"")=9,LEFT(E250&amp;"",1)="9")))),"mobile must be 09XXXXXXXX or status invalid; ","")&amp;IF(COUNTIFS($A$6:$A$505,A250,$B$6:$B$505,B250,$E$6:$E$505,E250)&gt;1,"duplicate number for same entity; ",""))))</f>
        <v/>
      </c>
    </row>
    <row r="251" spans="1:14">
      <c r="A251" s="23"/>
      <c r="B251" s="24"/>
      <c r="C251" s="25"/>
      <c r="D251" s="25"/>
      <c r="E251" s="24"/>
      <c r="F251" s="24"/>
      <c r="G251" s="25"/>
      <c r="H251" s="25"/>
      <c r="I251" s="25"/>
      <c r="J251" s="25"/>
      <c r="K251" s="25"/>
      <c r="L251" s="25"/>
      <c r="M251" s="25" t="str">
        <f>IF(AND(A251="",B251="",E251=""),"",IF(OR(A251="",B251="",C251="",D251="",E251="",J251="",AND(A251="client",COUNTIF(الزبائن!$A$6:$A$505,B251)=0),AND(A251="proposed_name",COUNTIF('أسماء مقترحة'!$A$6:$A$505,B251)=0),AND(D251="mobile",J251&lt;&gt;"invalid",NOT(OR(AND(LEN(E251&amp;"")=10,LEFT(E251&amp;"",2)="09"),AND(LEN(E251&amp;"")=9,LEFT(E251&amp;"",1)="9")))),COUNTIFS($A$6:$A$505,A251,$B$6:$B$505,B251,$E$6:$E$505,E251)&gt;1),"REVIEW","READY"))</f>
        <v/>
      </c>
      <c r="N251" s="27" t="str">
        <f>IF(M251="","",IF(M251="READY","",TRIM(IF(A251="","missing entity_type; ","")&amp;IF(B251="","missing entity_key; ","")&amp;IF(C251="","missing contact_order; ","")&amp;IF(D251="","missing contact_type; ","")&amp;IF(E251="","missing number; ","")&amp;IF(J251="","missing status; ","")&amp;IF(AND(A251="client",COUNTIF(الزبائن!$A$6:$A$505,B251)=0),"client key not found; ","")&amp;IF(AND(A251="proposed_name",COUNTIF('أسماء مقترحة'!$A$6:$A$505,B251)=0),"proposed_name key not found; ","")&amp;IF(AND(D251="mobile",J251&lt;&gt;"invalid",NOT(OR(AND(LEN(E251&amp;"")=10,LEFT(E251&amp;"",2)="09"),AND(LEN(E251&amp;"")=9,LEFT(E251&amp;"",1)="9")))),"mobile must be 09XXXXXXXX or status invalid; ","")&amp;IF(COUNTIFS($A$6:$A$505,A251,$B$6:$B$505,B251,$E$6:$E$505,E251)&gt;1,"duplicate number for same entity; ",""))))</f>
        <v/>
      </c>
    </row>
    <row r="252" spans="1:14">
      <c r="A252" s="23"/>
      <c r="B252" s="24"/>
      <c r="C252" s="25"/>
      <c r="D252" s="25"/>
      <c r="E252" s="24"/>
      <c r="F252" s="24"/>
      <c r="G252" s="25"/>
      <c r="H252" s="25"/>
      <c r="I252" s="25"/>
      <c r="J252" s="25"/>
      <c r="K252" s="25"/>
      <c r="L252" s="25"/>
      <c r="M252" s="25" t="str">
        <f>IF(AND(A252="",B252="",E252=""),"",IF(OR(A252="",B252="",C252="",D252="",E252="",J252="",AND(A252="client",COUNTIF(الزبائن!$A$6:$A$505,B252)=0),AND(A252="proposed_name",COUNTIF('أسماء مقترحة'!$A$6:$A$505,B252)=0),AND(D252="mobile",J252&lt;&gt;"invalid",NOT(OR(AND(LEN(E252&amp;"")=10,LEFT(E252&amp;"",2)="09"),AND(LEN(E252&amp;"")=9,LEFT(E252&amp;"",1)="9")))),COUNTIFS($A$6:$A$505,A252,$B$6:$B$505,B252,$E$6:$E$505,E252)&gt;1),"REVIEW","READY"))</f>
        <v/>
      </c>
      <c r="N252" s="27" t="str">
        <f>IF(M252="","",IF(M252="READY","",TRIM(IF(A252="","missing entity_type; ","")&amp;IF(B252="","missing entity_key; ","")&amp;IF(C252="","missing contact_order; ","")&amp;IF(D252="","missing contact_type; ","")&amp;IF(E252="","missing number; ","")&amp;IF(J252="","missing status; ","")&amp;IF(AND(A252="client",COUNTIF(الزبائن!$A$6:$A$505,B252)=0),"client key not found; ","")&amp;IF(AND(A252="proposed_name",COUNTIF('أسماء مقترحة'!$A$6:$A$505,B252)=0),"proposed_name key not found; ","")&amp;IF(AND(D252="mobile",J252&lt;&gt;"invalid",NOT(OR(AND(LEN(E252&amp;"")=10,LEFT(E252&amp;"",2)="09"),AND(LEN(E252&amp;"")=9,LEFT(E252&amp;"",1)="9")))),"mobile must be 09XXXXXXXX or status invalid; ","")&amp;IF(COUNTIFS($A$6:$A$505,A252,$B$6:$B$505,B252,$E$6:$E$505,E252)&gt;1,"duplicate number for same entity; ",""))))</f>
        <v/>
      </c>
    </row>
    <row r="253" spans="1:14">
      <c r="A253" s="23"/>
      <c r="B253" s="24"/>
      <c r="C253" s="25"/>
      <c r="D253" s="25"/>
      <c r="E253" s="24"/>
      <c r="F253" s="24"/>
      <c r="G253" s="25"/>
      <c r="H253" s="25"/>
      <c r="I253" s="25"/>
      <c r="J253" s="25"/>
      <c r="K253" s="25"/>
      <c r="L253" s="25"/>
      <c r="M253" s="25" t="str">
        <f>IF(AND(A253="",B253="",E253=""),"",IF(OR(A253="",B253="",C253="",D253="",E253="",J253="",AND(A253="client",COUNTIF(الزبائن!$A$6:$A$505,B253)=0),AND(A253="proposed_name",COUNTIF('أسماء مقترحة'!$A$6:$A$505,B253)=0),AND(D253="mobile",J253&lt;&gt;"invalid",NOT(OR(AND(LEN(E253&amp;"")=10,LEFT(E253&amp;"",2)="09"),AND(LEN(E253&amp;"")=9,LEFT(E253&amp;"",1)="9")))),COUNTIFS($A$6:$A$505,A253,$B$6:$B$505,B253,$E$6:$E$505,E253)&gt;1),"REVIEW","READY"))</f>
        <v/>
      </c>
      <c r="N253" s="27" t="str">
        <f>IF(M253="","",IF(M253="READY","",TRIM(IF(A253="","missing entity_type; ","")&amp;IF(B253="","missing entity_key; ","")&amp;IF(C253="","missing contact_order; ","")&amp;IF(D253="","missing contact_type; ","")&amp;IF(E253="","missing number; ","")&amp;IF(J253="","missing status; ","")&amp;IF(AND(A253="client",COUNTIF(الزبائن!$A$6:$A$505,B253)=0),"client key not found; ","")&amp;IF(AND(A253="proposed_name",COUNTIF('أسماء مقترحة'!$A$6:$A$505,B253)=0),"proposed_name key not found; ","")&amp;IF(AND(D253="mobile",J253&lt;&gt;"invalid",NOT(OR(AND(LEN(E253&amp;"")=10,LEFT(E253&amp;"",2)="09"),AND(LEN(E253&amp;"")=9,LEFT(E253&amp;"",1)="9")))),"mobile must be 09XXXXXXXX or status invalid; ","")&amp;IF(COUNTIFS($A$6:$A$505,A253,$B$6:$B$505,B253,$E$6:$E$505,E253)&gt;1,"duplicate number for same entity; ",""))))</f>
        <v/>
      </c>
    </row>
    <row r="254" spans="1:14">
      <c r="A254" s="23"/>
      <c r="B254" s="24"/>
      <c r="C254" s="25"/>
      <c r="D254" s="25"/>
      <c r="E254" s="24"/>
      <c r="F254" s="24"/>
      <c r="G254" s="25"/>
      <c r="H254" s="25"/>
      <c r="I254" s="25"/>
      <c r="J254" s="25"/>
      <c r="K254" s="25"/>
      <c r="L254" s="25"/>
      <c r="M254" s="25" t="str">
        <f>IF(AND(A254="",B254="",E254=""),"",IF(OR(A254="",B254="",C254="",D254="",E254="",J254="",AND(A254="client",COUNTIF(الزبائن!$A$6:$A$505,B254)=0),AND(A254="proposed_name",COUNTIF('أسماء مقترحة'!$A$6:$A$505,B254)=0),AND(D254="mobile",J254&lt;&gt;"invalid",NOT(OR(AND(LEN(E254&amp;"")=10,LEFT(E254&amp;"",2)="09"),AND(LEN(E254&amp;"")=9,LEFT(E254&amp;"",1)="9")))),COUNTIFS($A$6:$A$505,A254,$B$6:$B$505,B254,$E$6:$E$505,E254)&gt;1),"REVIEW","READY"))</f>
        <v/>
      </c>
      <c r="N254" s="27" t="str">
        <f>IF(M254="","",IF(M254="READY","",TRIM(IF(A254="","missing entity_type; ","")&amp;IF(B254="","missing entity_key; ","")&amp;IF(C254="","missing contact_order; ","")&amp;IF(D254="","missing contact_type; ","")&amp;IF(E254="","missing number; ","")&amp;IF(J254="","missing status; ","")&amp;IF(AND(A254="client",COUNTIF(الزبائن!$A$6:$A$505,B254)=0),"client key not found; ","")&amp;IF(AND(A254="proposed_name",COUNTIF('أسماء مقترحة'!$A$6:$A$505,B254)=0),"proposed_name key not found; ","")&amp;IF(AND(D254="mobile",J254&lt;&gt;"invalid",NOT(OR(AND(LEN(E254&amp;"")=10,LEFT(E254&amp;"",2)="09"),AND(LEN(E254&amp;"")=9,LEFT(E254&amp;"",1)="9")))),"mobile must be 09XXXXXXXX or status invalid; ","")&amp;IF(COUNTIFS($A$6:$A$505,A254,$B$6:$B$505,B254,$E$6:$E$505,E254)&gt;1,"duplicate number for same entity; ",""))))</f>
        <v/>
      </c>
    </row>
    <row r="255" spans="1:14">
      <c r="A255" s="23"/>
      <c r="B255" s="24"/>
      <c r="C255" s="25"/>
      <c r="D255" s="25"/>
      <c r="E255" s="24"/>
      <c r="F255" s="24"/>
      <c r="G255" s="25"/>
      <c r="H255" s="25"/>
      <c r="I255" s="25"/>
      <c r="J255" s="25"/>
      <c r="K255" s="25"/>
      <c r="L255" s="25"/>
      <c r="M255" s="25" t="str">
        <f>IF(AND(A255="",B255="",E255=""),"",IF(OR(A255="",B255="",C255="",D255="",E255="",J255="",AND(A255="client",COUNTIF(الزبائن!$A$6:$A$505,B255)=0),AND(A255="proposed_name",COUNTIF('أسماء مقترحة'!$A$6:$A$505,B255)=0),AND(D255="mobile",J255&lt;&gt;"invalid",NOT(OR(AND(LEN(E255&amp;"")=10,LEFT(E255&amp;"",2)="09"),AND(LEN(E255&amp;"")=9,LEFT(E255&amp;"",1)="9")))),COUNTIFS($A$6:$A$505,A255,$B$6:$B$505,B255,$E$6:$E$505,E255)&gt;1),"REVIEW","READY"))</f>
        <v/>
      </c>
      <c r="N255" s="27" t="str">
        <f>IF(M255="","",IF(M255="READY","",TRIM(IF(A255="","missing entity_type; ","")&amp;IF(B255="","missing entity_key; ","")&amp;IF(C255="","missing contact_order; ","")&amp;IF(D255="","missing contact_type; ","")&amp;IF(E255="","missing number; ","")&amp;IF(J255="","missing status; ","")&amp;IF(AND(A255="client",COUNTIF(الزبائن!$A$6:$A$505,B255)=0),"client key not found; ","")&amp;IF(AND(A255="proposed_name",COUNTIF('أسماء مقترحة'!$A$6:$A$505,B255)=0),"proposed_name key not found; ","")&amp;IF(AND(D255="mobile",J255&lt;&gt;"invalid",NOT(OR(AND(LEN(E255&amp;"")=10,LEFT(E255&amp;"",2)="09"),AND(LEN(E255&amp;"")=9,LEFT(E255&amp;"",1)="9")))),"mobile must be 09XXXXXXXX or status invalid; ","")&amp;IF(COUNTIFS($A$6:$A$505,A255,$B$6:$B$505,B255,$E$6:$E$505,E255)&gt;1,"duplicate number for same entity; ",""))))</f>
        <v/>
      </c>
    </row>
    <row r="256" spans="1:14">
      <c r="A256" s="23"/>
      <c r="B256" s="24"/>
      <c r="C256" s="25"/>
      <c r="D256" s="25"/>
      <c r="E256" s="24"/>
      <c r="F256" s="24"/>
      <c r="G256" s="25"/>
      <c r="H256" s="25"/>
      <c r="I256" s="25"/>
      <c r="J256" s="25"/>
      <c r="K256" s="25"/>
      <c r="L256" s="25"/>
      <c r="M256" s="25" t="str">
        <f>IF(AND(A256="",B256="",E256=""),"",IF(OR(A256="",B256="",C256="",D256="",E256="",J256="",AND(A256="client",COUNTIF(الزبائن!$A$6:$A$505,B256)=0),AND(A256="proposed_name",COUNTIF('أسماء مقترحة'!$A$6:$A$505,B256)=0),AND(D256="mobile",J256&lt;&gt;"invalid",NOT(OR(AND(LEN(E256&amp;"")=10,LEFT(E256&amp;"",2)="09"),AND(LEN(E256&amp;"")=9,LEFT(E256&amp;"",1)="9")))),COUNTIFS($A$6:$A$505,A256,$B$6:$B$505,B256,$E$6:$E$505,E256)&gt;1),"REVIEW","READY"))</f>
        <v/>
      </c>
      <c r="N256" s="27" t="str">
        <f>IF(M256="","",IF(M256="READY","",TRIM(IF(A256="","missing entity_type; ","")&amp;IF(B256="","missing entity_key; ","")&amp;IF(C256="","missing contact_order; ","")&amp;IF(D256="","missing contact_type; ","")&amp;IF(E256="","missing number; ","")&amp;IF(J256="","missing status; ","")&amp;IF(AND(A256="client",COUNTIF(الزبائن!$A$6:$A$505,B256)=0),"client key not found; ","")&amp;IF(AND(A256="proposed_name",COUNTIF('أسماء مقترحة'!$A$6:$A$505,B256)=0),"proposed_name key not found; ","")&amp;IF(AND(D256="mobile",J256&lt;&gt;"invalid",NOT(OR(AND(LEN(E256&amp;"")=10,LEFT(E256&amp;"",2)="09"),AND(LEN(E256&amp;"")=9,LEFT(E256&amp;"",1)="9")))),"mobile must be 09XXXXXXXX or status invalid; ","")&amp;IF(COUNTIFS($A$6:$A$505,A256,$B$6:$B$505,B256,$E$6:$E$505,E256)&gt;1,"duplicate number for same entity; ",""))))</f>
        <v/>
      </c>
    </row>
    <row r="257" spans="1:14">
      <c r="A257" s="23"/>
      <c r="B257" s="24"/>
      <c r="C257" s="25"/>
      <c r="D257" s="25"/>
      <c r="E257" s="24"/>
      <c r="F257" s="24"/>
      <c r="G257" s="25"/>
      <c r="H257" s="25"/>
      <c r="I257" s="25"/>
      <c r="J257" s="25"/>
      <c r="K257" s="25"/>
      <c r="L257" s="25"/>
      <c r="M257" s="25" t="str">
        <f>IF(AND(A257="",B257="",E257=""),"",IF(OR(A257="",B257="",C257="",D257="",E257="",J257="",AND(A257="client",COUNTIF(الزبائن!$A$6:$A$505,B257)=0),AND(A257="proposed_name",COUNTIF('أسماء مقترحة'!$A$6:$A$505,B257)=0),AND(D257="mobile",J257&lt;&gt;"invalid",NOT(OR(AND(LEN(E257&amp;"")=10,LEFT(E257&amp;"",2)="09"),AND(LEN(E257&amp;"")=9,LEFT(E257&amp;"",1)="9")))),COUNTIFS($A$6:$A$505,A257,$B$6:$B$505,B257,$E$6:$E$505,E257)&gt;1),"REVIEW","READY"))</f>
        <v/>
      </c>
      <c r="N257" s="27" t="str">
        <f>IF(M257="","",IF(M257="READY","",TRIM(IF(A257="","missing entity_type; ","")&amp;IF(B257="","missing entity_key; ","")&amp;IF(C257="","missing contact_order; ","")&amp;IF(D257="","missing contact_type; ","")&amp;IF(E257="","missing number; ","")&amp;IF(J257="","missing status; ","")&amp;IF(AND(A257="client",COUNTIF(الزبائن!$A$6:$A$505,B257)=0),"client key not found; ","")&amp;IF(AND(A257="proposed_name",COUNTIF('أسماء مقترحة'!$A$6:$A$505,B257)=0),"proposed_name key not found; ","")&amp;IF(AND(D257="mobile",J257&lt;&gt;"invalid",NOT(OR(AND(LEN(E257&amp;"")=10,LEFT(E257&amp;"",2)="09"),AND(LEN(E257&amp;"")=9,LEFT(E257&amp;"",1)="9")))),"mobile must be 09XXXXXXXX or status invalid; ","")&amp;IF(COUNTIFS($A$6:$A$505,A257,$B$6:$B$505,B257,$E$6:$E$505,E257)&gt;1,"duplicate number for same entity; ",""))))</f>
        <v/>
      </c>
    </row>
    <row r="258" spans="1:14">
      <c r="A258" s="23"/>
      <c r="B258" s="24"/>
      <c r="C258" s="25"/>
      <c r="D258" s="25"/>
      <c r="E258" s="24"/>
      <c r="F258" s="24"/>
      <c r="G258" s="25"/>
      <c r="H258" s="25"/>
      <c r="I258" s="25"/>
      <c r="J258" s="25"/>
      <c r="K258" s="25"/>
      <c r="L258" s="25"/>
      <c r="M258" s="25" t="str">
        <f>IF(AND(A258="",B258="",E258=""),"",IF(OR(A258="",B258="",C258="",D258="",E258="",J258="",AND(A258="client",COUNTIF(الزبائن!$A$6:$A$505,B258)=0),AND(A258="proposed_name",COUNTIF('أسماء مقترحة'!$A$6:$A$505,B258)=0),AND(D258="mobile",J258&lt;&gt;"invalid",NOT(OR(AND(LEN(E258&amp;"")=10,LEFT(E258&amp;"",2)="09"),AND(LEN(E258&amp;"")=9,LEFT(E258&amp;"",1)="9")))),COUNTIFS($A$6:$A$505,A258,$B$6:$B$505,B258,$E$6:$E$505,E258)&gt;1),"REVIEW","READY"))</f>
        <v/>
      </c>
      <c r="N258" s="27" t="str">
        <f>IF(M258="","",IF(M258="READY","",TRIM(IF(A258="","missing entity_type; ","")&amp;IF(B258="","missing entity_key; ","")&amp;IF(C258="","missing contact_order; ","")&amp;IF(D258="","missing contact_type; ","")&amp;IF(E258="","missing number; ","")&amp;IF(J258="","missing status; ","")&amp;IF(AND(A258="client",COUNTIF(الزبائن!$A$6:$A$505,B258)=0),"client key not found; ","")&amp;IF(AND(A258="proposed_name",COUNTIF('أسماء مقترحة'!$A$6:$A$505,B258)=0),"proposed_name key not found; ","")&amp;IF(AND(D258="mobile",J258&lt;&gt;"invalid",NOT(OR(AND(LEN(E258&amp;"")=10,LEFT(E258&amp;"",2)="09"),AND(LEN(E258&amp;"")=9,LEFT(E258&amp;"",1)="9")))),"mobile must be 09XXXXXXXX or status invalid; ","")&amp;IF(COUNTIFS($A$6:$A$505,A258,$B$6:$B$505,B258,$E$6:$E$505,E258)&gt;1,"duplicate number for same entity; ",""))))</f>
        <v/>
      </c>
    </row>
    <row r="259" spans="1:14">
      <c r="A259" s="23"/>
      <c r="B259" s="24"/>
      <c r="C259" s="25"/>
      <c r="D259" s="25"/>
      <c r="E259" s="24"/>
      <c r="F259" s="24"/>
      <c r="G259" s="25"/>
      <c r="H259" s="25"/>
      <c r="I259" s="25"/>
      <c r="J259" s="25"/>
      <c r="K259" s="25"/>
      <c r="L259" s="25"/>
      <c r="M259" s="25" t="str">
        <f>IF(AND(A259="",B259="",E259=""),"",IF(OR(A259="",B259="",C259="",D259="",E259="",J259="",AND(A259="client",COUNTIF(الزبائن!$A$6:$A$505,B259)=0),AND(A259="proposed_name",COUNTIF('أسماء مقترحة'!$A$6:$A$505,B259)=0),AND(D259="mobile",J259&lt;&gt;"invalid",NOT(OR(AND(LEN(E259&amp;"")=10,LEFT(E259&amp;"",2)="09"),AND(LEN(E259&amp;"")=9,LEFT(E259&amp;"",1)="9")))),COUNTIFS($A$6:$A$505,A259,$B$6:$B$505,B259,$E$6:$E$505,E259)&gt;1),"REVIEW","READY"))</f>
        <v/>
      </c>
      <c r="N259" s="27" t="str">
        <f>IF(M259="","",IF(M259="READY","",TRIM(IF(A259="","missing entity_type; ","")&amp;IF(B259="","missing entity_key; ","")&amp;IF(C259="","missing contact_order; ","")&amp;IF(D259="","missing contact_type; ","")&amp;IF(E259="","missing number; ","")&amp;IF(J259="","missing status; ","")&amp;IF(AND(A259="client",COUNTIF(الزبائن!$A$6:$A$505,B259)=0),"client key not found; ","")&amp;IF(AND(A259="proposed_name",COUNTIF('أسماء مقترحة'!$A$6:$A$505,B259)=0),"proposed_name key not found; ","")&amp;IF(AND(D259="mobile",J259&lt;&gt;"invalid",NOT(OR(AND(LEN(E259&amp;"")=10,LEFT(E259&amp;"",2)="09"),AND(LEN(E259&amp;"")=9,LEFT(E259&amp;"",1)="9")))),"mobile must be 09XXXXXXXX or status invalid; ","")&amp;IF(COUNTIFS($A$6:$A$505,A259,$B$6:$B$505,B259,$E$6:$E$505,E259)&gt;1,"duplicate number for same entity; ",""))))</f>
        <v/>
      </c>
    </row>
    <row r="260" spans="1:14">
      <c r="A260" s="23"/>
      <c r="B260" s="24"/>
      <c r="C260" s="25"/>
      <c r="D260" s="25"/>
      <c r="E260" s="24"/>
      <c r="F260" s="24"/>
      <c r="G260" s="25"/>
      <c r="H260" s="25"/>
      <c r="I260" s="25"/>
      <c r="J260" s="25"/>
      <c r="K260" s="25"/>
      <c r="L260" s="25"/>
      <c r="M260" s="25" t="str">
        <f>IF(AND(A260="",B260="",E260=""),"",IF(OR(A260="",B260="",C260="",D260="",E260="",J260="",AND(A260="client",COUNTIF(الزبائن!$A$6:$A$505,B260)=0),AND(A260="proposed_name",COUNTIF('أسماء مقترحة'!$A$6:$A$505,B260)=0),AND(D260="mobile",J260&lt;&gt;"invalid",NOT(OR(AND(LEN(E260&amp;"")=10,LEFT(E260&amp;"",2)="09"),AND(LEN(E260&amp;"")=9,LEFT(E260&amp;"",1)="9")))),COUNTIFS($A$6:$A$505,A260,$B$6:$B$505,B260,$E$6:$E$505,E260)&gt;1),"REVIEW","READY"))</f>
        <v/>
      </c>
      <c r="N260" s="27" t="str">
        <f>IF(M260="","",IF(M260="READY","",TRIM(IF(A260="","missing entity_type; ","")&amp;IF(B260="","missing entity_key; ","")&amp;IF(C260="","missing contact_order; ","")&amp;IF(D260="","missing contact_type; ","")&amp;IF(E260="","missing number; ","")&amp;IF(J260="","missing status; ","")&amp;IF(AND(A260="client",COUNTIF(الزبائن!$A$6:$A$505,B260)=0),"client key not found; ","")&amp;IF(AND(A260="proposed_name",COUNTIF('أسماء مقترحة'!$A$6:$A$505,B260)=0),"proposed_name key not found; ","")&amp;IF(AND(D260="mobile",J260&lt;&gt;"invalid",NOT(OR(AND(LEN(E260&amp;"")=10,LEFT(E260&amp;"",2)="09"),AND(LEN(E260&amp;"")=9,LEFT(E260&amp;"",1)="9")))),"mobile must be 09XXXXXXXX or status invalid; ","")&amp;IF(COUNTIFS($A$6:$A$505,A260,$B$6:$B$505,B260,$E$6:$E$505,E260)&gt;1,"duplicate number for same entity; ",""))))</f>
        <v/>
      </c>
    </row>
    <row r="261" spans="1:14">
      <c r="A261" s="23"/>
      <c r="B261" s="24"/>
      <c r="C261" s="25"/>
      <c r="D261" s="25"/>
      <c r="E261" s="24"/>
      <c r="F261" s="24"/>
      <c r="G261" s="25"/>
      <c r="H261" s="25"/>
      <c r="I261" s="25"/>
      <c r="J261" s="25"/>
      <c r="K261" s="25"/>
      <c r="L261" s="25"/>
      <c r="M261" s="25" t="str">
        <f>IF(AND(A261="",B261="",E261=""),"",IF(OR(A261="",B261="",C261="",D261="",E261="",J261="",AND(A261="client",COUNTIF(الزبائن!$A$6:$A$505,B261)=0),AND(A261="proposed_name",COUNTIF('أسماء مقترحة'!$A$6:$A$505,B261)=0),AND(D261="mobile",J261&lt;&gt;"invalid",NOT(OR(AND(LEN(E261&amp;"")=10,LEFT(E261&amp;"",2)="09"),AND(LEN(E261&amp;"")=9,LEFT(E261&amp;"",1)="9")))),COUNTIFS($A$6:$A$505,A261,$B$6:$B$505,B261,$E$6:$E$505,E261)&gt;1),"REVIEW","READY"))</f>
        <v/>
      </c>
      <c r="N261" s="27" t="str">
        <f>IF(M261="","",IF(M261="READY","",TRIM(IF(A261="","missing entity_type; ","")&amp;IF(B261="","missing entity_key; ","")&amp;IF(C261="","missing contact_order; ","")&amp;IF(D261="","missing contact_type; ","")&amp;IF(E261="","missing number; ","")&amp;IF(J261="","missing status; ","")&amp;IF(AND(A261="client",COUNTIF(الزبائن!$A$6:$A$505,B261)=0),"client key not found; ","")&amp;IF(AND(A261="proposed_name",COUNTIF('أسماء مقترحة'!$A$6:$A$505,B261)=0),"proposed_name key not found; ","")&amp;IF(AND(D261="mobile",J261&lt;&gt;"invalid",NOT(OR(AND(LEN(E261&amp;"")=10,LEFT(E261&amp;"",2)="09"),AND(LEN(E261&amp;"")=9,LEFT(E261&amp;"",1)="9")))),"mobile must be 09XXXXXXXX or status invalid; ","")&amp;IF(COUNTIFS($A$6:$A$505,A261,$B$6:$B$505,B261,$E$6:$E$505,E261)&gt;1,"duplicate number for same entity; ",""))))</f>
        <v/>
      </c>
    </row>
    <row r="262" spans="1:14">
      <c r="A262" s="23"/>
      <c r="B262" s="24"/>
      <c r="C262" s="25"/>
      <c r="D262" s="25"/>
      <c r="E262" s="24"/>
      <c r="F262" s="24"/>
      <c r="G262" s="25"/>
      <c r="H262" s="25"/>
      <c r="I262" s="25"/>
      <c r="J262" s="25"/>
      <c r="K262" s="25"/>
      <c r="L262" s="25"/>
      <c r="M262" s="25" t="str">
        <f>IF(AND(A262="",B262="",E262=""),"",IF(OR(A262="",B262="",C262="",D262="",E262="",J262="",AND(A262="client",COUNTIF(الزبائن!$A$6:$A$505,B262)=0),AND(A262="proposed_name",COUNTIF('أسماء مقترحة'!$A$6:$A$505,B262)=0),AND(D262="mobile",J262&lt;&gt;"invalid",NOT(OR(AND(LEN(E262&amp;"")=10,LEFT(E262&amp;"",2)="09"),AND(LEN(E262&amp;"")=9,LEFT(E262&amp;"",1)="9")))),COUNTIFS($A$6:$A$505,A262,$B$6:$B$505,B262,$E$6:$E$505,E262)&gt;1),"REVIEW","READY"))</f>
        <v/>
      </c>
      <c r="N262" s="27" t="str">
        <f>IF(M262="","",IF(M262="READY","",TRIM(IF(A262="","missing entity_type; ","")&amp;IF(B262="","missing entity_key; ","")&amp;IF(C262="","missing contact_order; ","")&amp;IF(D262="","missing contact_type; ","")&amp;IF(E262="","missing number; ","")&amp;IF(J262="","missing status; ","")&amp;IF(AND(A262="client",COUNTIF(الزبائن!$A$6:$A$505,B262)=0),"client key not found; ","")&amp;IF(AND(A262="proposed_name",COUNTIF('أسماء مقترحة'!$A$6:$A$505,B262)=0),"proposed_name key not found; ","")&amp;IF(AND(D262="mobile",J262&lt;&gt;"invalid",NOT(OR(AND(LEN(E262&amp;"")=10,LEFT(E262&amp;"",2)="09"),AND(LEN(E262&amp;"")=9,LEFT(E262&amp;"",1)="9")))),"mobile must be 09XXXXXXXX or status invalid; ","")&amp;IF(COUNTIFS($A$6:$A$505,A262,$B$6:$B$505,B262,$E$6:$E$505,E262)&gt;1,"duplicate number for same entity; ",""))))</f>
        <v/>
      </c>
    </row>
    <row r="263" spans="1:14">
      <c r="A263" s="23"/>
      <c r="B263" s="24"/>
      <c r="C263" s="25"/>
      <c r="D263" s="25"/>
      <c r="E263" s="24"/>
      <c r="F263" s="24"/>
      <c r="G263" s="25"/>
      <c r="H263" s="25"/>
      <c r="I263" s="25"/>
      <c r="J263" s="25"/>
      <c r="K263" s="25"/>
      <c r="L263" s="25"/>
      <c r="M263" s="25" t="str">
        <f>IF(AND(A263="",B263="",E263=""),"",IF(OR(A263="",B263="",C263="",D263="",E263="",J263="",AND(A263="client",COUNTIF(الزبائن!$A$6:$A$505,B263)=0),AND(A263="proposed_name",COUNTIF('أسماء مقترحة'!$A$6:$A$505,B263)=0),AND(D263="mobile",J263&lt;&gt;"invalid",NOT(OR(AND(LEN(E263&amp;"")=10,LEFT(E263&amp;"",2)="09"),AND(LEN(E263&amp;"")=9,LEFT(E263&amp;"",1)="9")))),COUNTIFS($A$6:$A$505,A263,$B$6:$B$505,B263,$E$6:$E$505,E263)&gt;1),"REVIEW","READY"))</f>
        <v/>
      </c>
      <c r="N263" s="27" t="str">
        <f>IF(M263="","",IF(M263="READY","",TRIM(IF(A263="","missing entity_type; ","")&amp;IF(B263="","missing entity_key; ","")&amp;IF(C263="","missing contact_order; ","")&amp;IF(D263="","missing contact_type; ","")&amp;IF(E263="","missing number; ","")&amp;IF(J263="","missing status; ","")&amp;IF(AND(A263="client",COUNTIF(الزبائن!$A$6:$A$505,B263)=0),"client key not found; ","")&amp;IF(AND(A263="proposed_name",COUNTIF('أسماء مقترحة'!$A$6:$A$505,B263)=0),"proposed_name key not found; ","")&amp;IF(AND(D263="mobile",J263&lt;&gt;"invalid",NOT(OR(AND(LEN(E263&amp;"")=10,LEFT(E263&amp;"",2)="09"),AND(LEN(E263&amp;"")=9,LEFT(E263&amp;"",1)="9")))),"mobile must be 09XXXXXXXX or status invalid; ","")&amp;IF(COUNTIFS($A$6:$A$505,A263,$B$6:$B$505,B263,$E$6:$E$505,E263)&gt;1,"duplicate number for same entity; ",""))))</f>
        <v/>
      </c>
    </row>
    <row r="264" spans="1:14">
      <c r="A264" s="23"/>
      <c r="B264" s="24"/>
      <c r="C264" s="25"/>
      <c r="D264" s="25"/>
      <c r="E264" s="24"/>
      <c r="F264" s="24"/>
      <c r="G264" s="25"/>
      <c r="H264" s="25"/>
      <c r="I264" s="25"/>
      <c r="J264" s="25"/>
      <c r="K264" s="25"/>
      <c r="L264" s="25"/>
      <c r="M264" s="25" t="str">
        <f>IF(AND(A264="",B264="",E264=""),"",IF(OR(A264="",B264="",C264="",D264="",E264="",J264="",AND(A264="client",COUNTIF(الزبائن!$A$6:$A$505,B264)=0),AND(A264="proposed_name",COUNTIF('أسماء مقترحة'!$A$6:$A$505,B264)=0),AND(D264="mobile",J264&lt;&gt;"invalid",NOT(OR(AND(LEN(E264&amp;"")=10,LEFT(E264&amp;"",2)="09"),AND(LEN(E264&amp;"")=9,LEFT(E264&amp;"",1)="9")))),COUNTIFS($A$6:$A$505,A264,$B$6:$B$505,B264,$E$6:$E$505,E264)&gt;1),"REVIEW","READY"))</f>
        <v/>
      </c>
      <c r="N264" s="27" t="str">
        <f>IF(M264="","",IF(M264="READY","",TRIM(IF(A264="","missing entity_type; ","")&amp;IF(B264="","missing entity_key; ","")&amp;IF(C264="","missing contact_order; ","")&amp;IF(D264="","missing contact_type; ","")&amp;IF(E264="","missing number; ","")&amp;IF(J264="","missing status; ","")&amp;IF(AND(A264="client",COUNTIF(الزبائن!$A$6:$A$505,B264)=0),"client key not found; ","")&amp;IF(AND(A264="proposed_name",COUNTIF('أسماء مقترحة'!$A$6:$A$505,B264)=0),"proposed_name key not found; ","")&amp;IF(AND(D264="mobile",J264&lt;&gt;"invalid",NOT(OR(AND(LEN(E264&amp;"")=10,LEFT(E264&amp;"",2)="09"),AND(LEN(E264&amp;"")=9,LEFT(E264&amp;"",1)="9")))),"mobile must be 09XXXXXXXX or status invalid; ","")&amp;IF(COUNTIFS($A$6:$A$505,A264,$B$6:$B$505,B264,$E$6:$E$505,E264)&gt;1,"duplicate number for same entity; ",""))))</f>
        <v/>
      </c>
    </row>
    <row r="265" spans="1:14">
      <c r="A265" s="23"/>
      <c r="B265" s="24"/>
      <c r="C265" s="25"/>
      <c r="D265" s="25"/>
      <c r="E265" s="24"/>
      <c r="F265" s="24"/>
      <c r="G265" s="25"/>
      <c r="H265" s="25"/>
      <c r="I265" s="25"/>
      <c r="J265" s="25"/>
      <c r="K265" s="25"/>
      <c r="L265" s="25"/>
      <c r="M265" s="25" t="str">
        <f>IF(AND(A265="",B265="",E265=""),"",IF(OR(A265="",B265="",C265="",D265="",E265="",J265="",AND(A265="client",COUNTIF(الزبائن!$A$6:$A$505,B265)=0),AND(A265="proposed_name",COUNTIF('أسماء مقترحة'!$A$6:$A$505,B265)=0),AND(D265="mobile",J265&lt;&gt;"invalid",NOT(OR(AND(LEN(E265&amp;"")=10,LEFT(E265&amp;"",2)="09"),AND(LEN(E265&amp;"")=9,LEFT(E265&amp;"",1)="9")))),COUNTIFS($A$6:$A$505,A265,$B$6:$B$505,B265,$E$6:$E$505,E265)&gt;1),"REVIEW","READY"))</f>
        <v/>
      </c>
      <c r="N265" s="27" t="str">
        <f>IF(M265="","",IF(M265="READY","",TRIM(IF(A265="","missing entity_type; ","")&amp;IF(B265="","missing entity_key; ","")&amp;IF(C265="","missing contact_order; ","")&amp;IF(D265="","missing contact_type; ","")&amp;IF(E265="","missing number; ","")&amp;IF(J265="","missing status; ","")&amp;IF(AND(A265="client",COUNTIF(الزبائن!$A$6:$A$505,B265)=0),"client key not found; ","")&amp;IF(AND(A265="proposed_name",COUNTIF('أسماء مقترحة'!$A$6:$A$505,B265)=0),"proposed_name key not found; ","")&amp;IF(AND(D265="mobile",J265&lt;&gt;"invalid",NOT(OR(AND(LEN(E265&amp;"")=10,LEFT(E265&amp;"",2)="09"),AND(LEN(E265&amp;"")=9,LEFT(E265&amp;"",1)="9")))),"mobile must be 09XXXXXXXX or status invalid; ","")&amp;IF(COUNTIFS($A$6:$A$505,A265,$B$6:$B$505,B265,$E$6:$E$505,E265)&gt;1,"duplicate number for same entity; ",""))))</f>
        <v/>
      </c>
    </row>
    <row r="266" spans="1:14">
      <c r="A266" s="23"/>
      <c r="B266" s="24"/>
      <c r="C266" s="25"/>
      <c r="D266" s="25"/>
      <c r="E266" s="24"/>
      <c r="F266" s="24"/>
      <c r="G266" s="25"/>
      <c r="H266" s="25"/>
      <c r="I266" s="25"/>
      <c r="J266" s="25"/>
      <c r="K266" s="25"/>
      <c r="L266" s="25"/>
      <c r="M266" s="25" t="str">
        <f>IF(AND(A266="",B266="",E266=""),"",IF(OR(A266="",B266="",C266="",D266="",E266="",J266="",AND(A266="client",COUNTIF(الزبائن!$A$6:$A$505,B266)=0),AND(A266="proposed_name",COUNTIF('أسماء مقترحة'!$A$6:$A$505,B266)=0),AND(D266="mobile",J266&lt;&gt;"invalid",NOT(OR(AND(LEN(E266&amp;"")=10,LEFT(E266&amp;"",2)="09"),AND(LEN(E266&amp;"")=9,LEFT(E266&amp;"",1)="9")))),COUNTIFS($A$6:$A$505,A266,$B$6:$B$505,B266,$E$6:$E$505,E266)&gt;1),"REVIEW","READY"))</f>
        <v/>
      </c>
      <c r="N266" s="27" t="str">
        <f>IF(M266="","",IF(M266="READY","",TRIM(IF(A266="","missing entity_type; ","")&amp;IF(B266="","missing entity_key; ","")&amp;IF(C266="","missing contact_order; ","")&amp;IF(D266="","missing contact_type; ","")&amp;IF(E266="","missing number; ","")&amp;IF(J266="","missing status; ","")&amp;IF(AND(A266="client",COUNTIF(الزبائن!$A$6:$A$505,B266)=0),"client key not found; ","")&amp;IF(AND(A266="proposed_name",COUNTIF('أسماء مقترحة'!$A$6:$A$505,B266)=0),"proposed_name key not found; ","")&amp;IF(AND(D266="mobile",J266&lt;&gt;"invalid",NOT(OR(AND(LEN(E266&amp;"")=10,LEFT(E266&amp;"",2)="09"),AND(LEN(E266&amp;"")=9,LEFT(E266&amp;"",1)="9")))),"mobile must be 09XXXXXXXX or status invalid; ","")&amp;IF(COUNTIFS($A$6:$A$505,A266,$B$6:$B$505,B266,$E$6:$E$505,E266)&gt;1,"duplicate number for same entity; ",""))))</f>
        <v/>
      </c>
    </row>
    <row r="267" spans="1:14">
      <c r="A267" s="23"/>
      <c r="B267" s="24"/>
      <c r="C267" s="25"/>
      <c r="D267" s="25"/>
      <c r="E267" s="24"/>
      <c r="F267" s="24"/>
      <c r="G267" s="25"/>
      <c r="H267" s="25"/>
      <c r="I267" s="25"/>
      <c r="J267" s="25"/>
      <c r="K267" s="25"/>
      <c r="L267" s="25"/>
      <c r="M267" s="25" t="str">
        <f>IF(AND(A267="",B267="",E267=""),"",IF(OR(A267="",B267="",C267="",D267="",E267="",J267="",AND(A267="client",COUNTIF(الزبائن!$A$6:$A$505,B267)=0),AND(A267="proposed_name",COUNTIF('أسماء مقترحة'!$A$6:$A$505,B267)=0),AND(D267="mobile",J267&lt;&gt;"invalid",NOT(OR(AND(LEN(E267&amp;"")=10,LEFT(E267&amp;"",2)="09"),AND(LEN(E267&amp;"")=9,LEFT(E267&amp;"",1)="9")))),COUNTIFS($A$6:$A$505,A267,$B$6:$B$505,B267,$E$6:$E$505,E267)&gt;1),"REVIEW","READY"))</f>
        <v/>
      </c>
      <c r="N267" s="27" t="str">
        <f>IF(M267="","",IF(M267="READY","",TRIM(IF(A267="","missing entity_type; ","")&amp;IF(B267="","missing entity_key; ","")&amp;IF(C267="","missing contact_order; ","")&amp;IF(D267="","missing contact_type; ","")&amp;IF(E267="","missing number; ","")&amp;IF(J267="","missing status; ","")&amp;IF(AND(A267="client",COUNTIF(الزبائن!$A$6:$A$505,B267)=0),"client key not found; ","")&amp;IF(AND(A267="proposed_name",COUNTIF('أسماء مقترحة'!$A$6:$A$505,B267)=0),"proposed_name key not found; ","")&amp;IF(AND(D267="mobile",J267&lt;&gt;"invalid",NOT(OR(AND(LEN(E267&amp;"")=10,LEFT(E267&amp;"",2)="09"),AND(LEN(E267&amp;"")=9,LEFT(E267&amp;"",1)="9")))),"mobile must be 09XXXXXXXX or status invalid; ","")&amp;IF(COUNTIFS($A$6:$A$505,A267,$B$6:$B$505,B267,$E$6:$E$505,E267)&gt;1,"duplicate number for same entity; ",""))))</f>
        <v/>
      </c>
    </row>
    <row r="268" spans="1:14">
      <c r="A268" s="23"/>
      <c r="B268" s="24"/>
      <c r="C268" s="25"/>
      <c r="D268" s="25"/>
      <c r="E268" s="24"/>
      <c r="F268" s="24"/>
      <c r="G268" s="25"/>
      <c r="H268" s="25"/>
      <c r="I268" s="25"/>
      <c r="J268" s="25"/>
      <c r="K268" s="25"/>
      <c r="L268" s="25"/>
      <c r="M268" s="25" t="str">
        <f>IF(AND(A268="",B268="",E268=""),"",IF(OR(A268="",B268="",C268="",D268="",E268="",J268="",AND(A268="client",COUNTIF(الزبائن!$A$6:$A$505,B268)=0),AND(A268="proposed_name",COUNTIF('أسماء مقترحة'!$A$6:$A$505,B268)=0),AND(D268="mobile",J268&lt;&gt;"invalid",NOT(OR(AND(LEN(E268&amp;"")=10,LEFT(E268&amp;"",2)="09"),AND(LEN(E268&amp;"")=9,LEFT(E268&amp;"",1)="9")))),COUNTIFS($A$6:$A$505,A268,$B$6:$B$505,B268,$E$6:$E$505,E268)&gt;1),"REVIEW","READY"))</f>
        <v/>
      </c>
      <c r="N268" s="27" t="str">
        <f>IF(M268="","",IF(M268="READY","",TRIM(IF(A268="","missing entity_type; ","")&amp;IF(B268="","missing entity_key; ","")&amp;IF(C268="","missing contact_order; ","")&amp;IF(D268="","missing contact_type; ","")&amp;IF(E268="","missing number; ","")&amp;IF(J268="","missing status; ","")&amp;IF(AND(A268="client",COUNTIF(الزبائن!$A$6:$A$505,B268)=0),"client key not found; ","")&amp;IF(AND(A268="proposed_name",COUNTIF('أسماء مقترحة'!$A$6:$A$505,B268)=0),"proposed_name key not found; ","")&amp;IF(AND(D268="mobile",J268&lt;&gt;"invalid",NOT(OR(AND(LEN(E268&amp;"")=10,LEFT(E268&amp;"",2)="09"),AND(LEN(E268&amp;"")=9,LEFT(E268&amp;"",1)="9")))),"mobile must be 09XXXXXXXX or status invalid; ","")&amp;IF(COUNTIFS($A$6:$A$505,A268,$B$6:$B$505,B268,$E$6:$E$505,E268)&gt;1,"duplicate number for same entity; ",""))))</f>
        <v/>
      </c>
    </row>
    <row r="269" spans="1:14">
      <c r="A269" s="23"/>
      <c r="B269" s="24"/>
      <c r="C269" s="25"/>
      <c r="D269" s="25"/>
      <c r="E269" s="24"/>
      <c r="F269" s="24"/>
      <c r="G269" s="25"/>
      <c r="H269" s="25"/>
      <c r="I269" s="25"/>
      <c r="J269" s="25"/>
      <c r="K269" s="25"/>
      <c r="L269" s="25"/>
      <c r="M269" s="25" t="str">
        <f>IF(AND(A269="",B269="",E269=""),"",IF(OR(A269="",B269="",C269="",D269="",E269="",J269="",AND(A269="client",COUNTIF(الزبائن!$A$6:$A$505,B269)=0),AND(A269="proposed_name",COUNTIF('أسماء مقترحة'!$A$6:$A$505,B269)=0),AND(D269="mobile",J269&lt;&gt;"invalid",NOT(OR(AND(LEN(E269&amp;"")=10,LEFT(E269&amp;"",2)="09"),AND(LEN(E269&amp;"")=9,LEFT(E269&amp;"",1)="9")))),COUNTIFS($A$6:$A$505,A269,$B$6:$B$505,B269,$E$6:$E$505,E269)&gt;1),"REVIEW","READY"))</f>
        <v/>
      </c>
      <c r="N269" s="27" t="str">
        <f>IF(M269="","",IF(M269="READY","",TRIM(IF(A269="","missing entity_type; ","")&amp;IF(B269="","missing entity_key; ","")&amp;IF(C269="","missing contact_order; ","")&amp;IF(D269="","missing contact_type; ","")&amp;IF(E269="","missing number; ","")&amp;IF(J269="","missing status; ","")&amp;IF(AND(A269="client",COUNTIF(الزبائن!$A$6:$A$505,B269)=0),"client key not found; ","")&amp;IF(AND(A269="proposed_name",COUNTIF('أسماء مقترحة'!$A$6:$A$505,B269)=0),"proposed_name key not found; ","")&amp;IF(AND(D269="mobile",J269&lt;&gt;"invalid",NOT(OR(AND(LEN(E269&amp;"")=10,LEFT(E269&amp;"",2)="09"),AND(LEN(E269&amp;"")=9,LEFT(E269&amp;"",1)="9")))),"mobile must be 09XXXXXXXX or status invalid; ","")&amp;IF(COUNTIFS($A$6:$A$505,A269,$B$6:$B$505,B269,$E$6:$E$505,E269)&gt;1,"duplicate number for same entity; ",""))))</f>
        <v/>
      </c>
    </row>
    <row r="270" spans="1:14">
      <c r="A270" s="23"/>
      <c r="B270" s="24"/>
      <c r="C270" s="25"/>
      <c r="D270" s="25"/>
      <c r="E270" s="24"/>
      <c r="F270" s="24"/>
      <c r="G270" s="25"/>
      <c r="H270" s="25"/>
      <c r="I270" s="25"/>
      <c r="J270" s="25"/>
      <c r="K270" s="25"/>
      <c r="L270" s="25"/>
      <c r="M270" s="25" t="str">
        <f>IF(AND(A270="",B270="",E270=""),"",IF(OR(A270="",B270="",C270="",D270="",E270="",J270="",AND(A270="client",COUNTIF(الزبائن!$A$6:$A$505,B270)=0),AND(A270="proposed_name",COUNTIF('أسماء مقترحة'!$A$6:$A$505,B270)=0),AND(D270="mobile",J270&lt;&gt;"invalid",NOT(OR(AND(LEN(E270&amp;"")=10,LEFT(E270&amp;"",2)="09"),AND(LEN(E270&amp;"")=9,LEFT(E270&amp;"",1)="9")))),COUNTIFS($A$6:$A$505,A270,$B$6:$B$505,B270,$E$6:$E$505,E270)&gt;1),"REVIEW","READY"))</f>
        <v/>
      </c>
      <c r="N270" s="27" t="str">
        <f>IF(M270="","",IF(M270="READY","",TRIM(IF(A270="","missing entity_type; ","")&amp;IF(B270="","missing entity_key; ","")&amp;IF(C270="","missing contact_order; ","")&amp;IF(D270="","missing contact_type; ","")&amp;IF(E270="","missing number; ","")&amp;IF(J270="","missing status; ","")&amp;IF(AND(A270="client",COUNTIF(الزبائن!$A$6:$A$505,B270)=0),"client key not found; ","")&amp;IF(AND(A270="proposed_name",COUNTIF('أسماء مقترحة'!$A$6:$A$505,B270)=0),"proposed_name key not found; ","")&amp;IF(AND(D270="mobile",J270&lt;&gt;"invalid",NOT(OR(AND(LEN(E270&amp;"")=10,LEFT(E270&amp;"",2)="09"),AND(LEN(E270&amp;"")=9,LEFT(E270&amp;"",1)="9")))),"mobile must be 09XXXXXXXX or status invalid; ","")&amp;IF(COUNTIFS($A$6:$A$505,A270,$B$6:$B$505,B270,$E$6:$E$505,E270)&gt;1,"duplicate number for same entity; ",""))))</f>
        <v/>
      </c>
    </row>
    <row r="271" spans="1:14">
      <c r="A271" s="23"/>
      <c r="B271" s="24"/>
      <c r="C271" s="25"/>
      <c r="D271" s="25"/>
      <c r="E271" s="24"/>
      <c r="F271" s="24"/>
      <c r="G271" s="25"/>
      <c r="H271" s="25"/>
      <c r="I271" s="25"/>
      <c r="J271" s="25"/>
      <c r="K271" s="25"/>
      <c r="L271" s="25"/>
      <c r="M271" s="25" t="str">
        <f>IF(AND(A271="",B271="",E271=""),"",IF(OR(A271="",B271="",C271="",D271="",E271="",J271="",AND(A271="client",COUNTIF(الزبائن!$A$6:$A$505,B271)=0),AND(A271="proposed_name",COUNTIF('أسماء مقترحة'!$A$6:$A$505,B271)=0),AND(D271="mobile",J271&lt;&gt;"invalid",NOT(OR(AND(LEN(E271&amp;"")=10,LEFT(E271&amp;"",2)="09"),AND(LEN(E271&amp;"")=9,LEFT(E271&amp;"",1)="9")))),COUNTIFS($A$6:$A$505,A271,$B$6:$B$505,B271,$E$6:$E$505,E271)&gt;1),"REVIEW","READY"))</f>
        <v/>
      </c>
      <c r="N271" s="27" t="str">
        <f>IF(M271="","",IF(M271="READY","",TRIM(IF(A271="","missing entity_type; ","")&amp;IF(B271="","missing entity_key; ","")&amp;IF(C271="","missing contact_order; ","")&amp;IF(D271="","missing contact_type; ","")&amp;IF(E271="","missing number; ","")&amp;IF(J271="","missing status; ","")&amp;IF(AND(A271="client",COUNTIF(الزبائن!$A$6:$A$505,B271)=0),"client key not found; ","")&amp;IF(AND(A271="proposed_name",COUNTIF('أسماء مقترحة'!$A$6:$A$505,B271)=0),"proposed_name key not found; ","")&amp;IF(AND(D271="mobile",J271&lt;&gt;"invalid",NOT(OR(AND(LEN(E271&amp;"")=10,LEFT(E271&amp;"",2)="09"),AND(LEN(E271&amp;"")=9,LEFT(E271&amp;"",1)="9")))),"mobile must be 09XXXXXXXX or status invalid; ","")&amp;IF(COUNTIFS($A$6:$A$505,A271,$B$6:$B$505,B271,$E$6:$E$505,E271)&gt;1,"duplicate number for same entity; ",""))))</f>
        <v/>
      </c>
    </row>
    <row r="272" spans="1:14">
      <c r="A272" s="23"/>
      <c r="B272" s="24"/>
      <c r="C272" s="25"/>
      <c r="D272" s="25"/>
      <c r="E272" s="24"/>
      <c r="F272" s="24"/>
      <c r="G272" s="25"/>
      <c r="H272" s="25"/>
      <c r="I272" s="25"/>
      <c r="J272" s="25"/>
      <c r="K272" s="25"/>
      <c r="L272" s="25"/>
      <c r="M272" s="25" t="str">
        <f>IF(AND(A272="",B272="",E272=""),"",IF(OR(A272="",B272="",C272="",D272="",E272="",J272="",AND(A272="client",COUNTIF(الزبائن!$A$6:$A$505,B272)=0),AND(A272="proposed_name",COUNTIF('أسماء مقترحة'!$A$6:$A$505,B272)=0),AND(D272="mobile",J272&lt;&gt;"invalid",NOT(OR(AND(LEN(E272&amp;"")=10,LEFT(E272&amp;"",2)="09"),AND(LEN(E272&amp;"")=9,LEFT(E272&amp;"",1)="9")))),COUNTIFS($A$6:$A$505,A272,$B$6:$B$505,B272,$E$6:$E$505,E272)&gt;1),"REVIEW","READY"))</f>
        <v/>
      </c>
      <c r="N272" s="27" t="str">
        <f>IF(M272="","",IF(M272="READY","",TRIM(IF(A272="","missing entity_type; ","")&amp;IF(B272="","missing entity_key; ","")&amp;IF(C272="","missing contact_order; ","")&amp;IF(D272="","missing contact_type; ","")&amp;IF(E272="","missing number; ","")&amp;IF(J272="","missing status; ","")&amp;IF(AND(A272="client",COUNTIF(الزبائن!$A$6:$A$505,B272)=0),"client key not found; ","")&amp;IF(AND(A272="proposed_name",COUNTIF('أسماء مقترحة'!$A$6:$A$505,B272)=0),"proposed_name key not found; ","")&amp;IF(AND(D272="mobile",J272&lt;&gt;"invalid",NOT(OR(AND(LEN(E272&amp;"")=10,LEFT(E272&amp;"",2)="09"),AND(LEN(E272&amp;"")=9,LEFT(E272&amp;"",1)="9")))),"mobile must be 09XXXXXXXX or status invalid; ","")&amp;IF(COUNTIFS($A$6:$A$505,A272,$B$6:$B$505,B272,$E$6:$E$505,E272)&gt;1,"duplicate number for same entity; ",""))))</f>
        <v/>
      </c>
    </row>
    <row r="273" spans="1:14">
      <c r="A273" s="23"/>
      <c r="B273" s="24"/>
      <c r="C273" s="25"/>
      <c r="D273" s="25"/>
      <c r="E273" s="24"/>
      <c r="F273" s="24"/>
      <c r="G273" s="25"/>
      <c r="H273" s="25"/>
      <c r="I273" s="25"/>
      <c r="J273" s="25"/>
      <c r="K273" s="25"/>
      <c r="L273" s="25"/>
      <c r="M273" s="25" t="str">
        <f>IF(AND(A273="",B273="",E273=""),"",IF(OR(A273="",B273="",C273="",D273="",E273="",J273="",AND(A273="client",COUNTIF(الزبائن!$A$6:$A$505,B273)=0),AND(A273="proposed_name",COUNTIF('أسماء مقترحة'!$A$6:$A$505,B273)=0),AND(D273="mobile",J273&lt;&gt;"invalid",NOT(OR(AND(LEN(E273&amp;"")=10,LEFT(E273&amp;"",2)="09"),AND(LEN(E273&amp;"")=9,LEFT(E273&amp;"",1)="9")))),COUNTIFS($A$6:$A$505,A273,$B$6:$B$505,B273,$E$6:$E$505,E273)&gt;1),"REVIEW","READY"))</f>
        <v/>
      </c>
      <c r="N273" s="27" t="str">
        <f>IF(M273="","",IF(M273="READY","",TRIM(IF(A273="","missing entity_type; ","")&amp;IF(B273="","missing entity_key; ","")&amp;IF(C273="","missing contact_order; ","")&amp;IF(D273="","missing contact_type; ","")&amp;IF(E273="","missing number; ","")&amp;IF(J273="","missing status; ","")&amp;IF(AND(A273="client",COUNTIF(الزبائن!$A$6:$A$505,B273)=0),"client key not found; ","")&amp;IF(AND(A273="proposed_name",COUNTIF('أسماء مقترحة'!$A$6:$A$505,B273)=0),"proposed_name key not found; ","")&amp;IF(AND(D273="mobile",J273&lt;&gt;"invalid",NOT(OR(AND(LEN(E273&amp;"")=10,LEFT(E273&amp;"",2)="09"),AND(LEN(E273&amp;"")=9,LEFT(E273&amp;"",1)="9")))),"mobile must be 09XXXXXXXX or status invalid; ","")&amp;IF(COUNTIFS($A$6:$A$505,A273,$B$6:$B$505,B273,$E$6:$E$505,E273)&gt;1,"duplicate number for same entity; ",""))))</f>
        <v/>
      </c>
    </row>
    <row r="274" spans="1:14">
      <c r="A274" s="23"/>
      <c r="B274" s="24"/>
      <c r="C274" s="25"/>
      <c r="D274" s="25"/>
      <c r="E274" s="24"/>
      <c r="F274" s="24"/>
      <c r="G274" s="25"/>
      <c r="H274" s="25"/>
      <c r="I274" s="25"/>
      <c r="J274" s="25"/>
      <c r="K274" s="25"/>
      <c r="L274" s="25"/>
      <c r="M274" s="25" t="str">
        <f>IF(AND(A274="",B274="",E274=""),"",IF(OR(A274="",B274="",C274="",D274="",E274="",J274="",AND(A274="client",COUNTIF(الزبائن!$A$6:$A$505,B274)=0),AND(A274="proposed_name",COUNTIF('أسماء مقترحة'!$A$6:$A$505,B274)=0),AND(D274="mobile",J274&lt;&gt;"invalid",NOT(OR(AND(LEN(E274&amp;"")=10,LEFT(E274&amp;"",2)="09"),AND(LEN(E274&amp;"")=9,LEFT(E274&amp;"",1)="9")))),COUNTIFS($A$6:$A$505,A274,$B$6:$B$505,B274,$E$6:$E$505,E274)&gt;1),"REVIEW","READY"))</f>
        <v/>
      </c>
      <c r="N274" s="27" t="str">
        <f>IF(M274="","",IF(M274="READY","",TRIM(IF(A274="","missing entity_type; ","")&amp;IF(B274="","missing entity_key; ","")&amp;IF(C274="","missing contact_order; ","")&amp;IF(D274="","missing contact_type; ","")&amp;IF(E274="","missing number; ","")&amp;IF(J274="","missing status; ","")&amp;IF(AND(A274="client",COUNTIF(الزبائن!$A$6:$A$505,B274)=0),"client key not found; ","")&amp;IF(AND(A274="proposed_name",COUNTIF('أسماء مقترحة'!$A$6:$A$505,B274)=0),"proposed_name key not found; ","")&amp;IF(AND(D274="mobile",J274&lt;&gt;"invalid",NOT(OR(AND(LEN(E274&amp;"")=10,LEFT(E274&amp;"",2)="09"),AND(LEN(E274&amp;"")=9,LEFT(E274&amp;"",1)="9")))),"mobile must be 09XXXXXXXX or status invalid; ","")&amp;IF(COUNTIFS($A$6:$A$505,A274,$B$6:$B$505,B274,$E$6:$E$505,E274)&gt;1,"duplicate number for same entity; ",""))))</f>
        <v/>
      </c>
    </row>
    <row r="275" spans="1:14">
      <c r="A275" s="23"/>
      <c r="B275" s="24"/>
      <c r="C275" s="25"/>
      <c r="D275" s="25"/>
      <c r="E275" s="24"/>
      <c r="F275" s="24"/>
      <c r="G275" s="25"/>
      <c r="H275" s="25"/>
      <c r="I275" s="25"/>
      <c r="J275" s="25"/>
      <c r="K275" s="25"/>
      <c r="L275" s="25"/>
      <c r="M275" s="25" t="str">
        <f>IF(AND(A275="",B275="",E275=""),"",IF(OR(A275="",B275="",C275="",D275="",E275="",J275="",AND(A275="client",COUNTIF(الزبائن!$A$6:$A$505,B275)=0),AND(A275="proposed_name",COUNTIF('أسماء مقترحة'!$A$6:$A$505,B275)=0),AND(D275="mobile",J275&lt;&gt;"invalid",NOT(OR(AND(LEN(E275&amp;"")=10,LEFT(E275&amp;"",2)="09"),AND(LEN(E275&amp;"")=9,LEFT(E275&amp;"",1)="9")))),COUNTIFS($A$6:$A$505,A275,$B$6:$B$505,B275,$E$6:$E$505,E275)&gt;1),"REVIEW","READY"))</f>
        <v/>
      </c>
      <c r="N275" s="27" t="str">
        <f>IF(M275="","",IF(M275="READY","",TRIM(IF(A275="","missing entity_type; ","")&amp;IF(B275="","missing entity_key; ","")&amp;IF(C275="","missing contact_order; ","")&amp;IF(D275="","missing contact_type; ","")&amp;IF(E275="","missing number; ","")&amp;IF(J275="","missing status; ","")&amp;IF(AND(A275="client",COUNTIF(الزبائن!$A$6:$A$505,B275)=0),"client key not found; ","")&amp;IF(AND(A275="proposed_name",COUNTIF('أسماء مقترحة'!$A$6:$A$505,B275)=0),"proposed_name key not found; ","")&amp;IF(AND(D275="mobile",J275&lt;&gt;"invalid",NOT(OR(AND(LEN(E275&amp;"")=10,LEFT(E275&amp;"",2)="09"),AND(LEN(E275&amp;"")=9,LEFT(E275&amp;"",1)="9")))),"mobile must be 09XXXXXXXX or status invalid; ","")&amp;IF(COUNTIFS($A$6:$A$505,A275,$B$6:$B$505,B275,$E$6:$E$505,E275)&gt;1,"duplicate number for same entity; ",""))))</f>
        <v/>
      </c>
    </row>
    <row r="276" spans="1:14">
      <c r="A276" s="23"/>
      <c r="B276" s="24"/>
      <c r="C276" s="25"/>
      <c r="D276" s="25"/>
      <c r="E276" s="24"/>
      <c r="F276" s="24"/>
      <c r="G276" s="25"/>
      <c r="H276" s="25"/>
      <c r="I276" s="25"/>
      <c r="J276" s="25"/>
      <c r="K276" s="25"/>
      <c r="L276" s="25"/>
      <c r="M276" s="25" t="str">
        <f>IF(AND(A276="",B276="",E276=""),"",IF(OR(A276="",B276="",C276="",D276="",E276="",J276="",AND(A276="client",COUNTIF(الزبائن!$A$6:$A$505,B276)=0),AND(A276="proposed_name",COUNTIF('أسماء مقترحة'!$A$6:$A$505,B276)=0),AND(D276="mobile",J276&lt;&gt;"invalid",NOT(OR(AND(LEN(E276&amp;"")=10,LEFT(E276&amp;"",2)="09"),AND(LEN(E276&amp;"")=9,LEFT(E276&amp;"",1)="9")))),COUNTIFS($A$6:$A$505,A276,$B$6:$B$505,B276,$E$6:$E$505,E276)&gt;1),"REVIEW","READY"))</f>
        <v/>
      </c>
      <c r="N276" s="27" t="str">
        <f>IF(M276="","",IF(M276="READY","",TRIM(IF(A276="","missing entity_type; ","")&amp;IF(B276="","missing entity_key; ","")&amp;IF(C276="","missing contact_order; ","")&amp;IF(D276="","missing contact_type; ","")&amp;IF(E276="","missing number; ","")&amp;IF(J276="","missing status; ","")&amp;IF(AND(A276="client",COUNTIF(الزبائن!$A$6:$A$505,B276)=0),"client key not found; ","")&amp;IF(AND(A276="proposed_name",COUNTIF('أسماء مقترحة'!$A$6:$A$505,B276)=0),"proposed_name key not found; ","")&amp;IF(AND(D276="mobile",J276&lt;&gt;"invalid",NOT(OR(AND(LEN(E276&amp;"")=10,LEFT(E276&amp;"",2)="09"),AND(LEN(E276&amp;"")=9,LEFT(E276&amp;"",1)="9")))),"mobile must be 09XXXXXXXX or status invalid; ","")&amp;IF(COUNTIFS($A$6:$A$505,A276,$B$6:$B$505,B276,$E$6:$E$505,E276)&gt;1,"duplicate number for same entity; ",""))))</f>
        <v/>
      </c>
    </row>
    <row r="277" spans="1:14">
      <c r="A277" s="23"/>
      <c r="B277" s="24"/>
      <c r="C277" s="25"/>
      <c r="D277" s="25"/>
      <c r="E277" s="24"/>
      <c r="F277" s="24"/>
      <c r="G277" s="25"/>
      <c r="H277" s="25"/>
      <c r="I277" s="25"/>
      <c r="J277" s="25"/>
      <c r="K277" s="25"/>
      <c r="L277" s="25"/>
      <c r="M277" s="25" t="str">
        <f>IF(AND(A277="",B277="",E277=""),"",IF(OR(A277="",B277="",C277="",D277="",E277="",J277="",AND(A277="client",COUNTIF(الزبائن!$A$6:$A$505,B277)=0),AND(A277="proposed_name",COUNTIF('أسماء مقترحة'!$A$6:$A$505,B277)=0),AND(D277="mobile",J277&lt;&gt;"invalid",NOT(OR(AND(LEN(E277&amp;"")=10,LEFT(E277&amp;"",2)="09"),AND(LEN(E277&amp;"")=9,LEFT(E277&amp;"",1)="9")))),COUNTIFS($A$6:$A$505,A277,$B$6:$B$505,B277,$E$6:$E$505,E277)&gt;1),"REVIEW","READY"))</f>
        <v/>
      </c>
      <c r="N277" s="27" t="str">
        <f>IF(M277="","",IF(M277="READY","",TRIM(IF(A277="","missing entity_type; ","")&amp;IF(B277="","missing entity_key; ","")&amp;IF(C277="","missing contact_order; ","")&amp;IF(D277="","missing contact_type; ","")&amp;IF(E277="","missing number; ","")&amp;IF(J277="","missing status; ","")&amp;IF(AND(A277="client",COUNTIF(الزبائن!$A$6:$A$505,B277)=0),"client key not found; ","")&amp;IF(AND(A277="proposed_name",COUNTIF('أسماء مقترحة'!$A$6:$A$505,B277)=0),"proposed_name key not found; ","")&amp;IF(AND(D277="mobile",J277&lt;&gt;"invalid",NOT(OR(AND(LEN(E277&amp;"")=10,LEFT(E277&amp;"",2)="09"),AND(LEN(E277&amp;"")=9,LEFT(E277&amp;"",1)="9")))),"mobile must be 09XXXXXXXX or status invalid; ","")&amp;IF(COUNTIFS($A$6:$A$505,A277,$B$6:$B$505,B277,$E$6:$E$505,E277)&gt;1,"duplicate number for same entity; ",""))))</f>
        <v/>
      </c>
    </row>
    <row r="278" spans="1:14">
      <c r="A278" s="23"/>
      <c r="B278" s="24"/>
      <c r="C278" s="25"/>
      <c r="D278" s="25"/>
      <c r="E278" s="24"/>
      <c r="F278" s="24"/>
      <c r="G278" s="25"/>
      <c r="H278" s="25"/>
      <c r="I278" s="25"/>
      <c r="J278" s="25"/>
      <c r="K278" s="25"/>
      <c r="L278" s="25"/>
      <c r="M278" s="25" t="str">
        <f>IF(AND(A278="",B278="",E278=""),"",IF(OR(A278="",B278="",C278="",D278="",E278="",J278="",AND(A278="client",COUNTIF(الزبائن!$A$6:$A$505,B278)=0),AND(A278="proposed_name",COUNTIF('أسماء مقترحة'!$A$6:$A$505,B278)=0),AND(D278="mobile",J278&lt;&gt;"invalid",NOT(OR(AND(LEN(E278&amp;"")=10,LEFT(E278&amp;"",2)="09"),AND(LEN(E278&amp;"")=9,LEFT(E278&amp;"",1)="9")))),COUNTIFS($A$6:$A$505,A278,$B$6:$B$505,B278,$E$6:$E$505,E278)&gt;1),"REVIEW","READY"))</f>
        <v/>
      </c>
      <c r="N278" s="27" t="str">
        <f>IF(M278="","",IF(M278="READY","",TRIM(IF(A278="","missing entity_type; ","")&amp;IF(B278="","missing entity_key; ","")&amp;IF(C278="","missing contact_order; ","")&amp;IF(D278="","missing contact_type; ","")&amp;IF(E278="","missing number; ","")&amp;IF(J278="","missing status; ","")&amp;IF(AND(A278="client",COUNTIF(الزبائن!$A$6:$A$505,B278)=0),"client key not found; ","")&amp;IF(AND(A278="proposed_name",COUNTIF('أسماء مقترحة'!$A$6:$A$505,B278)=0),"proposed_name key not found; ","")&amp;IF(AND(D278="mobile",J278&lt;&gt;"invalid",NOT(OR(AND(LEN(E278&amp;"")=10,LEFT(E278&amp;"",2)="09"),AND(LEN(E278&amp;"")=9,LEFT(E278&amp;"",1)="9")))),"mobile must be 09XXXXXXXX or status invalid; ","")&amp;IF(COUNTIFS($A$6:$A$505,A278,$B$6:$B$505,B278,$E$6:$E$505,E278)&gt;1,"duplicate number for same entity; ",""))))</f>
        <v/>
      </c>
    </row>
    <row r="279" spans="1:14">
      <c r="A279" s="23"/>
      <c r="B279" s="24"/>
      <c r="C279" s="25"/>
      <c r="D279" s="25"/>
      <c r="E279" s="24"/>
      <c r="F279" s="24"/>
      <c r="G279" s="25"/>
      <c r="H279" s="25"/>
      <c r="I279" s="25"/>
      <c r="J279" s="25"/>
      <c r="K279" s="25"/>
      <c r="L279" s="25"/>
      <c r="M279" s="25" t="str">
        <f>IF(AND(A279="",B279="",E279=""),"",IF(OR(A279="",B279="",C279="",D279="",E279="",J279="",AND(A279="client",COUNTIF(الزبائن!$A$6:$A$505,B279)=0),AND(A279="proposed_name",COUNTIF('أسماء مقترحة'!$A$6:$A$505,B279)=0),AND(D279="mobile",J279&lt;&gt;"invalid",NOT(OR(AND(LEN(E279&amp;"")=10,LEFT(E279&amp;"",2)="09"),AND(LEN(E279&amp;"")=9,LEFT(E279&amp;"",1)="9")))),COUNTIFS($A$6:$A$505,A279,$B$6:$B$505,B279,$E$6:$E$505,E279)&gt;1),"REVIEW","READY"))</f>
        <v/>
      </c>
      <c r="N279" s="27" t="str">
        <f>IF(M279="","",IF(M279="READY","",TRIM(IF(A279="","missing entity_type; ","")&amp;IF(B279="","missing entity_key; ","")&amp;IF(C279="","missing contact_order; ","")&amp;IF(D279="","missing contact_type; ","")&amp;IF(E279="","missing number; ","")&amp;IF(J279="","missing status; ","")&amp;IF(AND(A279="client",COUNTIF(الزبائن!$A$6:$A$505,B279)=0),"client key not found; ","")&amp;IF(AND(A279="proposed_name",COUNTIF('أسماء مقترحة'!$A$6:$A$505,B279)=0),"proposed_name key not found; ","")&amp;IF(AND(D279="mobile",J279&lt;&gt;"invalid",NOT(OR(AND(LEN(E279&amp;"")=10,LEFT(E279&amp;"",2)="09"),AND(LEN(E279&amp;"")=9,LEFT(E279&amp;"",1)="9")))),"mobile must be 09XXXXXXXX or status invalid; ","")&amp;IF(COUNTIFS($A$6:$A$505,A279,$B$6:$B$505,B279,$E$6:$E$505,E279)&gt;1,"duplicate number for same entity; ",""))))</f>
        <v/>
      </c>
    </row>
    <row r="280" spans="1:14">
      <c r="A280" s="23"/>
      <c r="B280" s="24"/>
      <c r="C280" s="25"/>
      <c r="D280" s="25"/>
      <c r="E280" s="24"/>
      <c r="F280" s="24"/>
      <c r="G280" s="25"/>
      <c r="H280" s="25"/>
      <c r="I280" s="25"/>
      <c r="J280" s="25"/>
      <c r="K280" s="25"/>
      <c r="L280" s="25"/>
      <c r="M280" s="25" t="str">
        <f>IF(AND(A280="",B280="",E280=""),"",IF(OR(A280="",B280="",C280="",D280="",E280="",J280="",AND(A280="client",COUNTIF(الزبائن!$A$6:$A$505,B280)=0),AND(A280="proposed_name",COUNTIF('أسماء مقترحة'!$A$6:$A$505,B280)=0),AND(D280="mobile",J280&lt;&gt;"invalid",NOT(OR(AND(LEN(E280&amp;"")=10,LEFT(E280&amp;"",2)="09"),AND(LEN(E280&amp;"")=9,LEFT(E280&amp;"",1)="9")))),COUNTIFS($A$6:$A$505,A280,$B$6:$B$505,B280,$E$6:$E$505,E280)&gt;1),"REVIEW","READY"))</f>
        <v/>
      </c>
      <c r="N280" s="27" t="str">
        <f>IF(M280="","",IF(M280="READY","",TRIM(IF(A280="","missing entity_type; ","")&amp;IF(B280="","missing entity_key; ","")&amp;IF(C280="","missing contact_order; ","")&amp;IF(D280="","missing contact_type; ","")&amp;IF(E280="","missing number; ","")&amp;IF(J280="","missing status; ","")&amp;IF(AND(A280="client",COUNTIF(الزبائن!$A$6:$A$505,B280)=0),"client key not found; ","")&amp;IF(AND(A280="proposed_name",COUNTIF('أسماء مقترحة'!$A$6:$A$505,B280)=0),"proposed_name key not found; ","")&amp;IF(AND(D280="mobile",J280&lt;&gt;"invalid",NOT(OR(AND(LEN(E280&amp;"")=10,LEFT(E280&amp;"",2)="09"),AND(LEN(E280&amp;"")=9,LEFT(E280&amp;"",1)="9")))),"mobile must be 09XXXXXXXX or status invalid; ","")&amp;IF(COUNTIFS($A$6:$A$505,A280,$B$6:$B$505,B280,$E$6:$E$505,E280)&gt;1,"duplicate number for same entity; ",""))))</f>
        <v/>
      </c>
    </row>
    <row r="281" spans="1:14">
      <c r="A281" s="23"/>
      <c r="B281" s="24"/>
      <c r="C281" s="25"/>
      <c r="D281" s="25"/>
      <c r="E281" s="24"/>
      <c r="F281" s="24"/>
      <c r="G281" s="25"/>
      <c r="H281" s="25"/>
      <c r="I281" s="25"/>
      <c r="J281" s="25"/>
      <c r="K281" s="25"/>
      <c r="L281" s="25"/>
      <c r="M281" s="25" t="str">
        <f>IF(AND(A281="",B281="",E281=""),"",IF(OR(A281="",B281="",C281="",D281="",E281="",J281="",AND(A281="client",COUNTIF(الزبائن!$A$6:$A$505,B281)=0),AND(A281="proposed_name",COUNTIF('أسماء مقترحة'!$A$6:$A$505,B281)=0),AND(D281="mobile",J281&lt;&gt;"invalid",NOT(OR(AND(LEN(E281&amp;"")=10,LEFT(E281&amp;"",2)="09"),AND(LEN(E281&amp;"")=9,LEFT(E281&amp;"",1)="9")))),COUNTIFS($A$6:$A$505,A281,$B$6:$B$505,B281,$E$6:$E$505,E281)&gt;1),"REVIEW","READY"))</f>
        <v/>
      </c>
      <c r="N281" s="27" t="str">
        <f>IF(M281="","",IF(M281="READY","",TRIM(IF(A281="","missing entity_type; ","")&amp;IF(B281="","missing entity_key; ","")&amp;IF(C281="","missing contact_order; ","")&amp;IF(D281="","missing contact_type; ","")&amp;IF(E281="","missing number; ","")&amp;IF(J281="","missing status; ","")&amp;IF(AND(A281="client",COUNTIF(الزبائن!$A$6:$A$505,B281)=0),"client key not found; ","")&amp;IF(AND(A281="proposed_name",COUNTIF('أسماء مقترحة'!$A$6:$A$505,B281)=0),"proposed_name key not found; ","")&amp;IF(AND(D281="mobile",J281&lt;&gt;"invalid",NOT(OR(AND(LEN(E281&amp;"")=10,LEFT(E281&amp;"",2)="09"),AND(LEN(E281&amp;"")=9,LEFT(E281&amp;"",1)="9")))),"mobile must be 09XXXXXXXX or status invalid; ","")&amp;IF(COUNTIFS($A$6:$A$505,A281,$B$6:$B$505,B281,$E$6:$E$505,E281)&gt;1,"duplicate number for same entity; ",""))))</f>
        <v/>
      </c>
    </row>
    <row r="282" spans="1:14">
      <c r="A282" s="23"/>
      <c r="B282" s="24"/>
      <c r="C282" s="25"/>
      <c r="D282" s="25"/>
      <c r="E282" s="24"/>
      <c r="F282" s="24"/>
      <c r="G282" s="25"/>
      <c r="H282" s="25"/>
      <c r="I282" s="25"/>
      <c r="J282" s="25"/>
      <c r="K282" s="25"/>
      <c r="L282" s="25"/>
      <c r="M282" s="25" t="str">
        <f>IF(AND(A282="",B282="",E282=""),"",IF(OR(A282="",B282="",C282="",D282="",E282="",J282="",AND(A282="client",COUNTIF(الزبائن!$A$6:$A$505,B282)=0),AND(A282="proposed_name",COUNTIF('أسماء مقترحة'!$A$6:$A$505,B282)=0),AND(D282="mobile",J282&lt;&gt;"invalid",NOT(OR(AND(LEN(E282&amp;"")=10,LEFT(E282&amp;"",2)="09"),AND(LEN(E282&amp;"")=9,LEFT(E282&amp;"",1)="9")))),COUNTIFS($A$6:$A$505,A282,$B$6:$B$505,B282,$E$6:$E$505,E282)&gt;1),"REVIEW","READY"))</f>
        <v/>
      </c>
      <c r="N282" s="27" t="str">
        <f>IF(M282="","",IF(M282="READY","",TRIM(IF(A282="","missing entity_type; ","")&amp;IF(B282="","missing entity_key; ","")&amp;IF(C282="","missing contact_order; ","")&amp;IF(D282="","missing contact_type; ","")&amp;IF(E282="","missing number; ","")&amp;IF(J282="","missing status; ","")&amp;IF(AND(A282="client",COUNTIF(الزبائن!$A$6:$A$505,B282)=0),"client key not found; ","")&amp;IF(AND(A282="proposed_name",COUNTIF('أسماء مقترحة'!$A$6:$A$505,B282)=0),"proposed_name key not found; ","")&amp;IF(AND(D282="mobile",J282&lt;&gt;"invalid",NOT(OR(AND(LEN(E282&amp;"")=10,LEFT(E282&amp;"",2)="09"),AND(LEN(E282&amp;"")=9,LEFT(E282&amp;"",1)="9")))),"mobile must be 09XXXXXXXX or status invalid; ","")&amp;IF(COUNTIFS($A$6:$A$505,A282,$B$6:$B$505,B282,$E$6:$E$505,E282)&gt;1,"duplicate number for same entity; ",""))))</f>
        <v/>
      </c>
    </row>
    <row r="283" spans="1:14">
      <c r="A283" s="23"/>
      <c r="B283" s="24"/>
      <c r="C283" s="25"/>
      <c r="D283" s="25"/>
      <c r="E283" s="24"/>
      <c r="F283" s="24"/>
      <c r="G283" s="25"/>
      <c r="H283" s="25"/>
      <c r="I283" s="25"/>
      <c r="J283" s="25"/>
      <c r="K283" s="25"/>
      <c r="L283" s="25"/>
      <c r="M283" s="25" t="str">
        <f>IF(AND(A283="",B283="",E283=""),"",IF(OR(A283="",B283="",C283="",D283="",E283="",J283="",AND(A283="client",COUNTIF(الزبائن!$A$6:$A$505,B283)=0),AND(A283="proposed_name",COUNTIF('أسماء مقترحة'!$A$6:$A$505,B283)=0),AND(D283="mobile",J283&lt;&gt;"invalid",NOT(OR(AND(LEN(E283&amp;"")=10,LEFT(E283&amp;"",2)="09"),AND(LEN(E283&amp;"")=9,LEFT(E283&amp;"",1)="9")))),COUNTIFS($A$6:$A$505,A283,$B$6:$B$505,B283,$E$6:$E$505,E283)&gt;1),"REVIEW","READY"))</f>
        <v/>
      </c>
      <c r="N283" s="27" t="str">
        <f>IF(M283="","",IF(M283="READY","",TRIM(IF(A283="","missing entity_type; ","")&amp;IF(B283="","missing entity_key; ","")&amp;IF(C283="","missing contact_order; ","")&amp;IF(D283="","missing contact_type; ","")&amp;IF(E283="","missing number; ","")&amp;IF(J283="","missing status; ","")&amp;IF(AND(A283="client",COUNTIF(الزبائن!$A$6:$A$505,B283)=0),"client key not found; ","")&amp;IF(AND(A283="proposed_name",COUNTIF('أسماء مقترحة'!$A$6:$A$505,B283)=0),"proposed_name key not found; ","")&amp;IF(AND(D283="mobile",J283&lt;&gt;"invalid",NOT(OR(AND(LEN(E283&amp;"")=10,LEFT(E283&amp;"",2)="09"),AND(LEN(E283&amp;"")=9,LEFT(E283&amp;"",1)="9")))),"mobile must be 09XXXXXXXX or status invalid; ","")&amp;IF(COUNTIFS($A$6:$A$505,A283,$B$6:$B$505,B283,$E$6:$E$505,E283)&gt;1,"duplicate number for same entity; ",""))))</f>
        <v/>
      </c>
    </row>
    <row r="284" spans="1:14">
      <c r="A284" s="23"/>
      <c r="B284" s="24"/>
      <c r="C284" s="25"/>
      <c r="D284" s="25"/>
      <c r="E284" s="24"/>
      <c r="F284" s="24"/>
      <c r="G284" s="25"/>
      <c r="H284" s="25"/>
      <c r="I284" s="25"/>
      <c r="J284" s="25"/>
      <c r="K284" s="25"/>
      <c r="L284" s="25"/>
      <c r="M284" s="25" t="str">
        <f>IF(AND(A284="",B284="",E284=""),"",IF(OR(A284="",B284="",C284="",D284="",E284="",J284="",AND(A284="client",COUNTIF(الزبائن!$A$6:$A$505,B284)=0),AND(A284="proposed_name",COUNTIF('أسماء مقترحة'!$A$6:$A$505,B284)=0),AND(D284="mobile",J284&lt;&gt;"invalid",NOT(OR(AND(LEN(E284&amp;"")=10,LEFT(E284&amp;"",2)="09"),AND(LEN(E284&amp;"")=9,LEFT(E284&amp;"",1)="9")))),COUNTIFS($A$6:$A$505,A284,$B$6:$B$505,B284,$E$6:$E$505,E284)&gt;1),"REVIEW","READY"))</f>
        <v/>
      </c>
      <c r="N284" s="27" t="str">
        <f>IF(M284="","",IF(M284="READY","",TRIM(IF(A284="","missing entity_type; ","")&amp;IF(B284="","missing entity_key; ","")&amp;IF(C284="","missing contact_order; ","")&amp;IF(D284="","missing contact_type; ","")&amp;IF(E284="","missing number; ","")&amp;IF(J284="","missing status; ","")&amp;IF(AND(A284="client",COUNTIF(الزبائن!$A$6:$A$505,B284)=0),"client key not found; ","")&amp;IF(AND(A284="proposed_name",COUNTIF('أسماء مقترحة'!$A$6:$A$505,B284)=0),"proposed_name key not found; ","")&amp;IF(AND(D284="mobile",J284&lt;&gt;"invalid",NOT(OR(AND(LEN(E284&amp;"")=10,LEFT(E284&amp;"",2)="09"),AND(LEN(E284&amp;"")=9,LEFT(E284&amp;"",1)="9")))),"mobile must be 09XXXXXXXX or status invalid; ","")&amp;IF(COUNTIFS($A$6:$A$505,A284,$B$6:$B$505,B284,$E$6:$E$505,E284)&gt;1,"duplicate number for same entity; ",""))))</f>
        <v/>
      </c>
    </row>
    <row r="285" spans="1:14">
      <c r="A285" s="23"/>
      <c r="B285" s="24"/>
      <c r="C285" s="25"/>
      <c r="D285" s="25"/>
      <c r="E285" s="24"/>
      <c r="F285" s="24"/>
      <c r="G285" s="25"/>
      <c r="H285" s="25"/>
      <c r="I285" s="25"/>
      <c r="J285" s="25"/>
      <c r="K285" s="25"/>
      <c r="L285" s="25"/>
      <c r="M285" s="25" t="str">
        <f>IF(AND(A285="",B285="",E285=""),"",IF(OR(A285="",B285="",C285="",D285="",E285="",J285="",AND(A285="client",COUNTIF(الزبائن!$A$6:$A$505,B285)=0),AND(A285="proposed_name",COUNTIF('أسماء مقترحة'!$A$6:$A$505,B285)=0),AND(D285="mobile",J285&lt;&gt;"invalid",NOT(OR(AND(LEN(E285&amp;"")=10,LEFT(E285&amp;"",2)="09"),AND(LEN(E285&amp;"")=9,LEFT(E285&amp;"",1)="9")))),COUNTIFS($A$6:$A$505,A285,$B$6:$B$505,B285,$E$6:$E$505,E285)&gt;1),"REVIEW","READY"))</f>
        <v/>
      </c>
      <c r="N285" s="27" t="str">
        <f>IF(M285="","",IF(M285="READY","",TRIM(IF(A285="","missing entity_type; ","")&amp;IF(B285="","missing entity_key; ","")&amp;IF(C285="","missing contact_order; ","")&amp;IF(D285="","missing contact_type; ","")&amp;IF(E285="","missing number; ","")&amp;IF(J285="","missing status; ","")&amp;IF(AND(A285="client",COUNTIF(الزبائن!$A$6:$A$505,B285)=0),"client key not found; ","")&amp;IF(AND(A285="proposed_name",COUNTIF('أسماء مقترحة'!$A$6:$A$505,B285)=0),"proposed_name key not found; ","")&amp;IF(AND(D285="mobile",J285&lt;&gt;"invalid",NOT(OR(AND(LEN(E285&amp;"")=10,LEFT(E285&amp;"",2)="09"),AND(LEN(E285&amp;"")=9,LEFT(E285&amp;"",1)="9")))),"mobile must be 09XXXXXXXX or status invalid; ","")&amp;IF(COUNTIFS($A$6:$A$505,A285,$B$6:$B$505,B285,$E$6:$E$505,E285)&gt;1,"duplicate number for same entity; ",""))))</f>
        <v/>
      </c>
    </row>
    <row r="286" spans="1:14">
      <c r="A286" s="23"/>
      <c r="B286" s="24"/>
      <c r="C286" s="25"/>
      <c r="D286" s="25"/>
      <c r="E286" s="24"/>
      <c r="F286" s="24"/>
      <c r="G286" s="25"/>
      <c r="H286" s="25"/>
      <c r="I286" s="25"/>
      <c r="J286" s="25"/>
      <c r="K286" s="25"/>
      <c r="L286" s="25"/>
      <c r="M286" s="25" t="str">
        <f>IF(AND(A286="",B286="",E286=""),"",IF(OR(A286="",B286="",C286="",D286="",E286="",J286="",AND(A286="client",COUNTIF(الزبائن!$A$6:$A$505,B286)=0),AND(A286="proposed_name",COUNTIF('أسماء مقترحة'!$A$6:$A$505,B286)=0),AND(D286="mobile",J286&lt;&gt;"invalid",NOT(OR(AND(LEN(E286&amp;"")=10,LEFT(E286&amp;"",2)="09"),AND(LEN(E286&amp;"")=9,LEFT(E286&amp;"",1)="9")))),COUNTIFS($A$6:$A$505,A286,$B$6:$B$505,B286,$E$6:$E$505,E286)&gt;1),"REVIEW","READY"))</f>
        <v/>
      </c>
      <c r="N286" s="27" t="str">
        <f>IF(M286="","",IF(M286="READY","",TRIM(IF(A286="","missing entity_type; ","")&amp;IF(B286="","missing entity_key; ","")&amp;IF(C286="","missing contact_order; ","")&amp;IF(D286="","missing contact_type; ","")&amp;IF(E286="","missing number; ","")&amp;IF(J286="","missing status; ","")&amp;IF(AND(A286="client",COUNTIF(الزبائن!$A$6:$A$505,B286)=0),"client key not found; ","")&amp;IF(AND(A286="proposed_name",COUNTIF('أسماء مقترحة'!$A$6:$A$505,B286)=0),"proposed_name key not found; ","")&amp;IF(AND(D286="mobile",J286&lt;&gt;"invalid",NOT(OR(AND(LEN(E286&amp;"")=10,LEFT(E286&amp;"",2)="09"),AND(LEN(E286&amp;"")=9,LEFT(E286&amp;"",1)="9")))),"mobile must be 09XXXXXXXX or status invalid; ","")&amp;IF(COUNTIFS($A$6:$A$505,A286,$B$6:$B$505,B286,$E$6:$E$505,E286)&gt;1,"duplicate number for same entity; ",""))))</f>
        <v/>
      </c>
    </row>
    <row r="287" spans="1:14">
      <c r="A287" s="23"/>
      <c r="B287" s="24"/>
      <c r="C287" s="25"/>
      <c r="D287" s="25"/>
      <c r="E287" s="24"/>
      <c r="F287" s="24"/>
      <c r="G287" s="25"/>
      <c r="H287" s="25"/>
      <c r="I287" s="25"/>
      <c r="J287" s="25"/>
      <c r="K287" s="25"/>
      <c r="L287" s="25"/>
      <c r="M287" s="25" t="str">
        <f>IF(AND(A287="",B287="",E287=""),"",IF(OR(A287="",B287="",C287="",D287="",E287="",J287="",AND(A287="client",COUNTIF(الزبائن!$A$6:$A$505,B287)=0),AND(A287="proposed_name",COUNTIF('أسماء مقترحة'!$A$6:$A$505,B287)=0),AND(D287="mobile",J287&lt;&gt;"invalid",NOT(OR(AND(LEN(E287&amp;"")=10,LEFT(E287&amp;"",2)="09"),AND(LEN(E287&amp;"")=9,LEFT(E287&amp;"",1)="9")))),COUNTIFS($A$6:$A$505,A287,$B$6:$B$505,B287,$E$6:$E$505,E287)&gt;1),"REVIEW","READY"))</f>
        <v/>
      </c>
      <c r="N287" s="27" t="str">
        <f>IF(M287="","",IF(M287="READY","",TRIM(IF(A287="","missing entity_type; ","")&amp;IF(B287="","missing entity_key; ","")&amp;IF(C287="","missing contact_order; ","")&amp;IF(D287="","missing contact_type; ","")&amp;IF(E287="","missing number; ","")&amp;IF(J287="","missing status; ","")&amp;IF(AND(A287="client",COUNTIF(الزبائن!$A$6:$A$505,B287)=0),"client key not found; ","")&amp;IF(AND(A287="proposed_name",COUNTIF('أسماء مقترحة'!$A$6:$A$505,B287)=0),"proposed_name key not found; ","")&amp;IF(AND(D287="mobile",J287&lt;&gt;"invalid",NOT(OR(AND(LEN(E287&amp;"")=10,LEFT(E287&amp;"",2)="09"),AND(LEN(E287&amp;"")=9,LEFT(E287&amp;"",1)="9")))),"mobile must be 09XXXXXXXX or status invalid; ","")&amp;IF(COUNTIFS($A$6:$A$505,A287,$B$6:$B$505,B287,$E$6:$E$505,E287)&gt;1,"duplicate number for same entity; ",""))))</f>
        <v/>
      </c>
    </row>
    <row r="288" spans="1:14">
      <c r="A288" s="23"/>
      <c r="B288" s="24"/>
      <c r="C288" s="25"/>
      <c r="D288" s="25"/>
      <c r="E288" s="24"/>
      <c r="F288" s="24"/>
      <c r="G288" s="25"/>
      <c r="H288" s="25"/>
      <c r="I288" s="25"/>
      <c r="J288" s="25"/>
      <c r="K288" s="25"/>
      <c r="L288" s="25"/>
      <c r="M288" s="25" t="str">
        <f>IF(AND(A288="",B288="",E288=""),"",IF(OR(A288="",B288="",C288="",D288="",E288="",J288="",AND(A288="client",COUNTIF(الزبائن!$A$6:$A$505,B288)=0),AND(A288="proposed_name",COUNTIF('أسماء مقترحة'!$A$6:$A$505,B288)=0),AND(D288="mobile",J288&lt;&gt;"invalid",NOT(OR(AND(LEN(E288&amp;"")=10,LEFT(E288&amp;"",2)="09"),AND(LEN(E288&amp;"")=9,LEFT(E288&amp;"",1)="9")))),COUNTIFS($A$6:$A$505,A288,$B$6:$B$505,B288,$E$6:$E$505,E288)&gt;1),"REVIEW","READY"))</f>
        <v/>
      </c>
      <c r="N288" s="27" t="str">
        <f>IF(M288="","",IF(M288="READY","",TRIM(IF(A288="","missing entity_type; ","")&amp;IF(B288="","missing entity_key; ","")&amp;IF(C288="","missing contact_order; ","")&amp;IF(D288="","missing contact_type; ","")&amp;IF(E288="","missing number; ","")&amp;IF(J288="","missing status; ","")&amp;IF(AND(A288="client",COUNTIF(الزبائن!$A$6:$A$505,B288)=0),"client key not found; ","")&amp;IF(AND(A288="proposed_name",COUNTIF('أسماء مقترحة'!$A$6:$A$505,B288)=0),"proposed_name key not found; ","")&amp;IF(AND(D288="mobile",J288&lt;&gt;"invalid",NOT(OR(AND(LEN(E288&amp;"")=10,LEFT(E288&amp;"",2)="09"),AND(LEN(E288&amp;"")=9,LEFT(E288&amp;"",1)="9")))),"mobile must be 09XXXXXXXX or status invalid; ","")&amp;IF(COUNTIFS($A$6:$A$505,A288,$B$6:$B$505,B288,$E$6:$E$505,E288)&gt;1,"duplicate number for same entity; ",""))))</f>
        <v/>
      </c>
    </row>
    <row r="289" spans="1:14">
      <c r="A289" s="23"/>
      <c r="B289" s="24"/>
      <c r="C289" s="25"/>
      <c r="D289" s="25"/>
      <c r="E289" s="24"/>
      <c r="F289" s="24"/>
      <c r="G289" s="25"/>
      <c r="H289" s="25"/>
      <c r="I289" s="25"/>
      <c r="J289" s="25"/>
      <c r="K289" s="25"/>
      <c r="L289" s="25"/>
      <c r="M289" s="25" t="str">
        <f>IF(AND(A289="",B289="",E289=""),"",IF(OR(A289="",B289="",C289="",D289="",E289="",J289="",AND(A289="client",COUNTIF(الزبائن!$A$6:$A$505,B289)=0),AND(A289="proposed_name",COUNTIF('أسماء مقترحة'!$A$6:$A$505,B289)=0),AND(D289="mobile",J289&lt;&gt;"invalid",NOT(OR(AND(LEN(E289&amp;"")=10,LEFT(E289&amp;"",2)="09"),AND(LEN(E289&amp;"")=9,LEFT(E289&amp;"",1)="9")))),COUNTIFS($A$6:$A$505,A289,$B$6:$B$505,B289,$E$6:$E$505,E289)&gt;1),"REVIEW","READY"))</f>
        <v/>
      </c>
      <c r="N289" s="27" t="str">
        <f>IF(M289="","",IF(M289="READY","",TRIM(IF(A289="","missing entity_type; ","")&amp;IF(B289="","missing entity_key; ","")&amp;IF(C289="","missing contact_order; ","")&amp;IF(D289="","missing contact_type; ","")&amp;IF(E289="","missing number; ","")&amp;IF(J289="","missing status; ","")&amp;IF(AND(A289="client",COUNTIF(الزبائن!$A$6:$A$505,B289)=0),"client key not found; ","")&amp;IF(AND(A289="proposed_name",COUNTIF('أسماء مقترحة'!$A$6:$A$505,B289)=0),"proposed_name key not found; ","")&amp;IF(AND(D289="mobile",J289&lt;&gt;"invalid",NOT(OR(AND(LEN(E289&amp;"")=10,LEFT(E289&amp;"",2)="09"),AND(LEN(E289&amp;"")=9,LEFT(E289&amp;"",1)="9")))),"mobile must be 09XXXXXXXX or status invalid; ","")&amp;IF(COUNTIFS($A$6:$A$505,A289,$B$6:$B$505,B289,$E$6:$E$505,E289)&gt;1,"duplicate number for same entity; ",""))))</f>
        <v/>
      </c>
    </row>
    <row r="290" spans="1:14">
      <c r="A290" s="23"/>
      <c r="B290" s="24"/>
      <c r="C290" s="25"/>
      <c r="D290" s="25"/>
      <c r="E290" s="24"/>
      <c r="F290" s="24"/>
      <c r="G290" s="25"/>
      <c r="H290" s="25"/>
      <c r="I290" s="25"/>
      <c r="J290" s="25"/>
      <c r="K290" s="25"/>
      <c r="L290" s="25"/>
      <c r="M290" s="25" t="str">
        <f>IF(AND(A290="",B290="",E290=""),"",IF(OR(A290="",B290="",C290="",D290="",E290="",J290="",AND(A290="client",COUNTIF(الزبائن!$A$6:$A$505,B290)=0),AND(A290="proposed_name",COUNTIF('أسماء مقترحة'!$A$6:$A$505,B290)=0),AND(D290="mobile",J290&lt;&gt;"invalid",NOT(OR(AND(LEN(E290&amp;"")=10,LEFT(E290&amp;"",2)="09"),AND(LEN(E290&amp;"")=9,LEFT(E290&amp;"",1)="9")))),COUNTIFS($A$6:$A$505,A290,$B$6:$B$505,B290,$E$6:$E$505,E290)&gt;1),"REVIEW","READY"))</f>
        <v/>
      </c>
      <c r="N290" s="27" t="str">
        <f>IF(M290="","",IF(M290="READY","",TRIM(IF(A290="","missing entity_type; ","")&amp;IF(B290="","missing entity_key; ","")&amp;IF(C290="","missing contact_order; ","")&amp;IF(D290="","missing contact_type; ","")&amp;IF(E290="","missing number; ","")&amp;IF(J290="","missing status; ","")&amp;IF(AND(A290="client",COUNTIF(الزبائن!$A$6:$A$505,B290)=0),"client key not found; ","")&amp;IF(AND(A290="proposed_name",COUNTIF('أسماء مقترحة'!$A$6:$A$505,B290)=0),"proposed_name key not found; ","")&amp;IF(AND(D290="mobile",J290&lt;&gt;"invalid",NOT(OR(AND(LEN(E290&amp;"")=10,LEFT(E290&amp;"",2)="09"),AND(LEN(E290&amp;"")=9,LEFT(E290&amp;"",1)="9")))),"mobile must be 09XXXXXXXX or status invalid; ","")&amp;IF(COUNTIFS($A$6:$A$505,A290,$B$6:$B$505,B290,$E$6:$E$505,E290)&gt;1,"duplicate number for same entity; ",""))))</f>
        <v/>
      </c>
    </row>
    <row r="291" spans="1:14">
      <c r="A291" s="23"/>
      <c r="B291" s="24"/>
      <c r="C291" s="25"/>
      <c r="D291" s="25"/>
      <c r="E291" s="24"/>
      <c r="F291" s="24"/>
      <c r="G291" s="25"/>
      <c r="H291" s="25"/>
      <c r="I291" s="25"/>
      <c r="J291" s="25"/>
      <c r="K291" s="25"/>
      <c r="L291" s="25"/>
      <c r="M291" s="25" t="str">
        <f>IF(AND(A291="",B291="",E291=""),"",IF(OR(A291="",B291="",C291="",D291="",E291="",J291="",AND(A291="client",COUNTIF(الزبائن!$A$6:$A$505,B291)=0),AND(A291="proposed_name",COUNTIF('أسماء مقترحة'!$A$6:$A$505,B291)=0),AND(D291="mobile",J291&lt;&gt;"invalid",NOT(OR(AND(LEN(E291&amp;"")=10,LEFT(E291&amp;"",2)="09"),AND(LEN(E291&amp;"")=9,LEFT(E291&amp;"",1)="9")))),COUNTIFS($A$6:$A$505,A291,$B$6:$B$505,B291,$E$6:$E$505,E291)&gt;1),"REVIEW","READY"))</f>
        <v/>
      </c>
      <c r="N291" s="27" t="str">
        <f>IF(M291="","",IF(M291="READY","",TRIM(IF(A291="","missing entity_type; ","")&amp;IF(B291="","missing entity_key; ","")&amp;IF(C291="","missing contact_order; ","")&amp;IF(D291="","missing contact_type; ","")&amp;IF(E291="","missing number; ","")&amp;IF(J291="","missing status; ","")&amp;IF(AND(A291="client",COUNTIF(الزبائن!$A$6:$A$505,B291)=0),"client key not found; ","")&amp;IF(AND(A291="proposed_name",COUNTIF('أسماء مقترحة'!$A$6:$A$505,B291)=0),"proposed_name key not found; ","")&amp;IF(AND(D291="mobile",J291&lt;&gt;"invalid",NOT(OR(AND(LEN(E291&amp;"")=10,LEFT(E291&amp;"",2)="09"),AND(LEN(E291&amp;"")=9,LEFT(E291&amp;"",1)="9")))),"mobile must be 09XXXXXXXX or status invalid; ","")&amp;IF(COUNTIFS($A$6:$A$505,A291,$B$6:$B$505,B291,$E$6:$E$505,E291)&gt;1,"duplicate number for same entity; ",""))))</f>
        <v/>
      </c>
    </row>
    <row r="292" spans="1:14">
      <c r="A292" s="23"/>
      <c r="B292" s="24"/>
      <c r="C292" s="25"/>
      <c r="D292" s="25"/>
      <c r="E292" s="24"/>
      <c r="F292" s="24"/>
      <c r="G292" s="25"/>
      <c r="H292" s="25"/>
      <c r="I292" s="25"/>
      <c r="J292" s="25"/>
      <c r="K292" s="25"/>
      <c r="L292" s="25"/>
      <c r="M292" s="25" t="str">
        <f>IF(AND(A292="",B292="",E292=""),"",IF(OR(A292="",B292="",C292="",D292="",E292="",J292="",AND(A292="client",COUNTIF(الزبائن!$A$6:$A$505,B292)=0),AND(A292="proposed_name",COUNTIF('أسماء مقترحة'!$A$6:$A$505,B292)=0),AND(D292="mobile",J292&lt;&gt;"invalid",NOT(OR(AND(LEN(E292&amp;"")=10,LEFT(E292&amp;"",2)="09"),AND(LEN(E292&amp;"")=9,LEFT(E292&amp;"",1)="9")))),COUNTIFS($A$6:$A$505,A292,$B$6:$B$505,B292,$E$6:$E$505,E292)&gt;1),"REVIEW","READY"))</f>
        <v/>
      </c>
      <c r="N292" s="27" t="str">
        <f>IF(M292="","",IF(M292="READY","",TRIM(IF(A292="","missing entity_type; ","")&amp;IF(B292="","missing entity_key; ","")&amp;IF(C292="","missing contact_order; ","")&amp;IF(D292="","missing contact_type; ","")&amp;IF(E292="","missing number; ","")&amp;IF(J292="","missing status; ","")&amp;IF(AND(A292="client",COUNTIF(الزبائن!$A$6:$A$505,B292)=0),"client key not found; ","")&amp;IF(AND(A292="proposed_name",COUNTIF('أسماء مقترحة'!$A$6:$A$505,B292)=0),"proposed_name key not found; ","")&amp;IF(AND(D292="mobile",J292&lt;&gt;"invalid",NOT(OR(AND(LEN(E292&amp;"")=10,LEFT(E292&amp;"",2)="09"),AND(LEN(E292&amp;"")=9,LEFT(E292&amp;"",1)="9")))),"mobile must be 09XXXXXXXX or status invalid; ","")&amp;IF(COUNTIFS($A$6:$A$505,A292,$B$6:$B$505,B292,$E$6:$E$505,E292)&gt;1,"duplicate number for same entity; ",""))))</f>
        <v/>
      </c>
    </row>
    <row r="293" spans="1:14">
      <c r="A293" s="23"/>
      <c r="B293" s="24"/>
      <c r="C293" s="25"/>
      <c r="D293" s="25"/>
      <c r="E293" s="24"/>
      <c r="F293" s="24"/>
      <c r="G293" s="25"/>
      <c r="H293" s="25"/>
      <c r="I293" s="25"/>
      <c r="J293" s="25"/>
      <c r="K293" s="25"/>
      <c r="L293" s="25"/>
      <c r="M293" s="25" t="str">
        <f>IF(AND(A293="",B293="",E293=""),"",IF(OR(A293="",B293="",C293="",D293="",E293="",J293="",AND(A293="client",COUNTIF(الزبائن!$A$6:$A$505,B293)=0),AND(A293="proposed_name",COUNTIF('أسماء مقترحة'!$A$6:$A$505,B293)=0),AND(D293="mobile",J293&lt;&gt;"invalid",NOT(OR(AND(LEN(E293&amp;"")=10,LEFT(E293&amp;"",2)="09"),AND(LEN(E293&amp;"")=9,LEFT(E293&amp;"",1)="9")))),COUNTIFS($A$6:$A$505,A293,$B$6:$B$505,B293,$E$6:$E$505,E293)&gt;1),"REVIEW","READY"))</f>
        <v/>
      </c>
      <c r="N293" s="27" t="str">
        <f>IF(M293="","",IF(M293="READY","",TRIM(IF(A293="","missing entity_type; ","")&amp;IF(B293="","missing entity_key; ","")&amp;IF(C293="","missing contact_order; ","")&amp;IF(D293="","missing contact_type; ","")&amp;IF(E293="","missing number; ","")&amp;IF(J293="","missing status; ","")&amp;IF(AND(A293="client",COUNTIF(الزبائن!$A$6:$A$505,B293)=0),"client key not found; ","")&amp;IF(AND(A293="proposed_name",COUNTIF('أسماء مقترحة'!$A$6:$A$505,B293)=0),"proposed_name key not found; ","")&amp;IF(AND(D293="mobile",J293&lt;&gt;"invalid",NOT(OR(AND(LEN(E293&amp;"")=10,LEFT(E293&amp;"",2)="09"),AND(LEN(E293&amp;"")=9,LEFT(E293&amp;"",1)="9")))),"mobile must be 09XXXXXXXX or status invalid; ","")&amp;IF(COUNTIFS($A$6:$A$505,A293,$B$6:$B$505,B293,$E$6:$E$505,E293)&gt;1,"duplicate number for same entity; ",""))))</f>
        <v/>
      </c>
    </row>
    <row r="294" spans="1:14">
      <c r="A294" s="23"/>
      <c r="B294" s="24"/>
      <c r="C294" s="25"/>
      <c r="D294" s="25"/>
      <c r="E294" s="24"/>
      <c r="F294" s="24"/>
      <c r="G294" s="25"/>
      <c r="H294" s="25"/>
      <c r="I294" s="25"/>
      <c r="J294" s="25"/>
      <c r="K294" s="25"/>
      <c r="L294" s="25"/>
      <c r="M294" s="25" t="str">
        <f>IF(AND(A294="",B294="",E294=""),"",IF(OR(A294="",B294="",C294="",D294="",E294="",J294="",AND(A294="client",COUNTIF(الزبائن!$A$6:$A$505,B294)=0),AND(A294="proposed_name",COUNTIF('أسماء مقترحة'!$A$6:$A$505,B294)=0),AND(D294="mobile",J294&lt;&gt;"invalid",NOT(OR(AND(LEN(E294&amp;"")=10,LEFT(E294&amp;"",2)="09"),AND(LEN(E294&amp;"")=9,LEFT(E294&amp;"",1)="9")))),COUNTIFS($A$6:$A$505,A294,$B$6:$B$505,B294,$E$6:$E$505,E294)&gt;1),"REVIEW","READY"))</f>
        <v/>
      </c>
      <c r="N294" s="27" t="str">
        <f>IF(M294="","",IF(M294="READY","",TRIM(IF(A294="","missing entity_type; ","")&amp;IF(B294="","missing entity_key; ","")&amp;IF(C294="","missing contact_order; ","")&amp;IF(D294="","missing contact_type; ","")&amp;IF(E294="","missing number; ","")&amp;IF(J294="","missing status; ","")&amp;IF(AND(A294="client",COUNTIF(الزبائن!$A$6:$A$505,B294)=0),"client key not found; ","")&amp;IF(AND(A294="proposed_name",COUNTIF('أسماء مقترحة'!$A$6:$A$505,B294)=0),"proposed_name key not found; ","")&amp;IF(AND(D294="mobile",J294&lt;&gt;"invalid",NOT(OR(AND(LEN(E294&amp;"")=10,LEFT(E294&amp;"",2)="09"),AND(LEN(E294&amp;"")=9,LEFT(E294&amp;"",1)="9")))),"mobile must be 09XXXXXXXX or status invalid; ","")&amp;IF(COUNTIFS($A$6:$A$505,A294,$B$6:$B$505,B294,$E$6:$E$505,E294)&gt;1,"duplicate number for same entity; ",""))))</f>
        <v/>
      </c>
    </row>
    <row r="295" spans="1:14">
      <c r="A295" s="23"/>
      <c r="B295" s="24"/>
      <c r="C295" s="25"/>
      <c r="D295" s="25"/>
      <c r="E295" s="24"/>
      <c r="F295" s="24"/>
      <c r="G295" s="25"/>
      <c r="H295" s="25"/>
      <c r="I295" s="25"/>
      <c r="J295" s="25"/>
      <c r="K295" s="25"/>
      <c r="L295" s="25"/>
      <c r="M295" s="25" t="str">
        <f>IF(AND(A295="",B295="",E295=""),"",IF(OR(A295="",B295="",C295="",D295="",E295="",J295="",AND(A295="client",COUNTIF(الزبائن!$A$6:$A$505,B295)=0),AND(A295="proposed_name",COUNTIF('أسماء مقترحة'!$A$6:$A$505,B295)=0),AND(D295="mobile",J295&lt;&gt;"invalid",NOT(OR(AND(LEN(E295&amp;"")=10,LEFT(E295&amp;"",2)="09"),AND(LEN(E295&amp;"")=9,LEFT(E295&amp;"",1)="9")))),COUNTIFS($A$6:$A$505,A295,$B$6:$B$505,B295,$E$6:$E$505,E295)&gt;1),"REVIEW","READY"))</f>
        <v/>
      </c>
      <c r="N295" s="27" t="str">
        <f>IF(M295="","",IF(M295="READY","",TRIM(IF(A295="","missing entity_type; ","")&amp;IF(B295="","missing entity_key; ","")&amp;IF(C295="","missing contact_order; ","")&amp;IF(D295="","missing contact_type; ","")&amp;IF(E295="","missing number; ","")&amp;IF(J295="","missing status; ","")&amp;IF(AND(A295="client",COUNTIF(الزبائن!$A$6:$A$505,B295)=0),"client key not found; ","")&amp;IF(AND(A295="proposed_name",COUNTIF('أسماء مقترحة'!$A$6:$A$505,B295)=0),"proposed_name key not found; ","")&amp;IF(AND(D295="mobile",J295&lt;&gt;"invalid",NOT(OR(AND(LEN(E295&amp;"")=10,LEFT(E295&amp;"",2)="09"),AND(LEN(E295&amp;"")=9,LEFT(E295&amp;"",1)="9")))),"mobile must be 09XXXXXXXX or status invalid; ","")&amp;IF(COUNTIFS($A$6:$A$505,A295,$B$6:$B$505,B295,$E$6:$E$505,E295)&gt;1,"duplicate number for same entity; ",""))))</f>
        <v/>
      </c>
    </row>
    <row r="296" spans="1:14">
      <c r="A296" s="23"/>
      <c r="B296" s="24"/>
      <c r="C296" s="25"/>
      <c r="D296" s="25"/>
      <c r="E296" s="24"/>
      <c r="F296" s="24"/>
      <c r="G296" s="25"/>
      <c r="H296" s="25"/>
      <c r="I296" s="25"/>
      <c r="J296" s="25"/>
      <c r="K296" s="25"/>
      <c r="L296" s="25"/>
      <c r="M296" s="25" t="str">
        <f>IF(AND(A296="",B296="",E296=""),"",IF(OR(A296="",B296="",C296="",D296="",E296="",J296="",AND(A296="client",COUNTIF(الزبائن!$A$6:$A$505,B296)=0),AND(A296="proposed_name",COUNTIF('أسماء مقترحة'!$A$6:$A$505,B296)=0),AND(D296="mobile",J296&lt;&gt;"invalid",NOT(OR(AND(LEN(E296&amp;"")=10,LEFT(E296&amp;"",2)="09"),AND(LEN(E296&amp;"")=9,LEFT(E296&amp;"",1)="9")))),COUNTIFS($A$6:$A$505,A296,$B$6:$B$505,B296,$E$6:$E$505,E296)&gt;1),"REVIEW","READY"))</f>
        <v/>
      </c>
      <c r="N296" s="27" t="str">
        <f>IF(M296="","",IF(M296="READY","",TRIM(IF(A296="","missing entity_type; ","")&amp;IF(B296="","missing entity_key; ","")&amp;IF(C296="","missing contact_order; ","")&amp;IF(D296="","missing contact_type; ","")&amp;IF(E296="","missing number; ","")&amp;IF(J296="","missing status; ","")&amp;IF(AND(A296="client",COUNTIF(الزبائن!$A$6:$A$505,B296)=0),"client key not found; ","")&amp;IF(AND(A296="proposed_name",COUNTIF('أسماء مقترحة'!$A$6:$A$505,B296)=0),"proposed_name key not found; ","")&amp;IF(AND(D296="mobile",J296&lt;&gt;"invalid",NOT(OR(AND(LEN(E296&amp;"")=10,LEFT(E296&amp;"",2)="09"),AND(LEN(E296&amp;"")=9,LEFT(E296&amp;"",1)="9")))),"mobile must be 09XXXXXXXX or status invalid; ","")&amp;IF(COUNTIFS($A$6:$A$505,A296,$B$6:$B$505,B296,$E$6:$E$505,E296)&gt;1,"duplicate number for same entity; ",""))))</f>
        <v/>
      </c>
    </row>
    <row r="297" spans="1:14">
      <c r="A297" s="23"/>
      <c r="B297" s="24"/>
      <c r="C297" s="25"/>
      <c r="D297" s="25"/>
      <c r="E297" s="24"/>
      <c r="F297" s="24"/>
      <c r="G297" s="25"/>
      <c r="H297" s="25"/>
      <c r="I297" s="25"/>
      <c r="J297" s="25"/>
      <c r="K297" s="25"/>
      <c r="L297" s="25"/>
      <c r="M297" s="25" t="str">
        <f>IF(AND(A297="",B297="",E297=""),"",IF(OR(A297="",B297="",C297="",D297="",E297="",J297="",AND(A297="client",COUNTIF(الزبائن!$A$6:$A$505,B297)=0),AND(A297="proposed_name",COUNTIF('أسماء مقترحة'!$A$6:$A$505,B297)=0),AND(D297="mobile",J297&lt;&gt;"invalid",NOT(OR(AND(LEN(E297&amp;"")=10,LEFT(E297&amp;"",2)="09"),AND(LEN(E297&amp;"")=9,LEFT(E297&amp;"",1)="9")))),COUNTIFS($A$6:$A$505,A297,$B$6:$B$505,B297,$E$6:$E$505,E297)&gt;1),"REVIEW","READY"))</f>
        <v/>
      </c>
      <c r="N297" s="27" t="str">
        <f>IF(M297="","",IF(M297="READY","",TRIM(IF(A297="","missing entity_type; ","")&amp;IF(B297="","missing entity_key; ","")&amp;IF(C297="","missing contact_order; ","")&amp;IF(D297="","missing contact_type; ","")&amp;IF(E297="","missing number; ","")&amp;IF(J297="","missing status; ","")&amp;IF(AND(A297="client",COUNTIF(الزبائن!$A$6:$A$505,B297)=0),"client key not found; ","")&amp;IF(AND(A297="proposed_name",COUNTIF('أسماء مقترحة'!$A$6:$A$505,B297)=0),"proposed_name key not found; ","")&amp;IF(AND(D297="mobile",J297&lt;&gt;"invalid",NOT(OR(AND(LEN(E297&amp;"")=10,LEFT(E297&amp;"",2)="09"),AND(LEN(E297&amp;"")=9,LEFT(E297&amp;"",1)="9")))),"mobile must be 09XXXXXXXX or status invalid; ","")&amp;IF(COUNTIFS($A$6:$A$505,A297,$B$6:$B$505,B297,$E$6:$E$505,E297)&gt;1,"duplicate number for same entity; ",""))))</f>
        <v/>
      </c>
    </row>
    <row r="298" spans="1:14">
      <c r="A298" s="23"/>
      <c r="B298" s="24"/>
      <c r="C298" s="25"/>
      <c r="D298" s="25"/>
      <c r="E298" s="24"/>
      <c r="F298" s="24"/>
      <c r="G298" s="25"/>
      <c r="H298" s="25"/>
      <c r="I298" s="25"/>
      <c r="J298" s="25"/>
      <c r="K298" s="25"/>
      <c r="L298" s="25"/>
      <c r="M298" s="25" t="str">
        <f>IF(AND(A298="",B298="",E298=""),"",IF(OR(A298="",B298="",C298="",D298="",E298="",J298="",AND(A298="client",COUNTIF(الزبائن!$A$6:$A$505,B298)=0),AND(A298="proposed_name",COUNTIF('أسماء مقترحة'!$A$6:$A$505,B298)=0),AND(D298="mobile",J298&lt;&gt;"invalid",NOT(OR(AND(LEN(E298&amp;"")=10,LEFT(E298&amp;"",2)="09"),AND(LEN(E298&amp;"")=9,LEFT(E298&amp;"",1)="9")))),COUNTIFS($A$6:$A$505,A298,$B$6:$B$505,B298,$E$6:$E$505,E298)&gt;1),"REVIEW","READY"))</f>
        <v/>
      </c>
      <c r="N298" s="27" t="str">
        <f>IF(M298="","",IF(M298="READY","",TRIM(IF(A298="","missing entity_type; ","")&amp;IF(B298="","missing entity_key; ","")&amp;IF(C298="","missing contact_order; ","")&amp;IF(D298="","missing contact_type; ","")&amp;IF(E298="","missing number; ","")&amp;IF(J298="","missing status; ","")&amp;IF(AND(A298="client",COUNTIF(الزبائن!$A$6:$A$505,B298)=0),"client key not found; ","")&amp;IF(AND(A298="proposed_name",COUNTIF('أسماء مقترحة'!$A$6:$A$505,B298)=0),"proposed_name key not found; ","")&amp;IF(AND(D298="mobile",J298&lt;&gt;"invalid",NOT(OR(AND(LEN(E298&amp;"")=10,LEFT(E298&amp;"",2)="09"),AND(LEN(E298&amp;"")=9,LEFT(E298&amp;"",1)="9")))),"mobile must be 09XXXXXXXX or status invalid; ","")&amp;IF(COUNTIFS($A$6:$A$505,A298,$B$6:$B$505,B298,$E$6:$E$505,E298)&gt;1,"duplicate number for same entity; ",""))))</f>
        <v/>
      </c>
    </row>
    <row r="299" spans="1:14">
      <c r="A299" s="23"/>
      <c r="B299" s="24"/>
      <c r="C299" s="25"/>
      <c r="D299" s="25"/>
      <c r="E299" s="24"/>
      <c r="F299" s="24"/>
      <c r="G299" s="25"/>
      <c r="H299" s="25"/>
      <c r="I299" s="25"/>
      <c r="J299" s="25"/>
      <c r="K299" s="25"/>
      <c r="L299" s="25"/>
      <c r="M299" s="25" t="str">
        <f>IF(AND(A299="",B299="",E299=""),"",IF(OR(A299="",B299="",C299="",D299="",E299="",J299="",AND(A299="client",COUNTIF(الزبائن!$A$6:$A$505,B299)=0),AND(A299="proposed_name",COUNTIF('أسماء مقترحة'!$A$6:$A$505,B299)=0),AND(D299="mobile",J299&lt;&gt;"invalid",NOT(OR(AND(LEN(E299&amp;"")=10,LEFT(E299&amp;"",2)="09"),AND(LEN(E299&amp;"")=9,LEFT(E299&amp;"",1)="9")))),COUNTIFS($A$6:$A$505,A299,$B$6:$B$505,B299,$E$6:$E$505,E299)&gt;1),"REVIEW","READY"))</f>
        <v/>
      </c>
      <c r="N299" s="27" t="str">
        <f>IF(M299="","",IF(M299="READY","",TRIM(IF(A299="","missing entity_type; ","")&amp;IF(B299="","missing entity_key; ","")&amp;IF(C299="","missing contact_order; ","")&amp;IF(D299="","missing contact_type; ","")&amp;IF(E299="","missing number; ","")&amp;IF(J299="","missing status; ","")&amp;IF(AND(A299="client",COUNTIF(الزبائن!$A$6:$A$505,B299)=0),"client key not found; ","")&amp;IF(AND(A299="proposed_name",COUNTIF('أسماء مقترحة'!$A$6:$A$505,B299)=0),"proposed_name key not found; ","")&amp;IF(AND(D299="mobile",J299&lt;&gt;"invalid",NOT(OR(AND(LEN(E299&amp;"")=10,LEFT(E299&amp;"",2)="09"),AND(LEN(E299&amp;"")=9,LEFT(E299&amp;"",1)="9")))),"mobile must be 09XXXXXXXX or status invalid; ","")&amp;IF(COUNTIFS($A$6:$A$505,A299,$B$6:$B$505,B299,$E$6:$E$505,E299)&gt;1,"duplicate number for same entity; ",""))))</f>
        <v/>
      </c>
    </row>
    <row r="300" spans="1:14">
      <c r="A300" s="23"/>
      <c r="B300" s="24"/>
      <c r="C300" s="25"/>
      <c r="D300" s="25"/>
      <c r="E300" s="24"/>
      <c r="F300" s="24"/>
      <c r="G300" s="25"/>
      <c r="H300" s="25"/>
      <c r="I300" s="25"/>
      <c r="J300" s="25"/>
      <c r="K300" s="25"/>
      <c r="L300" s="25"/>
      <c r="M300" s="25" t="str">
        <f>IF(AND(A300="",B300="",E300=""),"",IF(OR(A300="",B300="",C300="",D300="",E300="",J300="",AND(A300="client",COUNTIF(الزبائن!$A$6:$A$505,B300)=0),AND(A300="proposed_name",COUNTIF('أسماء مقترحة'!$A$6:$A$505,B300)=0),AND(D300="mobile",J300&lt;&gt;"invalid",NOT(OR(AND(LEN(E300&amp;"")=10,LEFT(E300&amp;"",2)="09"),AND(LEN(E300&amp;"")=9,LEFT(E300&amp;"",1)="9")))),COUNTIFS($A$6:$A$505,A300,$B$6:$B$505,B300,$E$6:$E$505,E300)&gt;1),"REVIEW","READY"))</f>
        <v/>
      </c>
      <c r="N300" s="27" t="str">
        <f>IF(M300="","",IF(M300="READY","",TRIM(IF(A300="","missing entity_type; ","")&amp;IF(B300="","missing entity_key; ","")&amp;IF(C300="","missing contact_order; ","")&amp;IF(D300="","missing contact_type; ","")&amp;IF(E300="","missing number; ","")&amp;IF(J300="","missing status; ","")&amp;IF(AND(A300="client",COUNTIF(الزبائن!$A$6:$A$505,B300)=0),"client key not found; ","")&amp;IF(AND(A300="proposed_name",COUNTIF('أسماء مقترحة'!$A$6:$A$505,B300)=0),"proposed_name key not found; ","")&amp;IF(AND(D300="mobile",J300&lt;&gt;"invalid",NOT(OR(AND(LEN(E300&amp;"")=10,LEFT(E300&amp;"",2)="09"),AND(LEN(E300&amp;"")=9,LEFT(E300&amp;"",1)="9")))),"mobile must be 09XXXXXXXX or status invalid; ","")&amp;IF(COUNTIFS($A$6:$A$505,A300,$B$6:$B$505,B300,$E$6:$E$505,E300)&gt;1,"duplicate number for same entity; ",""))))</f>
        <v/>
      </c>
    </row>
    <row r="301" spans="1:14">
      <c r="A301" s="23"/>
      <c r="B301" s="24"/>
      <c r="C301" s="25"/>
      <c r="D301" s="25"/>
      <c r="E301" s="24"/>
      <c r="F301" s="24"/>
      <c r="G301" s="25"/>
      <c r="H301" s="25"/>
      <c r="I301" s="25"/>
      <c r="J301" s="25"/>
      <c r="K301" s="25"/>
      <c r="L301" s="25"/>
      <c r="M301" s="25" t="str">
        <f>IF(AND(A301="",B301="",E301=""),"",IF(OR(A301="",B301="",C301="",D301="",E301="",J301="",AND(A301="client",COUNTIF(الزبائن!$A$6:$A$505,B301)=0),AND(A301="proposed_name",COUNTIF('أسماء مقترحة'!$A$6:$A$505,B301)=0),AND(D301="mobile",J301&lt;&gt;"invalid",NOT(OR(AND(LEN(E301&amp;"")=10,LEFT(E301&amp;"",2)="09"),AND(LEN(E301&amp;"")=9,LEFT(E301&amp;"",1)="9")))),COUNTIFS($A$6:$A$505,A301,$B$6:$B$505,B301,$E$6:$E$505,E301)&gt;1),"REVIEW","READY"))</f>
        <v/>
      </c>
      <c r="N301" s="27" t="str">
        <f>IF(M301="","",IF(M301="READY","",TRIM(IF(A301="","missing entity_type; ","")&amp;IF(B301="","missing entity_key; ","")&amp;IF(C301="","missing contact_order; ","")&amp;IF(D301="","missing contact_type; ","")&amp;IF(E301="","missing number; ","")&amp;IF(J301="","missing status; ","")&amp;IF(AND(A301="client",COUNTIF(الزبائن!$A$6:$A$505,B301)=0),"client key not found; ","")&amp;IF(AND(A301="proposed_name",COUNTIF('أسماء مقترحة'!$A$6:$A$505,B301)=0),"proposed_name key not found; ","")&amp;IF(AND(D301="mobile",J301&lt;&gt;"invalid",NOT(OR(AND(LEN(E301&amp;"")=10,LEFT(E301&amp;"",2)="09"),AND(LEN(E301&amp;"")=9,LEFT(E301&amp;"",1)="9")))),"mobile must be 09XXXXXXXX or status invalid; ","")&amp;IF(COUNTIFS($A$6:$A$505,A301,$B$6:$B$505,B301,$E$6:$E$505,E301)&gt;1,"duplicate number for same entity; ",""))))</f>
        <v/>
      </c>
    </row>
    <row r="302" spans="1:14">
      <c r="A302" s="23"/>
      <c r="B302" s="24"/>
      <c r="C302" s="25"/>
      <c r="D302" s="25"/>
      <c r="E302" s="24"/>
      <c r="F302" s="24"/>
      <c r="G302" s="25"/>
      <c r="H302" s="25"/>
      <c r="I302" s="25"/>
      <c r="J302" s="25"/>
      <c r="K302" s="25"/>
      <c r="L302" s="25"/>
      <c r="M302" s="25" t="str">
        <f>IF(AND(A302="",B302="",E302=""),"",IF(OR(A302="",B302="",C302="",D302="",E302="",J302="",AND(A302="client",COUNTIF(الزبائن!$A$6:$A$505,B302)=0),AND(A302="proposed_name",COUNTIF('أسماء مقترحة'!$A$6:$A$505,B302)=0),AND(D302="mobile",J302&lt;&gt;"invalid",NOT(OR(AND(LEN(E302&amp;"")=10,LEFT(E302&amp;"",2)="09"),AND(LEN(E302&amp;"")=9,LEFT(E302&amp;"",1)="9")))),COUNTIFS($A$6:$A$505,A302,$B$6:$B$505,B302,$E$6:$E$505,E302)&gt;1),"REVIEW","READY"))</f>
        <v/>
      </c>
      <c r="N302" s="27" t="str">
        <f>IF(M302="","",IF(M302="READY","",TRIM(IF(A302="","missing entity_type; ","")&amp;IF(B302="","missing entity_key; ","")&amp;IF(C302="","missing contact_order; ","")&amp;IF(D302="","missing contact_type; ","")&amp;IF(E302="","missing number; ","")&amp;IF(J302="","missing status; ","")&amp;IF(AND(A302="client",COUNTIF(الزبائن!$A$6:$A$505,B302)=0),"client key not found; ","")&amp;IF(AND(A302="proposed_name",COUNTIF('أسماء مقترحة'!$A$6:$A$505,B302)=0),"proposed_name key not found; ","")&amp;IF(AND(D302="mobile",J302&lt;&gt;"invalid",NOT(OR(AND(LEN(E302&amp;"")=10,LEFT(E302&amp;"",2)="09"),AND(LEN(E302&amp;"")=9,LEFT(E302&amp;"",1)="9")))),"mobile must be 09XXXXXXXX or status invalid; ","")&amp;IF(COUNTIFS($A$6:$A$505,A302,$B$6:$B$505,B302,$E$6:$E$505,E302)&gt;1,"duplicate number for same entity; ",""))))</f>
        <v/>
      </c>
    </row>
    <row r="303" spans="1:14">
      <c r="A303" s="23"/>
      <c r="B303" s="24"/>
      <c r="C303" s="25"/>
      <c r="D303" s="25"/>
      <c r="E303" s="24"/>
      <c r="F303" s="24"/>
      <c r="G303" s="25"/>
      <c r="H303" s="25"/>
      <c r="I303" s="25"/>
      <c r="J303" s="25"/>
      <c r="K303" s="25"/>
      <c r="L303" s="25"/>
      <c r="M303" s="25" t="str">
        <f>IF(AND(A303="",B303="",E303=""),"",IF(OR(A303="",B303="",C303="",D303="",E303="",J303="",AND(A303="client",COUNTIF(الزبائن!$A$6:$A$505,B303)=0),AND(A303="proposed_name",COUNTIF('أسماء مقترحة'!$A$6:$A$505,B303)=0),AND(D303="mobile",J303&lt;&gt;"invalid",NOT(OR(AND(LEN(E303&amp;"")=10,LEFT(E303&amp;"",2)="09"),AND(LEN(E303&amp;"")=9,LEFT(E303&amp;"",1)="9")))),COUNTIFS($A$6:$A$505,A303,$B$6:$B$505,B303,$E$6:$E$505,E303)&gt;1),"REVIEW","READY"))</f>
        <v/>
      </c>
      <c r="N303" s="27" t="str">
        <f>IF(M303="","",IF(M303="READY","",TRIM(IF(A303="","missing entity_type; ","")&amp;IF(B303="","missing entity_key; ","")&amp;IF(C303="","missing contact_order; ","")&amp;IF(D303="","missing contact_type; ","")&amp;IF(E303="","missing number; ","")&amp;IF(J303="","missing status; ","")&amp;IF(AND(A303="client",COUNTIF(الزبائن!$A$6:$A$505,B303)=0),"client key not found; ","")&amp;IF(AND(A303="proposed_name",COUNTIF('أسماء مقترحة'!$A$6:$A$505,B303)=0),"proposed_name key not found; ","")&amp;IF(AND(D303="mobile",J303&lt;&gt;"invalid",NOT(OR(AND(LEN(E303&amp;"")=10,LEFT(E303&amp;"",2)="09"),AND(LEN(E303&amp;"")=9,LEFT(E303&amp;"",1)="9")))),"mobile must be 09XXXXXXXX or status invalid; ","")&amp;IF(COUNTIFS($A$6:$A$505,A303,$B$6:$B$505,B303,$E$6:$E$505,E303)&gt;1,"duplicate number for same entity; ",""))))</f>
        <v/>
      </c>
    </row>
    <row r="304" spans="1:14">
      <c r="A304" s="23"/>
      <c r="B304" s="24"/>
      <c r="C304" s="25"/>
      <c r="D304" s="25"/>
      <c r="E304" s="24"/>
      <c r="F304" s="24"/>
      <c r="G304" s="25"/>
      <c r="H304" s="25"/>
      <c r="I304" s="25"/>
      <c r="J304" s="25"/>
      <c r="K304" s="25"/>
      <c r="L304" s="25"/>
      <c r="M304" s="25" t="str">
        <f>IF(AND(A304="",B304="",E304=""),"",IF(OR(A304="",B304="",C304="",D304="",E304="",J304="",AND(A304="client",COUNTIF(الزبائن!$A$6:$A$505,B304)=0),AND(A304="proposed_name",COUNTIF('أسماء مقترحة'!$A$6:$A$505,B304)=0),AND(D304="mobile",J304&lt;&gt;"invalid",NOT(OR(AND(LEN(E304&amp;"")=10,LEFT(E304&amp;"",2)="09"),AND(LEN(E304&amp;"")=9,LEFT(E304&amp;"",1)="9")))),COUNTIFS($A$6:$A$505,A304,$B$6:$B$505,B304,$E$6:$E$505,E304)&gt;1),"REVIEW","READY"))</f>
        <v/>
      </c>
      <c r="N304" s="27" t="str">
        <f>IF(M304="","",IF(M304="READY","",TRIM(IF(A304="","missing entity_type; ","")&amp;IF(B304="","missing entity_key; ","")&amp;IF(C304="","missing contact_order; ","")&amp;IF(D304="","missing contact_type; ","")&amp;IF(E304="","missing number; ","")&amp;IF(J304="","missing status; ","")&amp;IF(AND(A304="client",COUNTIF(الزبائن!$A$6:$A$505,B304)=0),"client key not found; ","")&amp;IF(AND(A304="proposed_name",COUNTIF('أسماء مقترحة'!$A$6:$A$505,B304)=0),"proposed_name key not found; ","")&amp;IF(AND(D304="mobile",J304&lt;&gt;"invalid",NOT(OR(AND(LEN(E304&amp;"")=10,LEFT(E304&amp;"",2)="09"),AND(LEN(E304&amp;"")=9,LEFT(E304&amp;"",1)="9")))),"mobile must be 09XXXXXXXX or status invalid; ","")&amp;IF(COUNTIFS($A$6:$A$505,A304,$B$6:$B$505,B304,$E$6:$E$505,E304)&gt;1,"duplicate number for same entity; ",""))))</f>
        <v/>
      </c>
    </row>
    <row r="305" spans="1:14">
      <c r="A305" s="23"/>
      <c r="B305" s="24"/>
      <c r="C305" s="25"/>
      <c r="D305" s="25"/>
      <c r="E305" s="24"/>
      <c r="F305" s="24"/>
      <c r="G305" s="25"/>
      <c r="H305" s="25"/>
      <c r="I305" s="25"/>
      <c r="J305" s="25"/>
      <c r="K305" s="25"/>
      <c r="L305" s="25"/>
      <c r="M305" s="25" t="str">
        <f>IF(AND(A305="",B305="",E305=""),"",IF(OR(A305="",B305="",C305="",D305="",E305="",J305="",AND(A305="client",COUNTIF(الزبائن!$A$6:$A$505,B305)=0),AND(A305="proposed_name",COUNTIF('أسماء مقترحة'!$A$6:$A$505,B305)=0),AND(D305="mobile",J305&lt;&gt;"invalid",NOT(OR(AND(LEN(E305&amp;"")=10,LEFT(E305&amp;"",2)="09"),AND(LEN(E305&amp;"")=9,LEFT(E305&amp;"",1)="9")))),COUNTIFS($A$6:$A$505,A305,$B$6:$B$505,B305,$E$6:$E$505,E305)&gt;1),"REVIEW","READY"))</f>
        <v/>
      </c>
      <c r="N305" s="27" t="str">
        <f>IF(M305="","",IF(M305="READY","",TRIM(IF(A305="","missing entity_type; ","")&amp;IF(B305="","missing entity_key; ","")&amp;IF(C305="","missing contact_order; ","")&amp;IF(D305="","missing contact_type; ","")&amp;IF(E305="","missing number; ","")&amp;IF(J305="","missing status; ","")&amp;IF(AND(A305="client",COUNTIF(الزبائن!$A$6:$A$505,B305)=0),"client key not found; ","")&amp;IF(AND(A305="proposed_name",COUNTIF('أسماء مقترحة'!$A$6:$A$505,B305)=0),"proposed_name key not found; ","")&amp;IF(AND(D305="mobile",J305&lt;&gt;"invalid",NOT(OR(AND(LEN(E305&amp;"")=10,LEFT(E305&amp;"",2)="09"),AND(LEN(E305&amp;"")=9,LEFT(E305&amp;"",1)="9")))),"mobile must be 09XXXXXXXX or status invalid; ","")&amp;IF(COUNTIFS($A$6:$A$505,A305,$B$6:$B$505,B305,$E$6:$E$505,E305)&gt;1,"duplicate number for same entity; ",""))))</f>
        <v/>
      </c>
    </row>
    <row r="306" spans="1:14">
      <c r="A306" s="23"/>
      <c r="B306" s="24"/>
      <c r="C306" s="25"/>
      <c r="D306" s="25"/>
      <c r="E306" s="24"/>
      <c r="F306" s="24"/>
      <c r="G306" s="25"/>
      <c r="H306" s="25"/>
      <c r="I306" s="25"/>
      <c r="J306" s="25"/>
      <c r="K306" s="25"/>
      <c r="L306" s="25"/>
      <c r="M306" s="25" t="str">
        <f>IF(AND(A306="",B306="",E306=""),"",IF(OR(A306="",B306="",C306="",D306="",E306="",J306="",AND(A306="client",COUNTIF(الزبائن!$A$6:$A$505,B306)=0),AND(A306="proposed_name",COUNTIF('أسماء مقترحة'!$A$6:$A$505,B306)=0),AND(D306="mobile",J306&lt;&gt;"invalid",NOT(OR(AND(LEN(E306&amp;"")=10,LEFT(E306&amp;"",2)="09"),AND(LEN(E306&amp;"")=9,LEFT(E306&amp;"",1)="9")))),COUNTIFS($A$6:$A$505,A306,$B$6:$B$505,B306,$E$6:$E$505,E306)&gt;1),"REVIEW","READY"))</f>
        <v/>
      </c>
      <c r="N306" s="27" t="str">
        <f>IF(M306="","",IF(M306="READY","",TRIM(IF(A306="","missing entity_type; ","")&amp;IF(B306="","missing entity_key; ","")&amp;IF(C306="","missing contact_order; ","")&amp;IF(D306="","missing contact_type; ","")&amp;IF(E306="","missing number; ","")&amp;IF(J306="","missing status; ","")&amp;IF(AND(A306="client",COUNTIF(الزبائن!$A$6:$A$505,B306)=0),"client key not found; ","")&amp;IF(AND(A306="proposed_name",COUNTIF('أسماء مقترحة'!$A$6:$A$505,B306)=0),"proposed_name key not found; ","")&amp;IF(AND(D306="mobile",J306&lt;&gt;"invalid",NOT(OR(AND(LEN(E306&amp;"")=10,LEFT(E306&amp;"",2)="09"),AND(LEN(E306&amp;"")=9,LEFT(E306&amp;"",1)="9")))),"mobile must be 09XXXXXXXX or status invalid; ","")&amp;IF(COUNTIFS($A$6:$A$505,A306,$B$6:$B$505,B306,$E$6:$E$505,E306)&gt;1,"duplicate number for same entity; ",""))))</f>
        <v/>
      </c>
    </row>
    <row r="307" spans="1:14">
      <c r="A307" s="23"/>
      <c r="B307" s="24"/>
      <c r="C307" s="25"/>
      <c r="D307" s="25"/>
      <c r="E307" s="24"/>
      <c r="F307" s="24"/>
      <c r="G307" s="25"/>
      <c r="H307" s="25"/>
      <c r="I307" s="25"/>
      <c r="J307" s="25"/>
      <c r="K307" s="25"/>
      <c r="L307" s="25"/>
      <c r="M307" s="25" t="str">
        <f>IF(AND(A307="",B307="",E307=""),"",IF(OR(A307="",B307="",C307="",D307="",E307="",J307="",AND(A307="client",COUNTIF(الزبائن!$A$6:$A$505,B307)=0),AND(A307="proposed_name",COUNTIF('أسماء مقترحة'!$A$6:$A$505,B307)=0),AND(D307="mobile",J307&lt;&gt;"invalid",NOT(OR(AND(LEN(E307&amp;"")=10,LEFT(E307&amp;"",2)="09"),AND(LEN(E307&amp;"")=9,LEFT(E307&amp;"",1)="9")))),COUNTIFS($A$6:$A$505,A307,$B$6:$B$505,B307,$E$6:$E$505,E307)&gt;1),"REVIEW","READY"))</f>
        <v/>
      </c>
      <c r="N307" s="27" t="str">
        <f>IF(M307="","",IF(M307="READY","",TRIM(IF(A307="","missing entity_type; ","")&amp;IF(B307="","missing entity_key; ","")&amp;IF(C307="","missing contact_order; ","")&amp;IF(D307="","missing contact_type; ","")&amp;IF(E307="","missing number; ","")&amp;IF(J307="","missing status; ","")&amp;IF(AND(A307="client",COUNTIF(الزبائن!$A$6:$A$505,B307)=0),"client key not found; ","")&amp;IF(AND(A307="proposed_name",COUNTIF('أسماء مقترحة'!$A$6:$A$505,B307)=0),"proposed_name key not found; ","")&amp;IF(AND(D307="mobile",J307&lt;&gt;"invalid",NOT(OR(AND(LEN(E307&amp;"")=10,LEFT(E307&amp;"",2)="09"),AND(LEN(E307&amp;"")=9,LEFT(E307&amp;"",1)="9")))),"mobile must be 09XXXXXXXX or status invalid; ","")&amp;IF(COUNTIFS($A$6:$A$505,A307,$B$6:$B$505,B307,$E$6:$E$505,E307)&gt;1,"duplicate number for same entity; ",""))))</f>
        <v/>
      </c>
    </row>
    <row r="308" spans="1:14">
      <c r="A308" s="23"/>
      <c r="B308" s="24"/>
      <c r="C308" s="25"/>
      <c r="D308" s="25"/>
      <c r="E308" s="24"/>
      <c r="F308" s="24"/>
      <c r="G308" s="25"/>
      <c r="H308" s="25"/>
      <c r="I308" s="25"/>
      <c r="J308" s="25"/>
      <c r="K308" s="25"/>
      <c r="L308" s="25"/>
      <c r="M308" s="25" t="str">
        <f>IF(AND(A308="",B308="",E308=""),"",IF(OR(A308="",B308="",C308="",D308="",E308="",J308="",AND(A308="client",COUNTIF(الزبائن!$A$6:$A$505,B308)=0),AND(A308="proposed_name",COUNTIF('أسماء مقترحة'!$A$6:$A$505,B308)=0),AND(D308="mobile",J308&lt;&gt;"invalid",NOT(OR(AND(LEN(E308&amp;"")=10,LEFT(E308&amp;"",2)="09"),AND(LEN(E308&amp;"")=9,LEFT(E308&amp;"",1)="9")))),COUNTIFS($A$6:$A$505,A308,$B$6:$B$505,B308,$E$6:$E$505,E308)&gt;1),"REVIEW","READY"))</f>
        <v/>
      </c>
      <c r="N308" s="27" t="str">
        <f>IF(M308="","",IF(M308="READY","",TRIM(IF(A308="","missing entity_type; ","")&amp;IF(B308="","missing entity_key; ","")&amp;IF(C308="","missing contact_order; ","")&amp;IF(D308="","missing contact_type; ","")&amp;IF(E308="","missing number; ","")&amp;IF(J308="","missing status; ","")&amp;IF(AND(A308="client",COUNTIF(الزبائن!$A$6:$A$505,B308)=0),"client key not found; ","")&amp;IF(AND(A308="proposed_name",COUNTIF('أسماء مقترحة'!$A$6:$A$505,B308)=0),"proposed_name key not found; ","")&amp;IF(AND(D308="mobile",J308&lt;&gt;"invalid",NOT(OR(AND(LEN(E308&amp;"")=10,LEFT(E308&amp;"",2)="09"),AND(LEN(E308&amp;"")=9,LEFT(E308&amp;"",1)="9")))),"mobile must be 09XXXXXXXX or status invalid; ","")&amp;IF(COUNTIFS($A$6:$A$505,A308,$B$6:$B$505,B308,$E$6:$E$505,E308)&gt;1,"duplicate number for same entity; ",""))))</f>
        <v/>
      </c>
    </row>
    <row r="309" spans="1:14">
      <c r="A309" s="23"/>
      <c r="B309" s="24"/>
      <c r="C309" s="25"/>
      <c r="D309" s="25"/>
      <c r="E309" s="24"/>
      <c r="F309" s="24"/>
      <c r="G309" s="25"/>
      <c r="H309" s="25"/>
      <c r="I309" s="25"/>
      <c r="J309" s="25"/>
      <c r="K309" s="25"/>
      <c r="L309" s="25"/>
      <c r="M309" s="25" t="str">
        <f>IF(AND(A309="",B309="",E309=""),"",IF(OR(A309="",B309="",C309="",D309="",E309="",J309="",AND(A309="client",COUNTIF(الزبائن!$A$6:$A$505,B309)=0),AND(A309="proposed_name",COUNTIF('أسماء مقترحة'!$A$6:$A$505,B309)=0),AND(D309="mobile",J309&lt;&gt;"invalid",NOT(OR(AND(LEN(E309&amp;"")=10,LEFT(E309&amp;"",2)="09"),AND(LEN(E309&amp;"")=9,LEFT(E309&amp;"",1)="9")))),COUNTIFS($A$6:$A$505,A309,$B$6:$B$505,B309,$E$6:$E$505,E309)&gt;1),"REVIEW","READY"))</f>
        <v/>
      </c>
      <c r="N309" s="27" t="str">
        <f>IF(M309="","",IF(M309="READY","",TRIM(IF(A309="","missing entity_type; ","")&amp;IF(B309="","missing entity_key; ","")&amp;IF(C309="","missing contact_order; ","")&amp;IF(D309="","missing contact_type; ","")&amp;IF(E309="","missing number; ","")&amp;IF(J309="","missing status; ","")&amp;IF(AND(A309="client",COUNTIF(الزبائن!$A$6:$A$505,B309)=0),"client key not found; ","")&amp;IF(AND(A309="proposed_name",COUNTIF('أسماء مقترحة'!$A$6:$A$505,B309)=0),"proposed_name key not found; ","")&amp;IF(AND(D309="mobile",J309&lt;&gt;"invalid",NOT(OR(AND(LEN(E309&amp;"")=10,LEFT(E309&amp;"",2)="09"),AND(LEN(E309&amp;"")=9,LEFT(E309&amp;"",1)="9")))),"mobile must be 09XXXXXXXX or status invalid; ","")&amp;IF(COUNTIFS($A$6:$A$505,A309,$B$6:$B$505,B309,$E$6:$E$505,E309)&gt;1,"duplicate number for same entity; ",""))))</f>
        <v/>
      </c>
    </row>
    <row r="310" spans="1:14">
      <c r="A310" s="23"/>
      <c r="B310" s="24"/>
      <c r="C310" s="25"/>
      <c r="D310" s="25"/>
      <c r="E310" s="24"/>
      <c r="F310" s="24"/>
      <c r="G310" s="25"/>
      <c r="H310" s="25"/>
      <c r="I310" s="25"/>
      <c r="J310" s="25"/>
      <c r="K310" s="25"/>
      <c r="L310" s="25"/>
      <c r="M310" s="25" t="str">
        <f>IF(AND(A310="",B310="",E310=""),"",IF(OR(A310="",B310="",C310="",D310="",E310="",J310="",AND(A310="client",COUNTIF(الزبائن!$A$6:$A$505,B310)=0),AND(A310="proposed_name",COUNTIF('أسماء مقترحة'!$A$6:$A$505,B310)=0),AND(D310="mobile",J310&lt;&gt;"invalid",NOT(OR(AND(LEN(E310&amp;"")=10,LEFT(E310&amp;"",2)="09"),AND(LEN(E310&amp;"")=9,LEFT(E310&amp;"",1)="9")))),COUNTIFS($A$6:$A$505,A310,$B$6:$B$505,B310,$E$6:$E$505,E310)&gt;1),"REVIEW","READY"))</f>
        <v/>
      </c>
      <c r="N310" s="27" t="str">
        <f>IF(M310="","",IF(M310="READY","",TRIM(IF(A310="","missing entity_type; ","")&amp;IF(B310="","missing entity_key; ","")&amp;IF(C310="","missing contact_order; ","")&amp;IF(D310="","missing contact_type; ","")&amp;IF(E310="","missing number; ","")&amp;IF(J310="","missing status; ","")&amp;IF(AND(A310="client",COUNTIF(الزبائن!$A$6:$A$505,B310)=0),"client key not found; ","")&amp;IF(AND(A310="proposed_name",COUNTIF('أسماء مقترحة'!$A$6:$A$505,B310)=0),"proposed_name key not found; ","")&amp;IF(AND(D310="mobile",J310&lt;&gt;"invalid",NOT(OR(AND(LEN(E310&amp;"")=10,LEFT(E310&amp;"",2)="09"),AND(LEN(E310&amp;"")=9,LEFT(E310&amp;"",1)="9")))),"mobile must be 09XXXXXXXX or status invalid; ","")&amp;IF(COUNTIFS($A$6:$A$505,A310,$B$6:$B$505,B310,$E$6:$E$505,E310)&gt;1,"duplicate number for same entity; ",""))))</f>
        <v/>
      </c>
    </row>
    <row r="311" spans="1:14">
      <c r="A311" s="23"/>
      <c r="B311" s="24"/>
      <c r="C311" s="25"/>
      <c r="D311" s="25"/>
      <c r="E311" s="24"/>
      <c r="F311" s="24"/>
      <c r="G311" s="25"/>
      <c r="H311" s="25"/>
      <c r="I311" s="25"/>
      <c r="J311" s="25"/>
      <c r="K311" s="25"/>
      <c r="L311" s="25"/>
      <c r="M311" s="25" t="str">
        <f>IF(AND(A311="",B311="",E311=""),"",IF(OR(A311="",B311="",C311="",D311="",E311="",J311="",AND(A311="client",COUNTIF(الزبائن!$A$6:$A$505,B311)=0),AND(A311="proposed_name",COUNTIF('أسماء مقترحة'!$A$6:$A$505,B311)=0),AND(D311="mobile",J311&lt;&gt;"invalid",NOT(OR(AND(LEN(E311&amp;"")=10,LEFT(E311&amp;"",2)="09"),AND(LEN(E311&amp;"")=9,LEFT(E311&amp;"",1)="9")))),COUNTIFS($A$6:$A$505,A311,$B$6:$B$505,B311,$E$6:$E$505,E311)&gt;1),"REVIEW","READY"))</f>
        <v/>
      </c>
      <c r="N311" s="27" t="str">
        <f>IF(M311="","",IF(M311="READY","",TRIM(IF(A311="","missing entity_type; ","")&amp;IF(B311="","missing entity_key; ","")&amp;IF(C311="","missing contact_order; ","")&amp;IF(D311="","missing contact_type; ","")&amp;IF(E311="","missing number; ","")&amp;IF(J311="","missing status; ","")&amp;IF(AND(A311="client",COUNTIF(الزبائن!$A$6:$A$505,B311)=0),"client key not found; ","")&amp;IF(AND(A311="proposed_name",COUNTIF('أسماء مقترحة'!$A$6:$A$505,B311)=0),"proposed_name key not found; ","")&amp;IF(AND(D311="mobile",J311&lt;&gt;"invalid",NOT(OR(AND(LEN(E311&amp;"")=10,LEFT(E311&amp;"",2)="09"),AND(LEN(E311&amp;"")=9,LEFT(E311&amp;"",1)="9")))),"mobile must be 09XXXXXXXX or status invalid; ","")&amp;IF(COUNTIFS($A$6:$A$505,A311,$B$6:$B$505,B311,$E$6:$E$505,E311)&gt;1,"duplicate number for same entity; ",""))))</f>
        <v/>
      </c>
    </row>
    <row r="312" spans="1:14">
      <c r="A312" s="23"/>
      <c r="B312" s="24"/>
      <c r="C312" s="25"/>
      <c r="D312" s="25"/>
      <c r="E312" s="24"/>
      <c r="F312" s="24"/>
      <c r="G312" s="25"/>
      <c r="H312" s="25"/>
      <c r="I312" s="25"/>
      <c r="J312" s="25"/>
      <c r="K312" s="25"/>
      <c r="L312" s="25"/>
      <c r="M312" s="25" t="str">
        <f>IF(AND(A312="",B312="",E312=""),"",IF(OR(A312="",B312="",C312="",D312="",E312="",J312="",AND(A312="client",COUNTIF(الزبائن!$A$6:$A$505,B312)=0),AND(A312="proposed_name",COUNTIF('أسماء مقترحة'!$A$6:$A$505,B312)=0),AND(D312="mobile",J312&lt;&gt;"invalid",NOT(OR(AND(LEN(E312&amp;"")=10,LEFT(E312&amp;"",2)="09"),AND(LEN(E312&amp;"")=9,LEFT(E312&amp;"",1)="9")))),COUNTIFS($A$6:$A$505,A312,$B$6:$B$505,B312,$E$6:$E$505,E312)&gt;1),"REVIEW","READY"))</f>
        <v/>
      </c>
      <c r="N312" s="27" t="str">
        <f>IF(M312="","",IF(M312="READY","",TRIM(IF(A312="","missing entity_type; ","")&amp;IF(B312="","missing entity_key; ","")&amp;IF(C312="","missing contact_order; ","")&amp;IF(D312="","missing contact_type; ","")&amp;IF(E312="","missing number; ","")&amp;IF(J312="","missing status; ","")&amp;IF(AND(A312="client",COUNTIF(الزبائن!$A$6:$A$505,B312)=0),"client key not found; ","")&amp;IF(AND(A312="proposed_name",COUNTIF('أسماء مقترحة'!$A$6:$A$505,B312)=0),"proposed_name key not found; ","")&amp;IF(AND(D312="mobile",J312&lt;&gt;"invalid",NOT(OR(AND(LEN(E312&amp;"")=10,LEFT(E312&amp;"",2)="09"),AND(LEN(E312&amp;"")=9,LEFT(E312&amp;"",1)="9")))),"mobile must be 09XXXXXXXX or status invalid; ","")&amp;IF(COUNTIFS($A$6:$A$505,A312,$B$6:$B$505,B312,$E$6:$E$505,E312)&gt;1,"duplicate number for same entity; ",""))))</f>
        <v/>
      </c>
    </row>
    <row r="313" spans="1:14">
      <c r="A313" s="23"/>
      <c r="B313" s="24"/>
      <c r="C313" s="25"/>
      <c r="D313" s="25"/>
      <c r="E313" s="24"/>
      <c r="F313" s="24"/>
      <c r="G313" s="25"/>
      <c r="H313" s="25"/>
      <c r="I313" s="25"/>
      <c r="J313" s="25"/>
      <c r="K313" s="25"/>
      <c r="L313" s="25"/>
      <c r="M313" s="25" t="str">
        <f>IF(AND(A313="",B313="",E313=""),"",IF(OR(A313="",B313="",C313="",D313="",E313="",J313="",AND(A313="client",COUNTIF(الزبائن!$A$6:$A$505,B313)=0),AND(A313="proposed_name",COUNTIF('أسماء مقترحة'!$A$6:$A$505,B313)=0),AND(D313="mobile",J313&lt;&gt;"invalid",NOT(OR(AND(LEN(E313&amp;"")=10,LEFT(E313&amp;"",2)="09"),AND(LEN(E313&amp;"")=9,LEFT(E313&amp;"",1)="9")))),COUNTIFS($A$6:$A$505,A313,$B$6:$B$505,B313,$E$6:$E$505,E313)&gt;1),"REVIEW","READY"))</f>
        <v/>
      </c>
      <c r="N313" s="27" t="str">
        <f>IF(M313="","",IF(M313="READY","",TRIM(IF(A313="","missing entity_type; ","")&amp;IF(B313="","missing entity_key; ","")&amp;IF(C313="","missing contact_order; ","")&amp;IF(D313="","missing contact_type; ","")&amp;IF(E313="","missing number; ","")&amp;IF(J313="","missing status; ","")&amp;IF(AND(A313="client",COUNTIF(الزبائن!$A$6:$A$505,B313)=0),"client key not found; ","")&amp;IF(AND(A313="proposed_name",COUNTIF('أسماء مقترحة'!$A$6:$A$505,B313)=0),"proposed_name key not found; ","")&amp;IF(AND(D313="mobile",J313&lt;&gt;"invalid",NOT(OR(AND(LEN(E313&amp;"")=10,LEFT(E313&amp;"",2)="09"),AND(LEN(E313&amp;"")=9,LEFT(E313&amp;"",1)="9")))),"mobile must be 09XXXXXXXX or status invalid; ","")&amp;IF(COUNTIFS($A$6:$A$505,A313,$B$6:$B$505,B313,$E$6:$E$505,E313)&gt;1,"duplicate number for same entity; ",""))))</f>
        <v/>
      </c>
    </row>
    <row r="314" spans="1:14">
      <c r="A314" s="23"/>
      <c r="B314" s="24"/>
      <c r="C314" s="25"/>
      <c r="D314" s="25"/>
      <c r="E314" s="24"/>
      <c r="F314" s="24"/>
      <c r="G314" s="25"/>
      <c r="H314" s="25"/>
      <c r="I314" s="25"/>
      <c r="J314" s="25"/>
      <c r="K314" s="25"/>
      <c r="L314" s="25"/>
      <c r="M314" s="25" t="str">
        <f>IF(AND(A314="",B314="",E314=""),"",IF(OR(A314="",B314="",C314="",D314="",E314="",J314="",AND(A314="client",COUNTIF(الزبائن!$A$6:$A$505,B314)=0),AND(A314="proposed_name",COUNTIF('أسماء مقترحة'!$A$6:$A$505,B314)=0),AND(D314="mobile",J314&lt;&gt;"invalid",NOT(OR(AND(LEN(E314&amp;"")=10,LEFT(E314&amp;"",2)="09"),AND(LEN(E314&amp;"")=9,LEFT(E314&amp;"",1)="9")))),COUNTIFS($A$6:$A$505,A314,$B$6:$B$505,B314,$E$6:$E$505,E314)&gt;1),"REVIEW","READY"))</f>
        <v/>
      </c>
      <c r="N314" s="27" t="str">
        <f>IF(M314="","",IF(M314="READY","",TRIM(IF(A314="","missing entity_type; ","")&amp;IF(B314="","missing entity_key; ","")&amp;IF(C314="","missing contact_order; ","")&amp;IF(D314="","missing contact_type; ","")&amp;IF(E314="","missing number; ","")&amp;IF(J314="","missing status; ","")&amp;IF(AND(A314="client",COUNTIF(الزبائن!$A$6:$A$505,B314)=0),"client key not found; ","")&amp;IF(AND(A314="proposed_name",COUNTIF('أسماء مقترحة'!$A$6:$A$505,B314)=0),"proposed_name key not found; ","")&amp;IF(AND(D314="mobile",J314&lt;&gt;"invalid",NOT(OR(AND(LEN(E314&amp;"")=10,LEFT(E314&amp;"",2)="09"),AND(LEN(E314&amp;"")=9,LEFT(E314&amp;"",1)="9")))),"mobile must be 09XXXXXXXX or status invalid; ","")&amp;IF(COUNTIFS($A$6:$A$505,A314,$B$6:$B$505,B314,$E$6:$E$505,E314)&gt;1,"duplicate number for same entity; ",""))))</f>
        <v/>
      </c>
    </row>
    <row r="315" spans="1:14">
      <c r="A315" s="23"/>
      <c r="B315" s="24"/>
      <c r="C315" s="25"/>
      <c r="D315" s="25"/>
      <c r="E315" s="24"/>
      <c r="F315" s="24"/>
      <c r="G315" s="25"/>
      <c r="H315" s="25"/>
      <c r="I315" s="25"/>
      <c r="J315" s="25"/>
      <c r="K315" s="25"/>
      <c r="L315" s="25"/>
      <c r="M315" s="25" t="str">
        <f>IF(AND(A315="",B315="",E315=""),"",IF(OR(A315="",B315="",C315="",D315="",E315="",J315="",AND(A315="client",COUNTIF(الزبائن!$A$6:$A$505,B315)=0),AND(A315="proposed_name",COUNTIF('أسماء مقترحة'!$A$6:$A$505,B315)=0),AND(D315="mobile",J315&lt;&gt;"invalid",NOT(OR(AND(LEN(E315&amp;"")=10,LEFT(E315&amp;"",2)="09"),AND(LEN(E315&amp;"")=9,LEFT(E315&amp;"",1)="9")))),COUNTIFS($A$6:$A$505,A315,$B$6:$B$505,B315,$E$6:$E$505,E315)&gt;1),"REVIEW","READY"))</f>
        <v/>
      </c>
      <c r="N315" s="27" t="str">
        <f>IF(M315="","",IF(M315="READY","",TRIM(IF(A315="","missing entity_type; ","")&amp;IF(B315="","missing entity_key; ","")&amp;IF(C315="","missing contact_order; ","")&amp;IF(D315="","missing contact_type; ","")&amp;IF(E315="","missing number; ","")&amp;IF(J315="","missing status; ","")&amp;IF(AND(A315="client",COUNTIF(الزبائن!$A$6:$A$505,B315)=0),"client key not found; ","")&amp;IF(AND(A315="proposed_name",COUNTIF('أسماء مقترحة'!$A$6:$A$505,B315)=0),"proposed_name key not found; ","")&amp;IF(AND(D315="mobile",J315&lt;&gt;"invalid",NOT(OR(AND(LEN(E315&amp;"")=10,LEFT(E315&amp;"",2)="09"),AND(LEN(E315&amp;"")=9,LEFT(E315&amp;"",1)="9")))),"mobile must be 09XXXXXXXX or status invalid; ","")&amp;IF(COUNTIFS($A$6:$A$505,A315,$B$6:$B$505,B315,$E$6:$E$505,E315)&gt;1,"duplicate number for same entity; ",""))))</f>
        <v/>
      </c>
    </row>
    <row r="316" spans="1:14">
      <c r="A316" s="23"/>
      <c r="B316" s="24"/>
      <c r="C316" s="25"/>
      <c r="D316" s="25"/>
      <c r="E316" s="24"/>
      <c r="F316" s="24"/>
      <c r="G316" s="25"/>
      <c r="H316" s="25"/>
      <c r="I316" s="25"/>
      <c r="J316" s="25"/>
      <c r="K316" s="25"/>
      <c r="L316" s="25"/>
      <c r="M316" s="25" t="str">
        <f>IF(AND(A316="",B316="",E316=""),"",IF(OR(A316="",B316="",C316="",D316="",E316="",J316="",AND(A316="client",COUNTIF(الزبائن!$A$6:$A$505,B316)=0),AND(A316="proposed_name",COUNTIF('أسماء مقترحة'!$A$6:$A$505,B316)=0),AND(D316="mobile",J316&lt;&gt;"invalid",NOT(OR(AND(LEN(E316&amp;"")=10,LEFT(E316&amp;"",2)="09"),AND(LEN(E316&amp;"")=9,LEFT(E316&amp;"",1)="9")))),COUNTIFS($A$6:$A$505,A316,$B$6:$B$505,B316,$E$6:$E$505,E316)&gt;1),"REVIEW","READY"))</f>
        <v/>
      </c>
      <c r="N316" s="27" t="str">
        <f>IF(M316="","",IF(M316="READY","",TRIM(IF(A316="","missing entity_type; ","")&amp;IF(B316="","missing entity_key; ","")&amp;IF(C316="","missing contact_order; ","")&amp;IF(D316="","missing contact_type; ","")&amp;IF(E316="","missing number; ","")&amp;IF(J316="","missing status; ","")&amp;IF(AND(A316="client",COUNTIF(الزبائن!$A$6:$A$505,B316)=0),"client key not found; ","")&amp;IF(AND(A316="proposed_name",COUNTIF('أسماء مقترحة'!$A$6:$A$505,B316)=0),"proposed_name key not found; ","")&amp;IF(AND(D316="mobile",J316&lt;&gt;"invalid",NOT(OR(AND(LEN(E316&amp;"")=10,LEFT(E316&amp;"",2)="09"),AND(LEN(E316&amp;"")=9,LEFT(E316&amp;"",1)="9")))),"mobile must be 09XXXXXXXX or status invalid; ","")&amp;IF(COUNTIFS($A$6:$A$505,A316,$B$6:$B$505,B316,$E$6:$E$505,E316)&gt;1,"duplicate number for same entity; ",""))))</f>
        <v/>
      </c>
    </row>
    <row r="317" spans="1:14">
      <c r="A317" s="23"/>
      <c r="B317" s="24"/>
      <c r="C317" s="25"/>
      <c r="D317" s="25"/>
      <c r="E317" s="24"/>
      <c r="F317" s="24"/>
      <c r="G317" s="25"/>
      <c r="H317" s="25"/>
      <c r="I317" s="25"/>
      <c r="J317" s="25"/>
      <c r="K317" s="25"/>
      <c r="L317" s="25"/>
      <c r="M317" s="25" t="str">
        <f>IF(AND(A317="",B317="",E317=""),"",IF(OR(A317="",B317="",C317="",D317="",E317="",J317="",AND(A317="client",COUNTIF(الزبائن!$A$6:$A$505,B317)=0),AND(A317="proposed_name",COUNTIF('أسماء مقترحة'!$A$6:$A$505,B317)=0),AND(D317="mobile",J317&lt;&gt;"invalid",NOT(OR(AND(LEN(E317&amp;"")=10,LEFT(E317&amp;"",2)="09"),AND(LEN(E317&amp;"")=9,LEFT(E317&amp;"",1)="9")))),COUNTIFS($A$6:$A$505,A317,$B$6:$B$505,B317,$E$6:$E$505,E317)&gt;1),"REVIEW","READY"))</f>
        <v/>
      </c>
      <c r="N317" s="27" t="str">
        <f>IF(M317="","",IF(M317="READY","",TRIM(IF(A317="","missing entity_type; ","")&amp;IF(B317="","missing entity_key; ","")&amp;IF(C317="","missing contact_order; ","")&amp;IF(D317="","missing contact_type; ","")&amp;IF(E317="","missing number; ","")&amp;IF(J317="","missing status; ","")&amp;IF(AND(A317="client",COUNTIF(الزبائن!$A$6:$A$505,B317)=0),"client key not found; ","")&amp;IF(AND(A317="proposed_name",COUNTIF('أسماء مقترحة'!$A$6:$A$505,B317)=0),"proposed_name key not found; ","")&amp;IF(AND(D317="mobile",J317&lt;&gt;"invalid",NOT(OR(AND(LEN(E317&amp;"")=10,LEFT(E317&amp;"",2)="09"),AND(LEN(E317&amp;"")=9,LEFT(E317&amp;"",1)="9")))),"mobile must be 09XXXXXXXX or status invalid; ","")&amp;IF(COUNTIFS($A$6:$A$505,A317,$B$6:$B$505,B317,$E$6:$E$505,E317)&gt;1,"duplicate number for same entity; ",""))))</f>
        <v/>
      </c>
    </row>
    <row r="318" spans="1:14">
      <c r="A318" s="23"/>
      <c r="B318" s="24"/>
      <c r="C318" s="25"/>
      <c r="D318" s="25"/>
      <c r="E318" s="24"/>
      <c r="F318" s="24"/>
      <c r="G318" s="25"/>
      <c r="H318" s="25"/>
      <c r="I318" s="25"/>
      <c r="J318" s="25"/>
      <c r="K318" s="25"/>
      <c r="L318" s="25"/>
      <c r="M318" s="25" t="str">
        <f>IF(AND(A318="",B318="",E318=""),"",IF(OR(A318="",B318="",C318="",D318="",E318="",J318="",AND(A318="client",COUNTIF(الزبائن!$A$6:$A$505,B318)=0),AND(A318="proposed_name",COUNTIF('أسماء مقترحة'!$A$6:$A$505,B318)=0),AND(D318="mobile",J318&lt;&gt;"invalid",NOT(OR(AND(LEN(E318&amp;"")=10,LEFT(E318&amp;"",2)="09"),AND(LEN(E318&amp;"")=9,LEFT(E318&amp;"",1)="9")))),COUNTIFS($A$6:$A$505,A318,$B$6:$B$505,B318,$E$6:$E$505,E318)&gt;1),"REVIEW","READY"))</f>
        <v/>
      </c>
      <c r="N318" s="27" t="str">
        <f>IF(M318="","",IF(M318="READY","",TRIM(IF(A318="","missing entity_type; ","")&amp;IF(B318="","missing entity_key; ","")&amp;IF(C318="","missing contact_order; ","")&amp;IF(D318="","missing contact_type; ","")&amp;IF(E318="","missing number; ","")&amp;IF(J318="","missing status; ","")&amp;IF(AND(A318="client",COUNTIF(الزبائن!$A$6:$A$505,B318)=0),"client key not found; ","")&amp;IF(AND(A318="proposed_name",COUNTIF('أسماء مقترحة'!$A$6:$A$505,B318)=0),"proposed_name key not found; ","")&amp;IF(AND(D318="mobile",J318&lt;&gt;"invalid",NOT(OR(AND(LEN(E318&amp;"")=10,LEFT(E318&amp;"",2)="09"),AND(LEN(E318&amp;"")=9,LEFT(E318&amp;"",1)="9")))),"mobile must be 09XXXXXXXX or status invalid; ","")&amp;IF(COUNTIFS($A$6:$A$505,A318,$B$6:$B$505,B318,$E$6:$E$505,E318)&gt;1,"duplicate number for same entity; ",""))))</f>
        <v/>
      </c>
    </row>
    <row r="319" spans="1:14">
      <c r="A319" s="23"/>
      <c r="B319" s="24"/>
      <c r="C319" s="25"/>
      <c r="D319" s="25"/>
      <c r="E319" s="24"/>
      <c r="F319" s="24"/>
      <c r="G319" s="25"/>
      <c r="H319" s="25"/>
      <c r="I319" s="25"/>
      <c r="J319" s="25"/>
      <c r="K319" s="25"/>
      <c r="L319" s="25"/>
      <c r="M319" s="25" t="str">
        <f>IF(AND(A319="",B319="",E319=""),"",IF(OR(A319="",B319="",C319="",D319="",E319="",J319="",AND(A319="client",COUNTIF(الزبائن!$A$6:$A$505,B319)=0),AND(A319="proposed_name",COUNTIF('أسماء مقترحة'!$A$6:$A$505,B319)=0),AND(D319="mobile",J319&lt;&gt;"invalid",NOT(OR(AND(LEN(E319&amp;"")=10,LEFT(E319&amp;"",2)="09"),AND(LEN(E319&amp;"")=9,LEFT(E319&amp;"",1)="9")))),COUNTIFS($A$6:$A$505,A319,$B$6:$B$505,B319,$E$6:$E$505,E319)&gt;1),"REVIEW","READY"))</f>
        <v/>
      </c>
      <c r="N319" s="27" t="str">
        <f>IF(M319="","",IF(M319="READY","",TRIM(IF(A319="","missing entity_type; ","")&amp;IF(B319="","missing entity_key; ","")&amp;IF(C319="","missing contact_order; ","")&amp;IF(D319="","missing contact_type; ","")&amp;IF(E319="","missing number; ","")&amp;IF(J319="","missing status; ","")&amp;IF(AND(A319="client",COUNTIF(الزبائن!$A$6:$A$505,B319)=0),"client key not found; ","")&amp;IF(AND(A319="proposed_name",COUNTIF('أسماء مقترحة'!$A$6:$A$505,B319)=0),"proposed_name key not found; ","")&amp;IF(AND(D319="mobile",J319&lt;&gt;"invalid",NOT(OR(AND(LEN(E319&amp;"")=10,LEFT(E319&amp;"",2)="09"),AND(LEN(E319&amp;"")=9,LEFT(E319&amp;"",1)="9")))),"mobile must be 09XXXXXXXX or status invalid; ","")&amp;IF(COUNTIFS($A$6:$A$505,A319,$B$6:$B$505,B319,$E$6:$E$505,E319)&gt;1,"duplicate number for same entity; ",""))))</f>
        <v/>
      </c>
    </row>
    <row r="320" spans="1:14">
      <c r="A320" s="23"/>
      <c r="B320" s="24"/>
      <c r="C320" s="25"/>
      <c r="D320" s="25"/>
      <c r="E320" s="24"/>
      <c r="F320" s="24"/>
      <c r="G320" s="25"/>
      <c r="H320" s="25"/>
      <c r="I320" s="25"/>
      <c r="J320" s="25"/>
      <c r="K320" s="25"/>
      <c r="L320" s="25"/>
      <c r="M320" s="25" t="str">
        <f>IF(AND(A320="",B320="",E320=""),"",IF(OR(A320="",B320="",C320="",D320="",E320="",J320="",AND(A320="client",COUNTIF(الزبائن!$A$6:$A$505,B320)=0),AND(A320="proposed_name",COUNTIF('أسماء مقترحة'!$A$6:$A$505,B320)=0),AND(D320="mobile",J320&lt;&gt;"invalid",NOT(OR(AND(LEN(E320&amp;"")=10,LEFT(E320&amp;"",2)="09"),AND(LEN(E320&amp;"")=9,LEFT(E320&amp;"",1)="9")))),COUNTIFS($A$6:$A$505,A320,$B$6:$B$505,B320,$E$6:$E$505,E320)&gt;1),"REVIEW","READY"))</f>
        <v/>
      </c>
      <c r="N320" s="27" t="str">
        <f>IF(M320="","",IF(M320="READY","",TRIM(IF(A320="","missing entity_type; ","")&amp;IF(B320="","missing entity_key; ","")&amp;IF(C320="","missing contact_order; ","")&amp;IF(D320="","missing contact_type; ","")&amp;IF(E320="","missing number; ","")&amp;IF(J320="","missing status; ","")&amp;IF(AND(A320="client",COUNTIF(الزبائن!$A$6:$A$505,B320)=0),"client key not found; ","")&amp;IF(AND(A320="proposed_name",COUNTIF('أسماء مقترحة'!$A$6:$A$505,B320)=0),"proposed_name key not found; ","")&amp;IF(AND(D320="mobile",J320&lt;&gt;"invalid",NOT(OR(AND(LEN(E320&amp;"")=10,LEFT(E320&amp;"",2)="09"),AND(LEN(E320&amp;"")=9,LEFT(E320&amp;"",1)="9")))),"mobile must be 09XXXXXXXX or status invalid; ","")&amp;IF(COUNTIFS($A$6:$A$505,A320,$B$6:$B$505,B320,$E$6:$E$505,E320)&gt;1,"duplicate number for same entity; ",""))))</f>
        <v/>
      </c>
    </row>
    <row r="321" spans="1:14">
      <c r="A321" s="23"/>
      <c r="B321" s="24"/>
      <c r="C321" s="25"/>
      <c r="D321" s="25"/>
      <c r="E321" s="24"/>
      <c r="F321" s="24"/>
      <c r="G321" s="25"/>
      <c r="H321" s="25"/>
      <c r="I321" s="25"/>
      <c r="J321" s="25"/>
      <c r="K321" s="25"/>
      <c r="L321" s="25"/>
      <c r="M321" s="25" t="str">
        <f>IF(AND(A321="",B321="",E321=""),"",IF(OR(A321="",B321="",C321="",D321="",E321="",J321="",AND(A321="client",COUNTIF(الزبائن!$A$6:$A$505,B321)=0),AND(A321="proposed_name",COUNTIF('أسماء مقترحة'!$A$6:$A$505,B321)=0),AND(D321="mobile",J321&lt;&gt;"invalid",NOT(OR(AND(LEN(E321&amp;"")=10,LEFT(E321&amp;"",2)="09"),AND(LEN(E321&amp;"")=9,LEFT(E321&amp;"",1)="9")))),COUNTIFS($A$6:$A$505,A321,$B$6:$B$505,B321,$E$6:$E$505,E321)&gt;1),"REVIEW","READY"))</f>
        <v/>
      </c>
      <c r="N321" s="27" t="str">
        <f>IF(M321="","",IF(M321="READY","",TRIM(IF(A321="","missing entity_type; ","")&amp;IF(B321="","missing entity_key; ","")&amp;IF(C321="","missing contact_order; ","")&amp;IF(D321="","missing contact_type; ","")&amp;IF(E321="","missing number; ","")&amp;IF(J321="","missing status; ","")&amp;IF(AND(A321="client",COUNTIF(الزبائن!$A$6:$A$505,B321)=0),"client key not found; ","")&amp;IF(AND(A321="proposed_name",COUNTIF('أسماء مقترحة'!$A$6:$A$505,B321)=0),"proposed_name key not found; ","")&amp;IF(AND(D321="mobile",J321&lt;&gt;"invalid",NOT(OR(AND(LEN(E321&amp;"")=10,LEFT(E321&amp;"",2)="09"),AND(LEN(E321&amp;"")=9,LEFT(E321&amp;"",1)="9")))),"mobile must be 09XXXXXXXX or status invalid; ","")&amp;IF(COUNTIFS($A$6:$A$505,A321,$B$6:$B$505,B321,$E$6:$E$505,E321)&gt;1,"duplicate number for same entity; ",""))))</f>
        <v/>
      </c>
    </row>
    <row r="322" spans="1:14">
      <c r="A322" s="23"/>
      <c r="B322" s="24"/>
      <c r="C322" s="25"/>
      <c r="D322" s="25"/>
      <c r="E322" s="24"/>
      <c r="F322" s="24"/>
      <c r="G322" s="25"/>
      <c r="H322" s="25"/>
      <c r="I322" s="25"/>
      <c r="J322" s="25"/>
      <c r="K322" s="25"/>
      <c r="L322" s="25"/>
      <c r="M322" s="25" t="str">
        <f>IF(AND(A322="",B322="",E322=""),"",IF(OR(A322="",B322="",C322="",D322="",E322="",J322="",AND(A322="client",COUNTIF(الزبائن!$A$6:$A$505,B322)=0),AND(A322="proposed_name",COUNTIF('أسماء مقترحة'!$A$6:$A$505,B322)=0),AND(D322="mobile",J322&lt;&gt;"invalid",NOT(OR(AND(LEN(E322&amp;"")=10,LEFT(E322&amp;"",2)="09"),AND(LEN(E322&amp;"")=9,LEFT(E322&amp;"",1)="9")))),COUNTIFS($A$6:$A$505,A322,$B$6:$B$505,B322,$E$6:$E$505,E322)&gt;1),"REVIEW","READY"))</f>
        <v/>
      </c>
      <c r="N322" s="27" t="str">
        <f>IF(M322="","",IF(M322="READY","",TRIM(IF(A322="","missing entity_type; ","")&amp;IF(B322="","missing entity_key; ","")&amp;IF(C322="","missing contact_order; ","")&amp;IF(D322="","missing contact_type; ","")&amp;IF(E322="","missing number; ","")&amp;IF(J322="","missing status; ","")&amp;IF(AND(A322="client",COUNTIF(الزبائن!$A$6:$A$505,B322)=0),"client key not found; ","")&amp;IF(AND(A322="proposed_name",COUNTIF('أسماء مقترحة'!$A$6:$A$505,B322)=0),"proposed_name key not found; ","")&amp;IF(AND(D322="mobile",J322&lt;&gt;"invalid",NOT(OR(AND(LEN(E322&amp;"")=10,LEFT(E322&amp;"",2)="09"),AND(LEN(E322&amp;"")=9,LEFT(E322&amp;"",1)="9")))),"mobile must be 09XXXXXXXX or status invalid; ","")&amp;IF(COUNTIFS($A$6:$A$505,A322,$B$6:$B$505,B322,$E$6:$E$505,E322)&gt;1,"duplicate number for same entity; ",""))))</f>
        <v/>
      </c>
    </row>
    <row r="323" spans="1:14">
      <c r="A323" s="23"/>
      <c r="B323" s="24"/>
      <c r="C323" s="25"/>
      <c r="D323" s="25"/>
      <c r="E323" s="24"/>
      <c r="F323" s="24"/>
      <c r="G323" s="25"/>
      <c r="H323" s="25"/>
      <c r="I323" s="25"/>
      <c r="J323" s="25"/>
      <c r="K323" s="25"/>
      <c r="L323" s="25"/>
      <c r="M323" s="25" t="str">
        <f>IF(AND(A323="",B323="",E323=""),"",IF(OR(A323="",B323="",C323="",D323="",E323="",J323="",AND(A323="client",COUNTIF(الزبائن!$A$6:$A$505,B323)=0),AND(A323="proposed_name",COUNTIF('أسماء مقترحة'!$A$6:$A$505,B323)=0),AND(D323="mobile",J323&lt;&gt;"invalid",NOT(OR(AND(LEN(E323&amp;"")=10,LEFT(E323&amp;"",2)="09"),AND(LEN(E323&amp;"")=9,LEFT(E323&amp;"",1)="9")))),COUNTIFS($A$6:$A$505,A323,$B$6:$B$505,B323,$E$6:$E$505,E323)&gt;1),"REVIEW","READY"))</f>
        <v/>
      </c>
      <c r="N323" s="27" t="str">
        <f>IF(M323="","",IF(M323="READY","",TRIM(IF(A323="","missing entity_type; ","")&amp;IF(B323="","missing entity_key; ","")&amp;IF(C323="","missing contact_order; ","")&amp;IF(D323="","missing contact_type; ","")&amp;IF(E323="","missing number; ","")&amp;IF(J323="","missing status; ","")&amp;IF(AND(A323="client",COUNTIF(الزبائن!$A$6:$A$505,B323)=0),"client key not found; ","")&amp;IF(AND(A323="proposed_name",COUNTIF('أسماء مقترحة'!$A$6:$A$505,B323)=0),"proposed_name key not found; ","")&amp;IF(AND(D323="mobile",J323&lt;&gt;"invalid",NOT(OR(AND(LEN(E323&amp;"")=10,LEFT(E323&amp;"",2)="09"),AND(LEN(E323&amp;"")=9,LEFT(E323&amp;"",1)="9")))),"mobile must be 09XXXXXXXX or status invalid; ","")&amp;IF(COUNTIFS($A$6:$A$505,A323,$B$6:$B$505,B323,$E$6:$E$505,E323)&gt;1,"duplicate number for same entity; ",""))))</f>
        <v/>
      </c>
    </row>
    <row r="324" spans="1:14">
      <c r="A324" s="23"/>
      <c r="B324" s="24"/>
      <c r="C324" s="25"/>
      <c r="D324" s="25"/>
      <c r="E324" s="24"/>
      <c r="F324" s="24"/>
      <c r="G324" s="25"/>
      <c r="H324" s="25"/>
      <c r="I324" s="25"/>
      <c r="J324" s="25"/>
      <c r="K324" s="25"/>
      <c r="L324" s="25"/>
      <c r="M324" s="25" t="str">
        <f>IF(AND(A324="",B324="",E324=""),"",IF(OR(A324="",B324="",C324="",D324="",E324="",J324="",AND(A324="client",COUNTIF(الزبائن!$A$6:$A$505,B324)=0),AND(A324="proposed_name",COUNTIF('أسماء مقترحة'!$A$6:$A$505,B324)=0),AND(D324="mobile",J324&lt;&gt;"invalid",NOT(OR(AND(LEN(E324&amp;"")=10,LEFT(E324&amp;"",2)="09"),AND(LEN(E324&amp;"")=9,LEFT(E324&amp;"",1)="9")))),COUNTIFS($A$6:$A$505,A324,$B$6:$B$505,B324,$E$6:$E$505,E324)&gt;1),"REVIEW","READY"))</f>
        <v/>
      </c>
      <c r="N324" s="27" t="str">
        <f>IF(M324="","",IF(M324="READY","",TRIM(IF(A324="","missing entity_type; ","")&amp;IF(B324="","missing entity_key; ","")&amp;IF(C324="","missing contact_order; ","")&amp;IF(D324="","missing contact_type; ","")&amp;IF(E324="","missing number; ","")&amp;IF(J324="","missing status; ","")&amp;IF(AND(A324="client",COUNTIF(الزبائن!$A$6:$A$505,B324)=0),"client key not found; ","")&amp;IF(AND(A324="proposed_name",COUNTIF('أسماء مقترحة'!$A$6:$A$505,B324)=0),"proposed_name key not found; ","")&amp;IF(AND(D324="mobile",J324&lt;&gt;"invalid",NOT(OR(AND(LEN(E324&amp;"")=10,LEFT(E324&amp;"",2)="09"),AND(LEN(E324&amp;"")=9,LEFT(E324&amp;"",1)="9")))),"mobile must be 09XXXXXXXX or status invalid; ","")&amp;IF(COUNTIFS($A$6:$A$505,A324,$B$6:$B$505,B324,$E$6:$E$505,E324)&gt;1,"duplicate number for same entity; ",""))))</f>
        <v/>
      </c>
    </row>
    <row r="325" spans="1:14">
      <c r="A325" s="23"/>
      <c r="B325" s="24"/>
      <c r="C325" s="25"/>
      <c r="D325" s="25"/>
      <c r="E325" s="24"/>
      <c r="F325" s="24"/>
      <c r="G325" s="25"/>
      <c r="H325" s="25"/>
      <c r="I325" s="25"/>
      <c r="J325" s="25"/>
      <c r="K325" s="25"/>
      <c r="L325" s="25"/>
      <c r="M325" s="25" t="str">
        <f>IF(AND(A325="",B325="",E325=""),"",IF(OR(A325="",B325="",C325="",D325="",E325="",J325="",AND(A325="client",COUNTIF(الزبائن!$A$6:$A$505,B325)=0),AND(A325="proposed_name",COUNTIF('أسماء مقترحة'!$A$6:$A$505,B325)=0),AND(D325="mobile",J325&lt;&gt;"invalid",NOT(OR(AND(LEN(E325&amp;"")=10,LEFT(E325&amp;"",2)="09"),AND(LEN(E325&amp;"")=9,LEFT(E325&amp;"",1)="9")))),COUNTIFS($A$6:$A$505,A325,$B$6:$B$505,B325,$E$6:$E$505,E325)&gt;1),"REVIEW","READY"))</f>
        <v/>
      </c>
      <c r="N325" s="27" t="str">
        <f>IF(M325="","",IF(M325="READY","",TRIM(IF(A325="","missing entity_type; ","")&amp;IF(B325="","missing entity_key; ","")&amp;IF(C325="","missing contact_order; ","")&amp;IF(D325="","missing contact_type; ","")&amp;IF(E325="","missing number; ","")&amp;IF(J325="","missing status; ","")&amp;IF(AND(A325="client",COUNTIF(الزبائن!$A$6:$A$505,B325)=0),"client key not found; ","")&amp;IF(AND(A325="proposed_name",COUNTIF('أسماء مقترحة'!$A$6:$A$505,B325)=0),"proposed_name key not found; ","")&amp;IF(AND(D325="mobile",J325&lt;&gt;"invalid",NOT(OR(AND(LEN(E325&amp;"")=10,LEFT(E325&amp;"",2)="09"),AND(LEN(E325&amp;"")=9,LEFT(E325&amp;"",1)="9")))),"mobile must be 09XXXXXXXX or status invalid; ","")&amp;IF(COUNTIFS($A$6:$A$505,A325,$B$6:$B$505,B325,$E$6:$E$505,E325)&gt;1,"duplicate number for same entity; ",""))))</f>
        <v/>
      </c>
    </row>
    <row r="326" spans="1:14">
      <c r="A326" s="23"/>
      <c r="B326" s="24"/>
      <c r="C326" s="25"/>
      <c r="D326" s="25"/>
      <c r="E326" s="24"/>
      <c r="F326" s="24"/>
      <c r="G326" s="25"/>
      <c r="H326" s="25"/>
      <c r="I326" s="25"/>
      <c r="J326" s="25"/>
      <c r="K326" s="25"/>
      <c r="L326" s="25"/>
      <c r="M326" s="25" t="str">
        <f>IF(AND(A326="",B326="",E326=""),"",IF(OR(A326="",B326="",C326="",D326="",E326="",J326="",AND(A326="client",COUNTIF(الزبائن!$A$6:$A$505,B326)=0),AND(A326="proposed_name",COUNTIF('أسماء مقترحة'!$A$6:$A$505,B326)=0),AND(D326="mobile",J326&lt;&gt;"invalid",NOT(OR(AND(LEN(E326&amp;"")=10,LEFT(E326&amp;"",2)="09"),AND(LEN(E326&amp;"")=9,LEFT(E326&amp;"",1)="9")))),COUNTIFS($A$6:$A$505,A326,$B$6:$B$505,B326,$E$6:$E$505,E326)&gt;1),"REVIEW","READY"))</f>
        <v/>
      </c>
      <c r="N326" s="27" t="str">
        <f>IF(M326="","",IF(M326="READY","",TRIM(IF(A326="","missing entity_type; ","")&amp;IF(B326="","missing entity_key; ","")&amp;IF(C326="","missing contact_order; ","")&amp;IF(D326="","missing contact_type; ","")&amp;IF(E326="","missing number; ","")&amp;IF(J326="","missing status; ","")&amp;IF(AND(A326="client",COUNTIF(الزبائن!$A$6:$A$505,B326)=0),"client key not found; ","")&amp;IF(AND(A326="proposed_name",COUNTIF('أسماء مقترحة'!$A$6:$A$505,B326)=0),"proposed_name key not found; ","")&amp;IF(AND(D326="mobile",J326&lt;&gt;"invalid",NOT(OR(AND(LEN(E326&amp;"")=10,LEFT(E326&amp;"",2)="09"),AND(LEN(E326&amp;"")=9,LEFT(E326&amp;"",1)="9")))),"mobile must be 09XXXXXXXX or status invalid; ","")&amp;IF(COUNTIFS($A$6:$A$505,A326,$B$6:$B$505,B326,$E$6:$E$505,E326)&gt;1,"duplicate number for same entity; ",""))))</f>
        <v/>
      </c>
    </row>
    <row r="327" spans="1:14">
      <c r="A327" s="23"/>
      <c r="B327" s="24"/>
      <c r="C327" s="25"/>
      <c r="D327" s="25"/>
      <c r="E327" s="24"/>
      <c r="F327" s="24"/>
      <c r="G327" s="25"/>
      <c r="H327" s="25"/>
      <c r="I327" s="25"/>
      <c r="J327" s="25"/>
      <c r="K327" s="25"/>
      <c r="L327" s="25"/>
      <c r="M327" s="25" t="str">
        <f>IF(AND(A327="",B327="",E327=""),"",IF(OR(A327="",B327="",C327="",D327="",E327="",J327="",AND(A327="client",COUNTIF(الزبائن!$A$6:$A$505,B327)=0),AND(A327="proposed_name",COUNTIF('أسماء مقترحة'!$A$6:$A$505,B327)=0),AND(D327="mobile",J327&lt;&gt;"invalid",NOT(OR(AND(LEN(E327&amp;"")=10,LEFT(E327&amp;"",2)="09"),AND(LEN(E327&amp;"")=9,LEFT(E327&amp;"",1)="9")))),COUNTIFS($A$6:$A$505,A327,$B$6:$B$505,B327,$E$6:$E$505,E327)&gt;1),"REVIEW","READY"))</f>
        <v/>
      </c>
      <c r="N327" s="27" t="str">
        <f>IF(M327="","",IF(M327="READY","",TRIM(IF(A327="","missing entity_type; ","")&amp;IF(B327="","missing entity_key; ","")&amp;IF(C327="","missing contact_order; ","")&amp;IF(D327="","missing contact_type; ","")&amp;IF(E327="","missing number; ","")&amp;IF(J327="","missing status; ","")&amp;IF(AND(A327="client",COUNTIF(الزبائن!$A$6:$A$505,B327)=0),"client key not found; ","")&amp;IF(AND(A327="proposed_name",COUNTIF('أسماء مقترحة'!$A$6:$A$505,B327)=0),"proposed_name key not found; ","")&amp;IF(AND(D327="mobile",J327&lt;&gt;"invalid",NOT(OR(AND(LEN(E327&amp;"")=10,LEFT(E327&amp;"",2)="09"),AND(LEN(E327&amp;"")=9,LEFT(E327&amp;"",1)="9")))),"mobile must be 09XXXXXXXX or status invalid; ","")&amp;IF(COUNTIFS($A$6:$A$505,A327,$B$6:$B$505,B327,$E$6:$E$505,E327)&gt;1,"duplicate number for same entity; ",""))))</f>
        <v/>
      </c>
    </row>
    <row r="328" spans="1:14">
      <c r="A328" s="23"/>
      <c r="B328" s="24"/>
      <c r="C328" s="25"/>
      <c r="D328" s="25"/>
      <c r="E328" s="24"/>
      <c r="F328" s="24"/>
      <c r="G328" s="25"/>
      <c r="H328" s="25"/>
      <c r="I328" s="25"/>
      <c r="J328" s="25"/>
      <c r="K328" s="25"/>
      <c r="L328" s="25"/>
      <c r="M328" s="25" t="str">
        <f>IF(AND(A328="",B328="",E328=""),"",IF(OR(A328="",B328="",C328="",D328="",E328="",J328="",AND(A328="client",COUNTIF(الزبائن!$A$6:$A$505,B328)=0),AND(A328="proposed_name",COUNTIF('أسماء مقترحة'!$A$6:$A$505,B328)=0),AND(D328="mobile",J328&lt;&gt;"invalid",NOT(OR(AND(LEN(E328&amp;"")=10,LEFT(E328&amp;"",2)="09"),AND(LEN(E328&amp;"")=9,LEFT(E328&amp;"",1)="9")))),COUNTIFS($A$6:$A$505,A328,$B$6:$B$505,B328,$E$6:$E$505,E328)&gt;1),"REVIEW","READY"))</f>
        <v/>
      </c>
      <c r="N328" s="27" t="str">
        <f>IF(M328="","",IF(M328="READY","",TRIM(IF(A328="","missing entity_type; ","")&amp;IF(B328="","missing entity_key; ","")&amp;IF(C328="","missing contact_order; ","")&amp;IF(D328="","missing contact_type; ","")&amp;IF(E328="","missing number; ","")&amp;IF(J328="","missing status; ","")&amp;IF(AND(A328="client",COUNTIF(الزبائن!$A$6:$A$505,B328)=0),"client key not found; ","")&amp;IF(AND(A328="proposed_name",COUNTIF('أسماء مقترحة'!$A$6:$A$505,B328)=0),"proposed_name key not found; ","")&amp;IF(AND(D328="mobile",J328&lt;&gt;"invalid",NOT(OR(AND(LEN(E328&amp;"")=10,LEFT(E328&amp;"",2)="09"),AND(LEN(E328&amp;"")=9,LEFT(E328&amp;"",1)="9")))),"mobile must be 09XXXXXXXX or status invalid; ","")&amp;IF(COUNTIFS($A$6:$A$505,A328,$B$6:$B$505,B328,$E$6:$E$505,E328)&gt;1,"duplicate number for same entity; ",""))))</f>
        <v/>
      </c>
    </row>
    <row r="329" spans="1:14">
      <c r="A329" s="23"/>
      <c r="B329" s="24"/>
      <c r="C329" s="25"/>
      <c r="D329" s="25"/>
      <c r="E329" s="24"/>
      <c r="F329" s="24"/>
      <c r="G329" s="25"/>
      <c r="H329" s="25"/>
      <c r="I329" s="25"/>
      <c r="J329" s="25"/>
      <c r="K329" s="25"/>
      <c r="L329" s="25"/>
      <c r="M329" s="25" t="str">
        <f>IF(AND(A329="",B329="",E329=""),"",IF(OR(A329="",B329="",C329="",D329="",E329="",J329="",AND(A329="client",COUNTIF(الزبائن!$A$6:$A$505,B329)=0),AND(A329="proposed_name",COUNTIF('أسماء مقترحة'!$A$6:$A$505,B329)=0),AND(D329="mobile",J329&lt;&gt;"invalid",NOT(OR(AND(LEN(E329&amp;"")=10,LEFT(E329&amp;"",2)="09"),AND(LEN(E329&amp;"")=9,LEFT(E329&amp;"",1)="9")))),COUNTIFS($A$6:$A$505,A329,$B$6:$B$505,B329,$E$6:$E$505,E329)&gt;1),"REVIEW","READY"))</f>
        <v/>
      </c>
      <c r="N329" s="27" t="str">
        <f>IF(M329="","",IF(M329="READY","",TRIM(IF(A329="","missing entity_type; ","")&amp;IF(B329="","missing entity_key; ","")&amp;IF(C329="","missing contact_order; ","")&amp;IF(D329="","missing contact_type; ","")&amp;IF(E329="","missing number; ","")&amp;IF(J329="","missing status; ","")&amp;IF(AND(A329="client",COUNTIF(الزبائن!$A$6:$A$505,B329)=0),"client key not found; ","")&amp;IF(AND(A329="proposed_name",COUNTIF('أسماء مقترحة'!$A$6:$A$505,B329)=0),"proposed_name key not found; ","")&amp;IF(AND(D329="mobile",J329&lt;&gt;"invalid",NOT(OR(AND(LEN(E329&amp;"")=10,LEFT(E329&amp;"",2)="09"),AND(LEN(E329&amp;"")=9,LEFT(E329&amp;"",1)="9")))),"mobile must be 09XXXXXXXX or status invalid; ","")&amp;IF(COUNTIFS($A$6:$A$505,A329,$B$6:$B$505,B329,$E$6:$E$505,E329)&gt;1,"duplicate number for same entity; ",""))))</f>
        <v/>
      </c>
    </row>
    <row r="330" spans="1:14">
      <c r="A330" s="23"/>
      <c r="B330" s="24"/>
      <c r="C330" s="25"/>
      <c r="D330" s="25"/>
      <c r="E330" s="24"/>
      <c r="F330" s="24"/>
      <c r="G330" s="25"/>
      <c r="H330" s="25"/>
      <c r="I330" s="25"/>
      <c r="J330" s="25"/>
      <c r="K330" s="25"/>
      <c r="L330" s="25"/>
      <c r="M330" s="25" t="str">
        <f>IF(AND(A330="",B330="",E330=""),"",IF(OR(A330="",B330="",C330="",D330="",E330="",J330="",AND(A330="client",COUNTIF(الزبائن!$A$6:$A$505,B330)=0),AND(A330="proposed_name",COUNTIF('أسماء مقترحة'!$A$6:$A$505,B330)=0),AND(D330="mobile",J330&lt;&gt;"invalid",NOT(OR(AND(LEN(E330&amp;"")=10,LEFT(E330&amp;"",2)="09"),AND(LEN(E330&amp;"")=9,LEFT(E330&amp;"",1)="9")))),COUNTIFS($A$6:$A$505,A330,$B$6:$B$505,B330,$E$6:$E$505,E330)&gt;1),"REVIEW","READY"))</f>
        <v/>
      </c>
      <c r="N330" s="27" t="str">
        <f>IF(M330="","",IF(M330="READY","",TRIM(IF(A330="","missing entity_type; ","")&amp;IF(B330="","missing entity_key; ","")&amp;IF(C330="","missing contact_order; ","")&amp;IF(D330="","missing contact_type; ","")&amp;IF(E330="","missing number; ","")&amp;IF(J330="","missing status; ","")&amp;IF(AND(A330="client",COUNTIF(الزبائن!$A$6:$A$505,B330)=0),"client key not found; ","")&amp;IF(AND(A330="proposed_name",COUNTIF('أسماء مقترحة'!$A$6:$A$505,B330)=0),"proposed_name key not found; ","")&amp;IF(AND(D330="mobile",J330&lt;&gt;"invalid",NOT(OR(AND(LEN(E330&amp;"")=10,LEFT(E330&amp;"",2)="09"),AND(LEN(E330&amp;"")=9,LEFT(E330&amp;"",1)="9")))),"mobile must be 09XXXXXXXX or status invalid; ","")&amp;IF(COUNTIFS($A$6:$A$505,A330,$B$6:$B$505,B330,$E$6:$E$505,E330)&gt;1,"duplicate number for same entity; ",""))))</f>
        <v/>
      </c>
    </row>
    <row r="331" spans="1:14">
      <c r="A331" s="23"/>
      <c r="B331" s="24"/>
      <c r="C331" s="25"/>
      <c r="D331" s="25"/>
      <c r="E331" s="24"/>
      <c r="F331" s="24"/>
      <c r="G331" s="25"/>
      <c r="H331" s="25"/>
      <c r="I331" s="25"/>
      <c r="J331" s="25"/>
      <c r="K331" s="25"/>
      <c r="L331" s="25"/>
      <c r="M331" s="25" t="str">
        <f>IF(AND(A331="",B331="",E331=""),"",IF(OR(A331="",B331="",C331="",D331="",E331="",J331="",AND(A331="client",COUNTIF(الزبائن!$A$6:$A$505,B331)=0),AND(A331="proposed_name",COUNTIF('أسماء مقترحة'!$A$6:$A$505,B331)=0),AND(D331="mobile",J331&lt;&gt;"invalid",NOT(OR(AND(LEN(E331&amp;"")=10,LEFT(E331&amp;"",2)="09"),AND(LEN(E331&amp;"")=9,LEFT(E331&amp;"",1)="9")))),COUNTIFS($A$6:$A$505,A331,$B$6:$B$505,B331,$E$6:$E$505,E331)&gt;1),"REVIEW","READY"))</f>
        <v/>
      </c>
      <c r="N331" s="27" t="str">
        <f>IF(M331="","",IF(M331="READY","",TRIM(IF(A331="","missing entity_type; ","")&amp;IF(B331="","missing entity_key; ","")&amp;IF(C331="","missing contact_order; ","")&amp;IF(D331="","missing contact_type; ","")&amp;IF(E331="","missing number; ","")&amp;IF(J331="","missing status; ","")&amp;IF(AND(A331="client",COUNTIF(الزبائن!$A$6:$A$505,B331)=0),"client key not found; ","")&amp;IF(AND(A331="proposed_name",COUNTIF('أسماء مقترحة'!$A$6:$A$505,B331)=0),"proposed_name key not found; ","")&amp;IF(AND(D331="mobile",J331&lt;&gt;"invalid",NOT(OR(AND(LEN(E331&amp;"")=10,LEFT(E331&amp;"",2)="09"),AND(LEN(E331&amp;"")=9,LEFT(E331&amp;"",1)="9")))),"mobile must be 09XXXXXXXX or status invalid; ","")&amp;IF(COUNTIFS($A$6:$A$505,A331,$B$6:$B$505,B331,$E$6:$E$505,E331)&gt;1,"duplicate number for same entity; ",""))))</f>
        <v/>
      </c>
    </row>
    <row r="332" spans="1:14">
      <c r="A332" s="23"/>
      <c r="B332" s="24"/>
      <c r="C332" s="25"/>
      <c r="D332" s="25"/>
      <c r="E332" s="24"/>
      <c r="F332" s="24"/>
      <c r="G332" s="25"/>
      <c r="H332" s="25"/>
      <c r="I332" s="25"/>
      <c r="J332" s="25"/>
      <c r="K332" s="25"/>
      <c r="L332" s="25"/>
      <c r="M332" s="25" t="str">
        <f>IF(AND(A332="",B332="",E332=""),"",IF(OR(A332="",B332="",C332="",D332="",E332="",J332="",AND(A332="client",COUNTIF(الزبائن!$A$6:$A$505,B332)=0),AND(A332="proposed_name",COUNTIF('أسماء مقترحة'!$A$6:$A$505,B332)=0),AND(D332="mobile",J332&lt;&gt;"invalid",NOT(OR(AND(LEN(E332&amp;"")=10,LEFT(E332&amp;"",2)="09"),AND(LEN(E332&amp;"")=9,LEFT(E332&amp;"",1)="9")))),COUNTIFS($A$6:$A$505,A332,$B$6:$B$505,B332,$E$6:$E$505,E332)&gt;1),"REVIEW","READY"))</f>
        <v/>
      </c>
      <c r="N332" s="27" t="str">
        <f>IF(M332="","",IF(M332="READY","",TRIM(IF(A332="","missing entity_type; ","")&amp;IF(B332="","missing entity_key; ","")&amp;IF(C332="","missing contact_order; ","")&amp;IF(D332="","missing contact_type; ","")&amp;IF(E332="","missing number; ","")&amp;IF(J332="","missing status; ","")&amp;IF(AND(A332="client",COUNTIF(الزبائن!$A$6:$A$505,B332)=0),"client key not found; ","")&amp;IF(AND(A332="proposed_name",COUNTIF('أسماء مقترحة'!$A$6:$A$505,B332)=0),"proposed_name key not found; ","")&amp;IF(AND(D332="mobile",J332&lt;&gt;"invalid",NOT(OR(AND(LEN(E332&amp;"")=10,LEFT(E332&amp;"",2)="09"),AND(LEN(E332&amp;"")=9,LEFT(E332&amp;"",1)="9")))),"mobile must be 09XXXXXXXX or status invalid; ","")&amp;IF(COUNTIFS($A$6:$A$505,A332,$B$6:$B$505,B332,$E$6:$E$505,E332)&gt;1,"duplicate number for same entity; ",""))))</f>
        <v/>
      </c>
    </row>
    <row r="333" spans="1:14">
      <c r="A333" s="23"/>
      <c r="B333" s="24"/>
      <c r="C333" s="25"/>
      <c r="D333" s="25"/>
      <c r="E333" s="24"/>
      <c r="F333" s="24"/>
      <c r="G333" s="25"/>
      <c r="H333" s="25"/>
      <c r="I333" s="25"/>
      <c r="J333" s="25"/>
      <c r="K333" s="25"/>
      <c r="L333" s="25"/>
      <c r="M333" s="25" t="str">
        <f>IF(AND(A333="",B333="",E333=""),"",IF(OR(A333="",B333="",C333="",D333="",E333="",J333="",AND(A333="client",COUNTIF(الزبائن!$A$6:$A$505,B333)=0),AND(A333="proposed_name",COUNTIF('أسماء مقترحة'!$A$6:$A$505,B333)=0),AND(D333="mobile",J333&lt;&gt;"invalid",NOT(OR(AND(LEN(E333&amp;"")=10,LEFT(E333&amp;"",2)="09"),AND(LEN(E333&amp;"")=9,LEFT(E333&amp;"",1)="9")))),COUNTIFS($A$6:$A$505,A333,$B$6:$B$505,B333,$E$6:$E$505,E333)&gt;1),"REVIEW","READY"))</f>
        <v/>
      </c>
      <c r="N333" s="27" t="str">
        <f>IF(M333="","",IF(M333="READY","",TRIM(IF(A333="","missing entity_type; ","")&amp;IF(B333="","missing entity_key; ","")&amp;IF(C333="","missing contact_order; ","")&amp;IF(D333="","missing contact_type; ","")&amp;IF(E333="","missing number; ","")&amp;IF(J333="","missing status; ","")&amp;IF(AND(A333="client",COUNTIF(الزبائن!$A$6:$A$505,B333)=0),"client key not found; ","")&amp;IF(AND(A333="proposed_name",COUNTIF('أسماء مقترحة'!$A$6:$A$505,B333)=0),"proposed_name key not found; ","")&amp;IF(AND(D333="mobile",J333&lt;&gt;"invalid",NOT(OR(AND(LEN(E333&amp;"")=10,LEFT(E333&amp;"",2)="09"),AND(LEN(E333&amp;"")=9,LEFT(E333&amp;"",1)="9")))),"mobile must be 09XXXXXXXX or status invalid; ","")&amp;IF(COUNTIFS($A$6:$A$505,A333,$B$6:$B$505,B333,$E$6:$E$505,E333)&gt;1,"duplicate number for same entity; ",""))))</f>
        <v/>
      </c>
    </row>
    <row r="334" spans="1:14">
      <c r="A334" s="23"/>
      <c r="B334" s="24"/>
      <c r="C334" s="25"/>
      <c r="D334" s="25"/>
      <c r="E334" s="24"/>
      <c r="F334" s="24"/>
      <c r="G334" s="25"/>
      <c r="H334" s="25"/>
      <c r="I334" s="25"/>
      <c r="J334" s="25"/>
      <c r="K334" s="25"/>
      <c r="L334" s="25"/>
      <c r="M334" s="25" t="str">
        <f>IF(AND(A334="",B334="",E334=""),"",IF(OR(A334="",B334="",C334="",D334="",E334="",J334="",AND(A334="client",COUNTIF(الزبائن!$A$6:$A$505,B334)=0),AND(A334="proposed_name",COUNTIF('أسماء مقترحة'!$A$6:$A$505,B334)=0),AND(D334="mobile",J334&lt;&gt;"invalid",NOT(OR(AND(LEN(E334&amp;"")=10,LEFT(E334&amp;"",2)="09"),AND(LEN(E334&amp;"")=9,LEFT(E334&amp;"",1)="9")))),COUNTIFS($A$6:$A$505,A334,$B$6:$B$505,B334,$E$6:$E$505,E334)&gt;1),"REVIEW","READY"))</f>
        <v/>
      </c>
      <c r="N334" s="27" t="str">
        <f>IF(M334="","",IF(M334="READY","",TRIM(IF(A334="","missing entity_type; ","")&amp;IF(B334="","missing entity_key; ","")&amp;IF(C334="","missing contact_order; ","")&amp;IF(D334="","missing contact_type; ","")&amp;IF(E334="","missing number; ","")&amp;IF(J334="","missing status; ","")&amp;IF(AND(A334="client",COUNTIF(الزبائن!$A$6:$A$505,B334)=0),"client key not found; ","")&amp;IF(AND(A334="proposed_name",COUNTIF('أسماء مقترحة'!$A$6:$A$505,B334)=0),"proposed_name key not found; ","")&amp;IF(AND(D334="mobile",J334&lt;&gt;"invalid",NOT(OR(AND(LEN(E334&amp;"")=10,LEFT(E334&amp;"",2)="09"),AND(LEN(E334&amp;"")=9,LEFT(E334&amp;"",1)="9")))),"mobile must be 09XXXXXXXX or status invalid; ","")&amp;IF(COUNTIFS($A$6:$A$505,A334,$B$6:$B$505,B334,$E$6:$E$505,E334)&gt;1,"duplicate number for same entity; ",""))))</f>
        <v/>
      </c>
    </row>
    <row r="335" spans="1:14">
      <c r="A335" s="23"/>
      <c r="B335" s="24"/>
      <c r="C335" s="25"/>
      <c r="D335" s="25"/>
      <c r="E335" s="24"/>
      <c r="F335" s="24"/>
      <c r="G335" s="25"/>
      <c r="H335" s="25"/>
      <c r="I335" s="25"/>
      <c r="J335" s="25"/>
      <c r="K335" s="25"/>
      <c r="L335" s="25"/>
      <c r="M335" s="25" t="str">
        <f>IF(AND(A335="",B335="",E335=""),"",IF(OR(A335="",B335="",C335="",D335="",E335="",J335="",AND(A335="client",COUNTIF(الزبائن!$A$6:$A$505,B335)=0),AND(A335="proposed_name",COUNTIF('أسماء مقترحة'!$A$6:$A$505,B335)=0),AND(D335="mobile",J335&lt;&gt;"invalid",NOT(OR(AND(LEN(E335&amp;"")=10,LEFT(E335&amp;"",2)="09"),AND(LEN(E335&amp;"")=9,LEFT(E335&amp;"",1)="9")))),COUNTIFS($A$6:$A$505,A335,$B$6:$B$505,B335,$E$6:$E$505,E335)&gt;1),"REVIEW","READY"))</f>
        <v/>
      </c>
      <c r="N335" s="27" t="str">
        <f>IF(M335="","",IF(M335="READY","",TRIM(IF(A335="","missing entity_type; ","")&amp;IF(B335="","missing entity_key; ","")&amp;IF(C335="","missing contact_order; ","")&amp;IF(D335="","missing contact_type; ","")&amp;IF(E335="","missing number; ","")&amp;IF(J335="","missing status; ","")&amp;IF(AND(A335="client",COUNTIF(الزبائن!$A$6:$A$505,B335)=0),"client key not found; ","")&amp;IF(AND(A335="proposed_name",COUNTIF('أسماء مقترحة'!$A$6:$A$505,B335)=0),"proposed_name key not found; ","")&amp;IF(AND(D335="mobile",J335&lt;&gt;"invalid",NOT(OR(AND(LEN(E335&amp;"")=10,LEFT(E335&amp;"",2)="09"),AND(LEN(E335&amp;"")=9,LEFT(E335&amp;"",1)="9")))),"mobile must be 09XXXXXXXX or status invalid; ","")&amp;IF(COUNTIFS($A$6:$A$505,A335,$B$6:$B$505,B335,$E$6:$E$505,E335)&gt;1,"duplicate number for same entity; ",""))))</f>
        <v/>
      </c>
    </row>
    <row r="336" spans="1:14">
      <c r="A336" s="23"/>
      <c r="B336" s="24"/>
      <c r="C336" s="25"/>
      <c r="D336" s="25"/>
      <c r="E336" s="24"/>
      <c r="F336" s="24"/>
      <c r="G336" s="25"/>
      <c r="H336" s="25"/>
      <c r="I336" s="25"/>
      <c r="J336" s="25"/>
      <c r="K336" s="25"/>
      <c r="L336" s="25"/>
      <c r="M336" s="25" t="str">
        <f>IF(AND(A336="",B336="",E336=""),"",IF(OR(A336="",B336="",C336="",D336="",E336="",J336="",AND(A336="client",COUNTIF(الزبائن!$A$6:$A$505,B336)=0),AND(A336="proposed_name",COUNTIF('أسماء مقترحة'!$A$6:$A$505,B336)=0),AND(D336="mobile",J336&lt;&gt;"invalid",NOT(OR(AND(LEN(E336&amp;"")=10,LEFT(E336&amp;"",2)="09"),AND(LEN(E336&amp;"")=9,LEFT(E336&amp;"",1)="9")))),COUNTIFS($A$6:$A$505,A336,$B$6:$B$505,B336,$E$6:$E$505,E336)&gt;1),"REVIEW","READY"))</f>
        <v/>
      </c>
      <c r="N336" s="27" t="str">
        <f>IF(M336="","",IF(M336="READY","",TRIM(IF(A336="","missing entity_type; ","")&amp;IF(B336="","missing entity_key; ","")&amp;IF(C336="","missing contact_order; ","")&amp;IF(D336="","missing contact_type; ","")&amp;IF(E336="","missing number; ","")&amp;IF(J336="","missing status; ","")&amp;IF(AND(A336="client",COUNTIF(الزبائن!$A$6:$A$505,B336)=0),"client key not found; ","")&amp;IF(AND(A336="proposed_name",COUNTIF('أسماء مقترحة'!$A$6:$A$505,B336)=0),"proposed_name key not found; ","")&amp;IF(AND(D336="mobile",J336&lt;&gt;"invalid",NOT(OR(AND(LEN(E336&amp;"")=10,LEFT(E336&amp;"",2)="09"),AND(LEN(E336&amp;"")=9,LEFT(E336&amp;"",1)="9")))),"mobile must be 09XXXXXXXX or status invalid; ","")&amp;IF(COUNTIFS($A$6:$A$505,A336,$B$6:$B$505,B336,$E$6:$E$505,E336)&gt;1,"duplicate number for same entity; ",""))))</f>
        <v/>
      </c>
    </row>
    <row r="337" spans="1:14">
      <c r="A337" s="23"/>
      <c r="B337" s="24"/>
      <c r="C337" s="25"/>
      <c r="D337" s="25"/>
      <c r="E337" s="24"/>
      <c r="F337" s="24"/>
      <c r="G337" s="25"/>
      <c r="H337" s="25"/>
      <c r="I337" s="25"/>
      <c r="J337" s="25"/>
      <c r="K337" s="25"/>
      <c r="L337" s="25"/>
      <c r="M337" s="25" t="str">
        <f>IF(AND(A337="",B337="",E337=""),"",IF(OR(A337="",B337="",C337="",D337="",E337="",J337="",AND(A337="client",COUNTIF(الزبائن!$A$6:$A$505,B337)=0),AND(A337="proposed_name",COUNTIF('أسماء مقترحة'!$A$6:$A$505,B337)=0),AND(D337="mobile",J337&lt;&gt;"invalid",NOT(OR(AND(LEN(E337&amp;"")=10,LEFT(E337&amp;"",2)="09"),AND(LEN(E337&amp;"")=9,LEFT(E337&amp;"",1)="9")))),COUNTIFS($A$6:$A$505,A337,$B$6:$B$505,B337,$E$6:$E$505,E337)&gt;1),"REVIEW","READY"))</f>
        <v/>
      </c>
      <c r="N337" s="27" t="str">
        <f>IF(M337="","",IF(M337="READY","",TRIM(IF(A337="","missing entity_type; ","")&amp;IF(B337="","missing entity_key; ","")&amp;IF(C337="","missing contact_order; ","")&amp;IF(D337="","missing contact_type; ","")&amp;IF(E337="","missing number; ","")&amp;IF(J337="","missing status; ","")&amp;IF(AND(A337="client",COUNTIF(الزبائن!$A$6:$A$505,B337)=0),"client key not found; ","")&amp;IF(AND(A337="proposed_name",COUNTIF('أسماء مقترحة'!$A$6:$A$505,B337)=0),"proposed_name key not found; ","")&amp;IF(AND(D337="mobile",J337&lt;&gt;"invalid",NOT(OR(AND(LEN(E337&amp;"")=10,LEFT(E337&amp;"",2)="09"),AND(LEN(E337&amp;"")=9,LEFT(E337&amp;"",1)="9")))),"mobile must be 09XXXXXXXX or status invalid; ","")&amp;IF(COUNTIFS($A$6:$A$505,A337,$B$6:$B$505,B337,$E$6:$E$505,E337)&gt;1,"duplicate number for same entity; ",""))))</f>
        <v/>
      </c>
    </row>
    <row r="338" spans="1:14">
      <c r="A338" s="23"/>
      <c r="B338" s="24"/>
      <c r="C338" s="25"/>
      <c r="D338" s="25"/>
      <c r="E338" s="24"/>
      <c r="F338" s="24"/>
      <c r="G338" s="25"/>
      <c r="H338" s="25"/>
      <c r="I338" s="25"/>
      <c r="J338" s="25"/>
      <c r="K338" s="25"/>
      <c r="L338" s="25"/>
      <c r="M338" s="25" t="str">
        <f>IF(AND(A338="",B338="",E338=""),"",IF(OR(A338="",B338="",C338="",D338="",E338="",J338="",AND(A338="client",COUNTIF(الزبائن!$A$6:$A$505,B338)=0),AND(A338="proposed_name",COUNTIF('أسماء مقترحة'!$A$6:$A$505,B338)=0),AND(D338="mobile",J338&lt;&gt;"invalid",NOT(OR(AND(LEN(E338&amp;"")=10,LEFT(E338&amp;"",2)="09"),AND(LEN(E338&amp;"")=9,LEFT(E338&amp;"",1)="9")))),COUNTIFS($A$6:$A$505,A338,$B$6:$B$505,B338,$E$6:$E$505,E338)&gt;1),"REVIEW","READY"))</f>
        <v/>
      </c>
      <c r="N338" s="27" t="str">
        <f>IF(M338="","",IF(M338="READY","",TRIM(IF(A338="","missing entity_type; ","")&amp;IF(B338="","missing entity_key; ","")&amp;IF(C338="","missing contact_order; ","")&amp;IF(D338="","missing contact_type; ","")&amp;IF(E338="","missing number; ","")&amp;IF(J338="","missing status; ","")&amp;IF(AND(A338="client",COUNTIF(الزبائن!$A$6:$A$505,B338)=0),"client key not found; ","")&amp;IF(AND(A338="proposed_name",COUNTIF('أسماء مقترحة'!$A$6:$A$505,B338)=0),"proposed_name key not found; ","")&amp;IF(AND(D338="mobile",J338&lt;&gt;"invalid",NOT(OR(AND(LEN(E338&amp;"")=10,LEFT(E338&amp;"",2)="09"),AND(LEN(E338&amp;"")=9,LEFT(E338&amp;"",1)="9")))),"mobile must be 09XXXXXXXX or status invalid; ","")&amp;IF(COUNTIFS($A$6:$A$505,A338,$B$6:$B$505,B338,$E$6:$E$505,E338)&gt;1,"duplicate number for same entity; ",""))))</f>
        <v/>
      </c>
    </row>
    <row r="339" spans="1:14">
      <c r="A339" s="23"/>
      <c r="B339" s="24"/>
      <c r="C339" s="25"/>
      <c r="D339" s="25"/>
      <c r="E339" s="24"/>
      <c r="F339" s="24"/>
      <c r="G339" s="25"/>
      <c r="H339" s="25"/>
      <c r="I339" s="25"/>
      <c r="J339" s="25"/>
      <c r="K339" s="25"/>
      <c r="L339" s="25"/>
      <c r="M339" s="25" t="str">
        <f>IF(AND(A339="",B339="",E339=""),"",IF(OR(A339="",B339="",C339="",D339="",E339="",J339="",AND(A339="client",COUNTIF(الزبائن!$A$6:$A$505,B339)=0),AND(A339="proposed_name",COUNTIF('أسماء مقترحة'!$A$6:$A$505,B339)=0),AND(D339="mobile",J339&lt;&gt;"invalid",NOT(OR(AND(LEN(E339&amp;"")=10,LEFT(E339&amp;"",2)="09"),AND(LEN(E339&amp;"")=9,LEFT(E339&amp;"",1)="9")))),COUNTIFS($A$6:$A$505,A339,$B$6:$B$505,B339,$E$6:$E$505,E339)&gt;1),"REVIEW","READY"))</f>
        <v/>
      </c>
      <c r="N339" s="27" t="str">
        <f>IF(M339="","",IF(M339="READY","",TRIM(IF(A339="","missing entity_type; ","")&amp;IF(B339="","missing entity_key; ","")&amp;IF(C339="","missing contact_order; ","")&amp;IF(D339="","missing contact_type; ","")&amp;IF(E339="","missing number; ","")&amp;IF(J339="","missing status; ","")&amp;IF(AND(A339="client",COUNTIF(الزبائن!$A$6:$A$505,B339)=0),"client key not found; ","")&amp;IF(AND(A339="proposed_name",COUNTIF('أسماء مقترحة'!$A$6:$A$505,B339)=0),"proposed_name key not found; ","")&amp;IF(AND(D339="mobile",J339&lt;&gt;"invalid",NOT(OR(AND(LEN(E339&amp;"")=10,LEFT(E339&amp;"",2)="09"),AND(LEN(E339&amp;"")=9,LEFT(E339&amp;"",1)="9")))),"mobile must be 09XXXXXXXX or status invalid; ","")&amp;IF(COUNTIFS($A$6:$A$505,A339,$B$6:$B$505,B339,$E$6:$E$505,E339)&gt;1,"duplicate number for same entity; ",""))))</f>
        <v/>
      </c>
    </row>
    <row r="340" spans="1:14">
      <c r="A340" s="23"/>
      <c r="B340" s="24"/>
      <c r="C340" s="25"/>
      <c r="D340" s="25"/>
      <c r="E340" s="24"/>
      <c r="F340" s="24"/>
      <c r="G340" s="25"/>
      <c r="H340" s="25"/>
      <c r="I340" s="25"/>
      <c r="J340" s="25"/>
      <c r="K340" s="25"/>
      <c r="L340" s="25"/>
      <c r="M340" s="25" t="str">
        <f>IF(AND(A340="",B340="",E340=""),"",IF(OR(A340="",B340="",C340="",D340="",E340="",J340="",AND(A340="client",COUNTIF(الزبائن!$A$6:$A$505,B340)=0),AND(A340="proposed_name",COUNTIF('أسماء مقترحة'!$A$6:$A$505,B340)=0),AND(D340="mobile",J340&lt;&gt;"invalid",NOT(OR(AND(LEN(E340&amp;"")=10,LEFT(E340&amp;"",2)="09"),AND(LEN(E340&amp;"")=9,LEFT(E340&amp;"",1)="9")))),COUNTIFS($A$6:$A$505,A340,$B$6:$B$505,B340,$E$6:$E$505,E340)&gt;1),"REVIEW","READY"))</f>
        <v/>
      </c>
      <c r="N340" s="27" t="str">
        <f>IF(M340="","",IF(M340="READY","",TRIM(IF(A340="","missing entity_type; ","")&amp;IF(B340="","missing entity_key; ","")&amp;IF(C340="","missing contact_order; ","")&amp;IF(D340="","missing contact_type; ","")&amp;IF(E340="","missing number; ","")&amp;IF(J340="","missing status; ","")&amp;IF(AND(A340="client",COUNTIF(الزبائن!$A$6:$A$505,B340)=0),"client key not found; ","")&amp;IF(AND(A340="proposed_name",COUNTIF('أسماء مقترحة'!$A$6:$A$505,B340)=0),"proposed_name key not found; ","")&amp;IF(AND(D340="mobile",J340&lt;&gt;"invalid",NOT(OR(AND(LEN(E340&amp;"")=10,LEFT(E340&amp;"",2)="09"),AND(LEN(E340&amp;"")=9,LEFT(E340&amp;"",1)="9")))),"mobile must be 09XXXXXXXX or status invalid; ","")&amp;IF(COUNTIFS($A$6:$A$505,A340,$B$6:$B$505,B340,$E$6:$E$505,E340)&gt;1,"duplicate number for same entity; ",""))))</f>
        <v/>
      </c>
    </row>
    <row r="341" spans="1:14">
      <c r="A341" s="23"/>
      <c r="B341" s="24"/>
      <c r="C341" s="25"/>
      <c r="D341" s="25"/>
      <c r="E341" s="24"/>
      <c r="F341" s="24"/>
      <c r="G341" s="25"/>
      <c r="H341" s="25"/>
      <c r="I341" s="25"/>
      <c r="J341" s="25"/>
      <c r="K341" s="25"/>
      <c r="L341" s="25"/>
      <c r="M341" s="25" t="str">
        <f>IF(AND(A341="",B341="",E341=""),"",IF(OR(A341="",B341="",C341="",D341="",E341="",J341="",AND(A341="client",COUNTIF(الزبائن!$A$6:$A$505,B341)=0),AND(A341="proposed_name",COUNTIF('أسماء مقترحة'!$A$6:$A$505,B341)=0),AND(D341="mobile",J341&lt;&gt;"invalid",NOT(OR(AND(LEN(E341&amp;"")=10,LEFT(E341&amp;"",2)="09"),AND(LEN(E341&amp;"")=9,LEFT(E341&amp;"",1)="9")))),COUNTIFS($A$6:$A$505,A341,$B$6:$B$505,B341,$E$6:$E$505,E341)&gt;1),"REVIEW","READY"))</f>
        <v/>
      </c>
      <c r="N341" s="27" t="str">
        <f>IF(M341="","",IF(M341="READY","",TRIM(IF(A341="","missing entity_type; ","")&amp;IF(B341="","missing entity_key; ","")&amp;IF(C341="","missing contact_order; ","")&amp;IF(D341="","missing contact_type; ","")&amp;IF(E341="","missing number; ","")&amp;IF(J341="","missing status; ","")&amp;IF(AND(A341="client",COUNTIF(الزبائن!$A$6:$A$505,B341)=0),"client key not found; ","")&amp;IF(AND(A341="proposed_name",COUNTIF('أسماء مقترحة'!$A$6:$A$505,B341)=0),"proposed_name key not found; ","")&amp;IF(AND(D341="mobile",J341&lt;&gt;"invalid",NOT(OR(AND(LEN(E341&amp;"")=10,LEFT(E341&amp;"",2)="09"),AND(LEN(E341&amp;"")=9,LEFT(E341&amp;"",1)="9")))),"mobile must be 09XXXXXXXX or status invalid; ","")&amp;IF(COUNTIFS($A$6:$A$505,A341,$B$6:$B$505,B341,$E$6:$E$505,E341)&gt;1,"duplicate number for same entity; ",""))))</f>
        <v/>
      </c>
    </row>
    <row r="342" spans="1:14">
      <c r="A342" s="23"/>
      <c r="B342" s="24"/>
      <c r="C342" s="25"/>
      <c r="D342" s="25"/>
      <c r="E342" s="24"/>
      <c r="F342" s="24"/>
      <c r="G342" s="25"/>
      <c r="H342" s="25"/>
      <c r="I342" s="25"/>
      <c r="J342" s="25"/>
      <c r="K342" s="25"/>
      <c r="L342" s="25"/>
      <c r="M342" s="25" t="str">
        <f>IF(AND(A342="",B342="",E342=""),"",IF(OR(A342="",B342="",C342="",D342="",E342="",J342="",AND(A342="client",COUNTIF(الزبائن!$A$6:$A$505,B342)=0),AND(A342="proposed_name",COUNTIF('أسماء مقترحة'!$A$6:$A$505,B342)=0),AND(D342="mobile",J342&lt;&gt;"invalid",NOT(OR(AND(LEN(E342&amp;"")=10,LEFT(E342&amp;"",2)="09"),AND(LEN(E342&amp;"")=9,LEFT(E342&amp;"",1)="9")))),COUNTIFS($A$6:$A$505,A342,$B$6:$B$505,B342,$E$6:$E$505,E342)&gt;1),"REVIEW","READY"))</f>
        <v/>
      </c>
      <c r="N342" s="27" t="str">
        <f>IF(M342="","",IF(M342="READY","",TRIM(IF(A342="","missing entity_type; ","")&amp;IF(B342="","missing entity_key; ","")&amp;IF(C342="","missing contact_order; ","")&amp;IF(D342="","missing contact_type; ","")&amp;IF(E342="","missing number; ","")&amp;IF(J342="","missing status; ","")&amp;IF(AND(A342="client",COUNTIF(الزبائن!$A$6:$A$505,B342)=0),"client key not found; ","")&amp;IF(AND(A342="proposed_name",COUNTIF('أسماء مقترحة'!$A$6:$A$505,B342)=0),"proposed_name key not found; ","")&amp;IF(AND(D342="mobile",J342&lt;&gt;"invalid",NOT(OR(AND(LEN(E342&amp;"")=10,LEFT(E342&amp;"",2)="09"),AND(LEN(E342&amp;"")=9,LEFT(E342&amp;"",1)="9")))),"mobile must be 09XXXXXXXX or status invalid; ","")&amp;IF(COUNTIFS($A$6:$A$505,A342,$B$6:$B$505,B342,$E$6:$E$505,E342)&gt;1,"duplicate number for same entity; ",""))))</f>
        <v/>
      </c>
    </row>
    <row r="343" spans="1:14">
      <c r="A343" s="23"/>
      <c r="B343" s="24"/>
      <c r="C343" s="25"/>
      <c r="D343" s="25"/>
      <c r="E343" s="24"/>
      <c r="F343" s="24"/>
      <c r="G343" s="25"/>
      <c r="H343" s="25"/>
      <c r="I343" s="25"/>
      <c r="J343" s="25"/>
      <c r="K343" s="25"/>
      <c r="L343" s="25"/>
      <c r="M343" s="25" t="str">
        <f>IF(AND(A343="",B343="",E343=""),"",IF(OR(A343="",B343="",C343="",D343="",E343="",J343="",AND(A343="client",COUNTIF(الزبائن!$A$6:$A$505,B343)=0),AND(A343="proposed_name",COUNTIF('أسماء مقترحة'!$A$6:$A$505,B343)=0),AND(D343="mobile",J343&lt;&gt;"invalid",NOT(OR(AND(LEN(E343&amp;"")=10,LEFT(E343&amp;"",2)="09"),AND(LEN(E343&amp;"")=9,LEFT(E343&amp;"",1)="9")))),COUNTIFS($A$6:$A$505,A343,$B$6:$B$505,B343,$E$6:$E$505,E343)&gt;1),"REVIEW","READY"))</f>
        <v/>
      </c>
      <c r="N343" s="27" t="str">
        <f>IF(M343="","",IF(M343="READY","",TRIM(IF(A343="","missing entity_type; ","")&amp;IF(B343="","missing entity_key; ","")&amp;IF(C343="","missing contact_order; ","")&amp;IF(D343="","missing contact_type; ","")&amp;IF(E343="","missing number; ","")&amp;IF(J343="","missing status; ","")&amp;IF(AND(A343="client",COUNTIF(الزبائن!$A$6:$A$505,B343)=0),"client key not found; ","")&amp;IF(AND(A343="proposed_name",COUNTIF('أسماء مقترحة'!$A$6:$A$505,B343)=0),"proposed_name key not found; ","")&amp;IF(AND(D343="mobile",J343&lt;&gt;"invalid",NOT(OR(AND(LEN(E343&amp;"")=10,LEFT(E343&amp;"",2)="09"),AND(LEN(E343&amp;"")=9,LEFT(E343&amp;"",1)="9")))),"mobile must be 09XXXXXXXX or status invalid; ","")&amp;IF(COUNTIFS($A$6:$A$505,A343,$B$6:$B$505,B343,$E$6:$E$505,E343)&gt;1,"duplicate number for same entity; ",""))))</f>
        <v/>
      </c>
    </row>
    <row r="344" spans="1:14">
      <c r="A344" s="23"/>
      <c r="B344" s="24"/>
      <c r="C344" s="25"/>
      <c r="D344" s="25"/>
      <c r="E344" s="24"/>
      <c r="F344" s="24"/>
      <c r="G344" s="25"/>
      <c r="H344" s="25"/>
      <c r="I344" s="25"/>
      <c r="J344" s="25"/>
      <c r="K344" s="25"/>
      <c r="L344" s="25"/>
      <c r="M344" s="25" t="str">
        <f>IF(AND(A344="",B344="",E344=""),"",IF(OR(A344="",B344="",C344="",D344="",E344="",J344="",AND(A344="client",COUNTIF(الزبائن!$A$6:$A$505,B344)=0),AND(A344="proposed_name",COUNTIF('أسماء مقترحة'!$A$6:$A$505,B344)=0),AND(D344="mobile",J344&lt;&gt;"invalid",NOT(OR(AND(LEN(E344&amp;"")=10,LEFT(E344&amp;"",2)="09"),AND(LEN(E344&amp;"")=9,LEFT(E344&amp;"",1)="9")))),COUNTIFS($A$6:$A$505,A344,$B$6:$B$505,B344,$E$6:$E$505,E344)&gt;1),"REVIEW","READY"))</f>
        <v/>
      </c>
      <c r="N344" s="27" t="str">
        <f>IF(M344="","",IF(M344="READY","",TRIM(IF(A344="","missing entity_type; ","")&amp;IF(B344="","missing entity_key; ","")&amp;IF(C344="","missing contact_order; ","")&amp;IF(D344="","missing contact_type; ","")&amp;IF(E344="","missing number; ","")&amp;IF(J344="","missing status; ","")&amp;IF(AND(A344="client",COUNTIF(الزبائن!$A$6:$A$505,B344)=0),"client key not found; ","")&amp;IF(AND(A344="proposed_name",COUNTIF('أسماء مقترحة'!$A$6:$A$505,B344)=0),"proposed_name key not found; ","")&amp;IF(AND(D344="mobile",J344&lt;&gt;"invalid",NOT(OR(AND(LEN(E344&amp;"")=10,LEFT(E344&amp;"",2)="09"),AND(LEN(E344&amp;"")=9,LEFT(E344&amp;"",1)="9")))),"mobile must be 09XXXXXXXX or status invalid; ","")&amp;IF(COUNTIFS($A$6:$A$505,A344,$B$6:$B$505,B344,$E$6:$E$505,E344)&gt;1,"duplicate number for same entity; ",""))))</f>
        <v/>
      </c>
    </row>
    <row r="345" spans="1:14">
      <c r="A345" s="23"/>
      <c r="B345" s="24"/>
      <c r="C345" s="25"/>
      <c r="D345" s="25"/>
      <c r="E345" s="24"/>
      <c r="F345" s="24"/>
      <c r="G345" s="25"/>
      <c r="H345" s="25"/>
      <c r="I345" s="25"/>
      <c r="J345" s="25"/>
      <c r="K345" s="25"/>
      <c r="L345" s="25"/>
      <c r="M345" s="25" t="str">
        <f>IF(AND(A345="",B345="",E345=""),"",IF(OR(A345="",B345="",C345="",D345="",E345="",J345="",AND(A345="client",COUNTIF(الزبائن!$A$6:$A$505,B345)=0),AND(A345="proposed_name",COUNTIF('أسماء مقترحة'!$A$6:$A$505,B345)=0),AND(D345="mobile",J345&lt;&gt;"invalid",NOT(OR(AND(LEN(E345&amp;"")=10,LEFT(E345&amp;"",2)="09"),AND(LEN(E345&amp;"")=9,LEFT(E345&amp;"",1)="9")))),COUNTIFS($A$6:$A$505,A345,$B$6:$B$505,B345,$E$6:$E$505,E345)&gt;1),"REVIEW","READY"))</f>
        <v/>
      </c>
      <c r="N345" s="27" t="str">
        <f>IF(M345="","",IF(M345="READY","",TRIM(IF(A345="","missing entity_type; ","")&amp;IF(B345="","missing entity_key; ","")&amp;IF(C345="","missing contact_order; ","")&amp;IF(D345="","missing contact_type; ","")&amp;IF(E345="","missing number; ","")&amp;IF(J345="","missing status; ","")&amp;IF(AND(A345="client",COUNTIF(الزبائن!$A$6:$A$505,B345)=0),"client key not found; ","")&amp;IF(AND(A345="proposed_name",COUNTIF('أسماء مقترحة'!$A$6:$A$505,B345)=0),"proposed_name key not found; ","")&amp;IF(AND(D345="mobile",J345&lt;&gt;"invalid",NOT(OR(AND(LEN(E345&amp;"")=10,LEFT(E345&amp;"",2)="09"),AND(LEN(E345&amp;"")=9,LEFT(E345&amp;"",1)="9")))),"mobile must be 09XXXXXXXX or status invalid; ","")&amp;IF(COUNTIFS($A$6:$A$505,A345,$B$6:$B$505,B345,$E$6:$E$505,E345)&gt;1,"duplicate number for same entity; ",""))))</f>
        <v/>
      </c>
    </row>
    <row r="346" spans="1:14">
      <c r="A346" s="23"/>
      <c r="B346" s="24"/>
      <c r="C346" s="25"/>
      <c r="D346" s="25"/>
      <c r="E346" s="24"/>
      <c r="F346" s="24"/>
      <c r="G346" s="25"/>
      <c r="H346" s="25"/>
      <c r="I346" s="25"/>
      <c r="J346" s="25"/>
      <c r="K346" s="25"/>
      <c r="L346" s="25"/>
      <c r="M346" s="25" t="str">
        <f>IF(AND(A346="",B346="",E346=""),"",IF(OR(A346="",B346="",C346="",D346="",E346="",J346="",AND(A346="client",COUNTIF(الزبائن!$A$6:$A$505,B346)=0),AND(A346="proposed_name",COUNTIF('أسماء مقترحة'!$A$6:$A$505,B346)=0),AND(D346="mobile",J346&lt;&gt;"invalid",NOT(OR(AND(LEN(E346&amp;"")=10,LEFT(E346&amp;"",2)="09"),AND(LEN(E346&amp;"")=9,LEFT(E346&amp;"",1)="9")))),COUNTIFS($A$6:$A$505,A346,$B$6:$B$505,B346,$E$6:$E$505,E346)&gt;1),"REVIEW","READY"))</f>
        <v/>
      </c>
      <c r="N346" s="27" t="str">
        <f>IF(M346="","",IF(M346="READY","",TRIM(IF(A346="","missing entity_type; ","")&amp;IF(B346="","missing entity_key; ","")&amp;IF(C346="","missing contact_order; ","")&amp;IF(D346="","missing contact_type; ","")&amp;IF(E346="","missing number; ","")&amp;IF(J346="","missing status; ","")&amp;IF(AND(A346="client",COUNTIF(الزبائن!$A$6:$A$505,B346)=0),"client key not found; ","")&amp;IF(AND(A346="proposed_name",COUNTIF('أسماء مقترحة'!$A$6:$A$505,B346)=0),"proposed_name key not found; ","")&amp;IF(AND(D346="mobile",J346&lt;&gt;"invalid",NOT(OR(AND(LEN(E346&amp;"")=10,LEFT(E346&amp;"",2)="09"),AND(LEN(E346&amp;"")=9,LEFT(E346&amp;"",1)="9")))),"mobile must be 09XXXXXXXX or status invalid; ","")&amp;IF(COUNTIFS($A$6:$A$505,A346,$B$6:$B$505,B346,$E$6:$E$505,E346)&gt;1,"duplicate number for same entity; ",""))))</f>
        <v/>
      </c>
    </row>
    <row r="347" spans="1:14">
      <c r="A347" s="23"/>
      <c r="B347" s="24"/>
      <c r="C347" s="25"/>
      <c r="D347" s="25"/>
      <c r="E347" s="24"/>
      <c r="F347" s="24"/>
      <c r="G347" s="25"/>
      <c r="H347" s="25"/>
      <c r="I347" s="25"/>
      <c r="J347" s="25"/>
      <c r="K347" s="25"/>
      <c r="L347" s="25"/>
      <c r="M347" s="25" t="str">
        <f>IF(AND(A347="",B347="",E347=""),"",IF(OR(A347="",B347="",C347="",D347="",E347="",J347="",AND(A347="client",COUNTIF(الزبائن!$A$6:$A$505,B347)=0),AND(A347="proposed_name",COUNTIF('أسماء مقترحة'!$A$6:$A$505,B347)=0),AND(D347="mobile",J347&lt;&gt;"invalid",NOT(OR(AND(LEN(E347&amp;"")=10,LEFT(E347&amp;"",2)="09"),AND(LEN(E347&amp;"")=9,LEFT(E347&amp;"",1)="9")))),COUNTIFS($A$6:$A$505,A347,$B$6:$B$505,B347,$E$6:$E$505,E347)&gt;1),"REVIEW","READY"))</f>
        <v/>
      </c>
      <c r="N347" s="27" t="str">
        <f>IF(M347="","",IF(M347="READY","",TRIM(IF(A347="","missing entity_type; ","")&amp;IF(B347="","missing entity_key; ","")&amp;IF(C347="","missing contact_order; ","")&amp;IF(D347="","missing contact_type; ","")&amp;IF(E347="","missing number; ","")&amp;IF(J347="","missing status; ","")&amp;IF(AND(A347="client",COUNTIF(الزبائن!$A$6:$A$505,B347)=0),"client key not found; ","")&amp;IF(AND(A347="proposed_name",COUNTIF('أسماء مقترحة'!$A$6:$A$505,B347)=0),"proposed_name key not found; ","")&amp;IF(AND(D347="mobile",J347&lt;&gt;"invalid",NOT(OR(AND(LEN(E347&amp;"")=10,LEFT(E347&amp;"",2)="09"),AND(LEN(E347&amp;"")=9,LEFT(E347&amp;"",1)="9")))),"mobile must be 09XXXXXXXX or status invalid; ","")&amp;IF(COUNTIFS($A$6:$A$505,A347,$B$6:$B$505,B347,$E$6:$E$505,E347)&gt;1,"duplicate number for same entity; ",""))))</f>
        <v/>
      </c>
    </row>
    <row r="348" spans="1:14">
      <c r="A348" s="23"/>
      <c r="B348" s="24"/>
      <c r="C348" s="25"/>
      <c r="D348" s="25"/>
      <c r="E348" s="24"/>
      <c r="F348" s="24"/>
      <c r="G348" s="25"/>
      <c r="H348" s="25"/>
      <c r="I348" s="25"/>
      <c r="J348" s="25"/>
      <c r="K348" s="25"/>
      <c r="L348" s="25"/>
      <c r="M348" s="25" t="str">
        <f>IF(AND(A348="",B348="",E348=""),"",IF(OR(A348="",B348="",C348="",D348="",E348="",J348="",AND(A348="client",COUNTIF(الزبائن!$A$6:$A$505,B348)=0),AND(A348="proposed_name",COUNTIF('أسماء مقترحة'!$A$6:$A$505,B348)=0),AND(D348="mobile",J348&lt;&gt;"invalid",NOT(OR(AND(LEN(E348&amp;"")=10,LEFT(E348&amp;"",2)="09"),AND(LEN(E348&amp;"")=9,LEFT(E348&amp;"",1)="9")))),COUNTIFS($A$6:$A$505,A348,$B$6:$B$505,B348,$E$6:$E$505,E348)&gt;1),"REVIEW","READY"))</f>
        <v/>
      </c>
      <c r="N348" s="27" t="str">
        <f>IF(M348="","",IF(M348="READY","",TRIM(IF(A348="","missing entity_type; ","")&amp;IF(B348="","missing entity_key; ","")&amp;IF(C348="","missing contact_order; ","")&amp;IF(D348="","missing contact_type; ","")&amp;IF(E348="","missing number; ","")&amp;IF(J348="","missing status; ","")&amp;IF(AND(A348="client",COUNTIF(الزبائن!$A$6:$A$505,B348)=0),"client key not found; ","")&amp;IF(AND(A348="proposed_name",COUNTIF('أسماء مقترحة'!$A$6:$A$505,B348)=0),"proposed_name key not found; ","")&amp;IF(AND(D348="mobile",J348&lt;&gt;"invalid",NOT(OR(AND(LEN(E348&amp;"")=10,LEFT(E348&amp;"",2)="09"),AND(LEN(E348&amp;"")=9,LEFT(E348&amp;"",1)="9")))),"mobile must be 09XXXXXXXX or status invalid; ","")&amp;IF(COUNTIFS($A$6:$A$505,A348,$B$6:$B$505,B348,$E$6:$E$505,E348)&gt;1,"duplicate number for same entity; ",""))))</f>
        <v/>
      </c>
    </row>
    <row r="349" spans="1:14">
      <c r="A349" s="23"/>
      <c r="B349" s="24"/>
      <c r="C349" s="25"/>
      <c r="D349" s="25"/>
      <c r="E349" s="24"/>
      <c r="F349" s="24"/>
      <c r="G349" s="25"/>
      <c r="H349" s="25"/>
      <c r="I349" s="25"/>
      <c r="J349" s="25"/>
      <c r="K349" s="25"/>
      <c r="L349" s="25"/>
      <c r="M349" s="25" t="str">
        <f>IF(AND(A349="",B349="",E349=""),"",IF(OR(A349="",B349="",C349="",D349="",E349="",J349="",AND(A349="client",COUNTIF(الزبائن!$A$6:$A$505,B349)=0),AND(A349="proposed_name",COUNTIF('أسماء مقترحة'!$A$6:$A$505,B349)=0),AND(D349="mobile",J349&lt;&gt;"invalid",NOT(OR(AND(LEN(E349&amp;"")=10,LEFT(E349&amp;"",2)="09"),AND(LEN(E349&amp;"")=9,LEFT(E349&amp;"",1)="9")))),COUNTIFS($A$6:$A$505,A349,$B$6:$B$505,B349,$E$6:$E$505,E349)&gt;1),"REVIEW","READY"))</f>
        <v/>
      </c>
      <c r="N349" s="27" t="str">
        <f>IF(M349="","",IF(M349="READY","",TRIM(IF(A349="","missing entity_type; ","")&amp;IF(B349="","missing entity_key; ","")&amp;IF(C349="","missing contact_order; ","")&amp;IF(D349="","missing contact_type; ","")&amp;IF(E349="","missing number; ","")&amp;IF(J349="","missing status; ","")&amp;IF(AND(A349="client",COUNTIF(الزبائن!$A$6:$A$505,B349)=0),"client key not found; ","")&amp;IF(AND(A349="proposed_name",COUNTIF('أسماء مقترحة'!$A$6:$A$505,B349)=0),"proposed_name key not found; ","")&amp;IF(AND(D349="mobile",J349&lt;&gt;"invalid",NOT(OR(AND(LEN(E349&amp;"")=10,LEFT(E349&amp;"",2)="09"),AND(LEN(E349&amp;"")=9,LEFT(E349&amp;"",1)="9")))),"mobile must be 09XXXXXXXX or status invalid; ","")&amp;IF(COUNTIFS($A$6:$A$505,A349,$B$6:$B$505,B349,$E$6:$E$505,E349)&gt;1,"duplicate number for same entity; ",""))))</f>
        <v/>
      </c>
    </row>
    <row r="350" spans="1:14">
      <c r="A350" s="23"/>
      <c r="B350" s="24"/>
      <c r="C350" s="25"/>
      <c r="D350" s="25"/>
      <c r="E350" s="24"/>
      <c r="F350" s="24"/>
      <c r="G350" s="25"/>
      <c r="H350" s="25"/>
      <c r="I350" s="25"/>
      <c r="J350" s="25"/>
      <c r="K350" s="25"/>
      <c r="L350" s="25"/>
      <c r="M350" s="25" t="str">
        <f>IF(AND(A350="",B350="",E350=""),"",IF(OR(A350="",B350="",C350="",D350="",E350="",J350="",AND(A350="client",COUNTIF(الزبائن!$A$6:$A$505,B350)=0),AND(A350="proposed_name",COUNTIF('أسماء مقترحة'!$A$6:$A$505,B350)=0),AND(D350="mobile",J350&lt;&gt;"invalid",NOT(OR(AND(LEN(E350&amp;"")=10,LEFT(E350&amp;"",2)="09"),AND(LEN(E350&amp;"")=9,LEFT(E350&amp;"",1)="9")))),COUNTIFS($A$6:$A$505,A350,$B$6:$B$505,B350,$E$6:$E$505,E350)&gt;1),"REVIEW","READY"))</f>
        <v/>
      </c>
      <c r="N350" s="27" t="str">
        <f>IF(M350="","",IF(M350="READY","",TRIM(IF(A350="","missing entity_type; ","")&amp;IF(B350="","missing entity_key; ","")&amp;IF(C350="","missing contact_order; ","")&amp;IF(D350="","missing contact_type; ","")&amp;IF(E350="","missing number; ","")&amp;IF(J350="","missing status; ","")&amp;IF(AND(A350="client",COUNTIF(الزبائن!$A$6:$A$505,B350)=0),"client key not found; ","")&amp;IF(AND(A350="proposed_name",COUNTIF('أسماء مقترحة'!$A$6:$A$505,B350)=0),"proposed_name key not found; ","")&amp;IF(AND(D350="mobile",J350&lt;&gt;"invalid",NOT(OR(AND(LEN(E350&amp;"")=10,LEFT(E350&amp;"",2)="09"),AND(LEN(E350&amp;"")=9,LEFT(E350&amp;"",1)="9")))),"mobile must be 09XXXXXXXX or status invalid; ","")&amp;IF(COUNTIFS($A$6:$A$505,A350,$B$6:$B$505,B350,$E$6:$E$505,E350)&gt;1,"duplicate number for same entity; ",""))))</f>
        <v/>
      </c>
    </row>
    <row r="351" spans="1:14">
      <c r="A351" s="23"/>
      <c r="B351" s="24"/>
      <c r="C351" s="25"/>
      <c r="D351" s="25"/>
      <c r="E351" s="24"/>
      <c r="F351" s="24"/>
      <c r="G351" s="25"/>
      <c r="H351" s="25"/>
      <c r="I351" s="25"/>
      <c r="J351" s="25"/>
      <c r="K351" s="25"/>
      <c r="L351" s="25"/>
      <c r="M351" s="25" t="str">
        <f>IF(AND(A351="",B351="",E351=""),"",IF(OR(A351="",B351="",C351="",D351="",E351="",J351="",AND(A351="client",COUNTIF(الزبائن!$A$6:$A$505,B351)=0),AND(A351="proposed_name",COUNTIF('أسماء مقترحة'!$A$6:$A$505,B351)=0),AND(D351="mobile",J351&lt;&gt;"invalid",NOT(OR(AND(LEN(E351&amp;"")=10,LEFT(E351&amp;"",2)="09"),AND(LEN(E351&amp;"")=9,LEFT(E351&amp;"",1)="9")))),COUNTIFS($A$6:$A$505,A351,$B$6:$B$505,B351,$E$6:$E$505,E351)&gt;1),"REVIEW","READY"))</f>
        <v/>
      </c>
      <c r="N351" s="27" t="str">
        <f>IF(M351="","",IF(M351="READY","",TRIM(IF(A351="","missing entity_type; ","")&amp;IF(B351="","missing entity_key; ","")&amp;IF(C351="","missing contact_order; ","")&amp;IF(D351="","missing contact_type; ","")&amp;IF(E351="","missing number; ","")&amp;IF(J351="","missing status; ","")&amp;IF(AND(A351="client",COUNTIF(الزبائن!$A$6:$A$505,B351)=0),"client key not found; ","")&amp;IF(AND(A351="proposed_name",COUNTIF('أسماء مقترحة'!$A$6:$A$505,B351)=0),"proposed_name key not found; ","")&amp;IF(AND(D351="mobile",J351&lt;&gt;"invalid",NOT(OR(AND(LEN(E351&amp;"")=10,LEFT(E351&amp;"",2)="09"),AND(LEN(E351&amp;"")=9,LEFT(E351&amp;"",1)="9")))),"mobile must be 09XXXXXXXX or status invalid; ","")&amp;IF(COUNTIFS($A$6:$A$505,A351,$B$6:$B$505,B351,$E$6:$E$505,E351)&gt;1,"duplicate number for same entity; ",""))))</f>
        <v/>
      </c>
    </row>
    <row r="352" spans="1:14">
      <c r="A352" s="23"/>
      <c r="B352" s="24"/>
      <c r="C352" s="25"/>
      <c r="D352" s="25"/>
      <c r="E352" s="24"/>
      <c r="F352" s="24"/>
      <c r="G352" s="25"/>
      <c r="H352" s="25"/>
      <c r="I352" s="25"/>
      <c r="J352" s="25"/>
      <c r="K352" s="25"/>
      <c r="L352" s="25"/>
      <c r="M352" s="25" t="str">
        <f>IF(AND(A352="",B352="",E352=""),"",IF(OR(A352="",B352="",C352="",D352="",E352="",J352="",AND(A352="client",COUNTIF(الزبائن!$A$6:$A$505,B352)=0),AND(A352="proposed_name",COUNTIF('أسماء مقترحة'!$A$6:$A$505,B352)=0),AND(D352="mobile",J352&lt;&gt;"invalid",NOT(OR(AND(LEN(E352&amp;"")=10,LEFT(E352&amp;"",2)="09"),AND(LEN(E352&amp;"")=9,LEFT(E352&amp;"",1)="9")))),COUNTIFS($A$6:$A$505,A352,$B$6:$B$505,B352,$E$6:$E$505,E352)&gt;1),"REVIEW","READY"))</f>
        <v/>
      </c>
      <c r="N352" s="27" t="str">
        <f>IF(M352="","",IF(M352="READY","",TRIM(IF(A352="","missing entity_type; ","")&amp;IF(B352="","missing entity_key; ","")&amp;IF(C352="","missing contact_order; ","")&amp;IF(D352="","missing contact_type; ","")&amp;IF(E352="","missing number; ","")&amp;IF(J352="","missing status; ","")&amp;IF(AND(A352="client",COUNTIF(الزبائن!$A$6:$A$505,B352)=0),"client key not found; ","")&amp;IF(AND(A352="proposed_name",COUNTIF('أسماء مقترحة'!$A$6:$A$505,B352)=0),"proposed_name key not found; ","")&amp;IF(AND(D352="mobile",J352&lt;&gt;"invalid",NOT(OR(AND(LEN(E352&amp;"")=10,LEFT(E352&amp;"",2)="09"),AND(LEN(E352&amp;"")=9,LEFT(E352&amp;"",1)="9")))),"mobile must be 09XXXXXXXX or status invalid; ","")&amp;IF(COUNTIFS($A$6:$A$505,A352,$B$6:$B$505,B352,$E$6:$E$505,E352)&gt;1,"duplicate number for same entity; ",""))))</f>
        <v/>
      </c>
    </row>
    <row r="353" spans="1:14">
      <c r="A353" s="23"/>
      <c r="B353" s="24"/>
      <c r="C353" s="25"/>
      <c r="D353" s="25"/>
      <c r="E353" s="24"/>
      <c r="F353" s="24"/>
      <c r="G353" s="25"/>
      <c r="H353" s="25"/>
      <c r="I353" s="25"/>
      <c r="J353" s="25"/>
      <c r="K353" s="25"/>
      <c r="L353" s="25"/>
      <c r="M353" s="25" t="str">
        <f>IF(AND(A353="",B353="",E353=""),"",IF(OR(A353="",B353="",C353="",D353="",E353="",J353="",AND(A353="client",COUNTIF(الزبائن!$A$6:$A$505,B353)=0),AND(A353="proposed_name",COUNTIF('أسماء مقترحة'!$A$6:$A$505,B353)=0),AND(D353="mobile",J353&lt;&gt;"invalid",NOT(OR(AND(LEN(E353&amp;"")=10,LEFT(E353&amp;"",2)="09"),AND(LEN(E353&amp;"")=9,LEFT(E353&amp;"",1)="9")))),COUNTIFS($A$6:$A$505,A353,$B$6:$B$505,B353,$E$6:$E$505,E353)&gt;1),"REVIEW","READY"))</f>
        <v/>
      </c>
      <c r="N353" s="27" t="str">
        <f>IF(M353="","",IF(M353="READY","",TRIM(IF(A353="","missing entity_type; ","")&amp;IF(B353="","missing entity_key; ","")&amp;IF(C353="","missing contact_order; ","")&amp;IF(D353="","missing contact_type; ","")&amp;IF(E353="","missing number; ","")&amp;IF(J353="","missing status; ","")&amp;IF(AND(A353="client",COUNTIF(الزبائن!$A$6:$A$505,B353)=0),"client key not found; ","")&amp;IF(AND(A353="proposed_name",COUNTIF('أسماء مقترحة'!$A$6:$A$505,B353)=0),"proposed_name key not found; ","")&amp;IF(AND(D353="mobile",J353&lt;&gt;"invalid",NOT(OR(AND(LEN(E353&amp;"")=10,LEFT(E353&amp;"",2)="09"),AND(LEN(E353&amp;"")=9,LEFT(E353&amp;"",1)="9")))),"mobile must be 09XXXXXXXX or status invalid; ","")&amp;IF(COUNTIFS($A$6:$A$505,A353,$B$6:$B$505,B353,$E$6:$E$505,E353)&gt;1,"duplicate number for same entity; ",""))))</f>
        <v/>
      </c>
    </row>
    <row r="354" spans="1:14">
      <c r="A354" s="23"/>
      <c r="B354" s="24"/>
      <c r="C354" s="25"/>
      <c r="D354" s="25"/>
      <c r="E354" s="24"/>
      <c r="F354" s="24"/>
      <c r="G354" s="25"/>
      <c r="H354" s="25"/>
      <c r="I354" s="25"/>
      <c r="J354" s="25"/>
      <c r="K354" s="25"/>
      <c r="L354" s="25"/>
      <c r="M354" s="25" t="str">
        <f>IF(AND(A354="",B354="",E354=""),"",IF(OR(A354="",B354="",C354="",D354="",E354="",J354="",AND(A354="client",COUNTIF(الزبائن!$A$6:$A$505,B354)=0),AND(A354="proposed_name",COUNTIF('أسماء مقترحة'!$A$6:$A$505,B354)=0),AND(D354="mobile",J354&lt;&gt;"invalid",NOT(OR(AND(LEN(E354&amp;"")=10,LEFT(E354&amp;"",2)="09"),AND(LEN(E354&amp;"")=9,LEFT(E354&amp;"",1)="9")))),COUNTIFS($A$6:$A$505,A354,$B$6:$B$505,B354,$E$6:$E$505,E354)&gt;1),"REVIEW","READY"))</f>
        <v/>
      </c>
      <c r="N354" s="27" t="str">
        <f>IF(M354="","",IF(M354="READY","",TRIM(IF(A354="","missing entity_type; ","")&amp;IF(B354="","missing entity_key; ","")&amp;IF(C354="","missing contact_order; ","")&amp;IF(D354="","missing contact_type; ","")&amp;IF(E354="","missing number; ","")&amp;IF(J354="","missing status; ","")&amp;IF(AND(A354="client",COUNTIF(الزبائن!$A$6:$A$505,B354)=0),"client key not found; ","")&amp;IF(AND(A354="proposed_name",COUNTIF('أسماء مقترحة'!$A$6:$A$505,B354)=0),"proposed_name key not found; ","")&amp;IF(AND(D354="mobile",J354&lt;&gt;"invalid",NOT(OR(AND(LEN(E354&amp;"")=10,LEFT(E354&amp;"",2)="09"),AND(LEN(E354&amp;"")=9,LEFT(E354&amp;"",1)="9")))),"mobile must be 09XXXXXXXX or status invalid; ","")&amp;IF(COUNTIFS($A$6:$A$505,A354,$B$6:$B$505,B354,$E$6:$E$505,E354)&gt;1,"duplicate number for same entity; ",""))))</f>
        <v/>
      </c>
    </row>
    <row r="355" spans="1:14">
      <c r="A355" s="23"/>
      <c r="B355" s="24"/>
      <c r="C355" s="25"/>
      <c r="D355" s="25"/>
      <c r="E355" s="24"/>
      <c r="F355" s="24"/>
      <c r="G355" s="25"/>
      <c r="H355" s="25"/>
      <c r="I355" s="25"/>
      <c r="J355" s="25"/>
      <c r="K355" s="25"/>
      <c r="L355" s="25"/>
      <c r="M355" s="25" t="str">
        <f>IF(AND(A355="",B355="",E355=""),"",IF(OR(A355="",B355="",C355="",D355="",E355="",J355="",AND(A355="client",COUNTIF(الزبائن!$A$6:$A$505,B355)=0),AND(A355="proposed_name",COUNTIF('أسماء مقترحة'!$A$6:$A$505,B355)=0),AND(D355="mobile",J355&lt;&gt;"invalid",NOT(OR(AND(LEN(E355&amp;"")=10,LEFT(E355&amp;"",2)="09"),AND(LEN(E355&amp;"")=9,LEFT(E355&amp;"",1)="9")))),COUNTIFS($A$6:$A$505,A355,$B$6:$B$505,B355,$E$6:$E$505,E355)&gt;1),"REVIEW","READY"))</f>
        <v/>
      </c>
      <c r="N355" s="27" t="str">
        <f>IF(M355="","",IF(M355="READY","",TRIM(IF(A355="","missing entity_type; ","")&amp;IF(B355="","missing entity_key; ","")&amp;IF(C355="","missing contact_order; ","")&amp;IF(D355="","missing contact_type; ","")&amp;IF(E355="","missing number; ","")&amp;IF(J355="","missing status; ","")&amp;IF(AND(A355="client",COUNTIF(الزبائن!$A$6:$A$505,B355)=0),"client key not found; ","")&amp;IF(AND(A355="proposed_name",COUNTIF('أسماء مقترحة'!$A$6:$A$505,B355)=0),"proposed_name key not found; ","")&amp;IF(AND(D355="mobile",J355&lt;&gt;"invalid",NOT(OR(AND(LEN(E355&amp;"")=10,LEFT(E355&amp;"",2)="09"),AND(LEN(E355&amp;"")=9,LEFT(E355&amp;"",1)="9")))),"mobile must be 09XXXXXXXX or status invalid; ","")&amp;IF(COUNTIFS($A$6:$A$505,A355,$B$6:$B$505,B355,$E$6:$E$505,E355)&gt;1,"duplicate number for same entity; ",""))))</f>
        <v/>
      </c>
    </row>
    <row r="356" spans="1:14">
      <c r="A356" s="23"/>
      <c r="B356" s="24"/>
      <c r="C356" s="25"/>
      <c r="D356" s="25"/>
      <c r="E356" s="24"/>
      <c r="F356" s="24"/>
      <c r="G356" s="25"/>
      <c r="H356" s="25"/>
      <c r="I356" s="25"/>
      <c r="J356" s="25"/>
      <c r="K356" s="25"/>
      <c r="L356" s="25"/>
      <c r="M356" s="25" t="str">
        <f>IF(AND(A356="",B356="",E356=""),"",IF(OR(A356="",B356="",C356="",D356="",E356="",J356="",AND(A356="client",COUNTIF(الزبائن!$A$6:$A$505,B356)=0),AND(A356="proposed_name",COUNTIF('أسماء مقترحة'!$A$6:$A$505,B356)=0),AND(D356="mobile",J356&lt;&gt;"invalid",NOT(OR(AND(LEN(E356&amp;"")=10,LEFT(E356&amp;"",2)="09"),AND(LEN(E356&amp;"")=9,LEFT(E356&amp;"",1)="9")))),COUNTIFS($A$6:$A$505,A356,$B$6:$B$505,B356,$E$6:$E$505,E356)&gt;1),"REVIEW","READY"))</f>
        <v/>
      </c>
      <c r="N356" s="27" t="str">
        <f>IF(M356="","",IF(M356="READY","",TRIM(IF(A356="","missing entity_type; ","")&amp;IF(B356="","missing entity_key; ","")&amp;IF(C356="","missing contact_order; ","")&amp;IF(D356="","missing contact_type; ","")&amp;IF(E356="","missing number; ","")&amp;IF(J356="","missing status; ","")&amp;IF(AND(A356="client",COUNTIF(الزبائن!$A$6:$A$505,B356)=0),"client key not found; ","")&amp;IF(AND(A356="proposed_name",COUNTIF('أسماء مقترحة'!$A$6:$A$505,B356)=0),"proposed_name key not found; ","")&amp;IF(AND(D356="mobile",J356&lt;&gt;"invalid",NOT(OR(AND(LEN(E356&amp;"")=10,LEFT(E356&amp;"",2)="09"),AND(LEN(E356&amp;"")=9,LEFT(E356&amp;"",1)="9")))),"mobile must be 09XXXXXXXX or status invalid; ","")&amp;IF(COUNTIFS($A$6:$A$505,A356,$B$6:$B$505,B356,$E$6:$E$505,E356)&gt;1,"duplicate number for same entity; ",""))))</f>
        <v/>
      </c>
    </row>
    <row r="357" spans="1:14">
      <c r="A357" s="23"/>
      <c r="B357" s="24"/>
      <c r="C357" s="25"/>
      <c r="D357" s="25"/>
      <c r="E357" s="24"/>
      <c r="F357" s="24"/>
      <c r="G357" s="25"/>
      <c r="H357" s="25"/>
      <c r="I357" s="25"/>
      <c r="J357" s="25"/>
      <c r="K357" s="25"/>
      <c r="L357" s="25"/>
      <c r="M357" s="25" t="str">
        <f>IF(AND(A357="",B357="",E357=""),"",IF(OR(A357="",B357="",C357="",D357="",E357="",J357="",AND(A357="client",COUNTIF(الزبائن!$A$6:$A$505,B357)=0),AND(A357="proposed_name",COUNTIF('أسماء مقترحة'!$A$6:$A$505,B357)=0),AND(D357="mobile",J357&lt;&gt;"invalid",NOT(OR(AND(LEN(E357&amp;"")=10,LEFT(E357&amp;"",2)="09"),AND(LEN(E357&amp;"")=9,LEFT(E357&amp;"",1)="9")))),COUNTIFS($A$6:$A$505,A357,$B$6:$B$505,B357,$E$6:$E$505,E357)&gt;1),"REVIEW","READY"))</f>
        <v/>
      </c>
      <c r="N357" s="27" t="str">
        <f>IF(M357="","",IF(M357="READY","",TRIM(IF(A357="","missing entity_type; ","")&amp;IF(B357="","missing entity_key; ","")&amp;IF(C357="","missing contact_order; ","")&amp;IF(D357="","missing contact_type; ","")&amp;IF(E357="","missing number; ","")&amp;IF(J357="","missing status; ","")&amp;IF(AND(A357="client",COUNTIF(الزبائن!$A$6:$A$505,B357)=0),"client key not found; ","")&amp;IF(AND(A357="proposed_name",COUNTIF('أسماء مقترحة'!$A$6:$A$505,B357)=0),"proposed_name key not found; ","")&amp;IF(AND(D357="mobile",J357&lt;&gt;"invalid",NOT(OR(AND(LEN(E357&amp;"")=10,LEFT(E357&amp;"",2)="09"),AND(LEN(E357&amp;"")=9,LEFT(E357&amp;"",1)="9")))),"mobile must be 09XXXXXXXX or status invalid; ","")&amp;IF(COUNTIFS($A$6:$A$505,A357,$B$6:$B$505,B357,$E$6:$E$505,E357)&gt;1,"duplicate number for same entity; ",""))))</f>
        <v/>
      </c>
    </row>
    <row r="358" spans="1:14">
      <c r="A358" s="23"/>
      <c r="B358" s="24"/>
      <c r="C358" s="25"/>
      <c r="D358" s="25"/>
      <c r="E358" s="24"/>
      <c r="F358" s="24"/>
      <c r="G358" s="25"/>
      <c r="H358" s="25"/>
      <c r="I358" s="25"/>
      <c r="J358" s="25"/>
      <c r="K358" s="25"/>
      <c r="L358" s="25"/>
      <c r="M358" s="25" t="str">
        <f>IF(AND(A358="",B358="",E358=""),"",IF(OR(A358="",B358="",C358="",D358="",E358="",J358="",AND(A358="client",COUNTIF(الزبائن!$A$6:$A$505,B358)=0),AND(A358="proposed_name",COUNTIF('أسماء مقترحة'!$A$6:$A$505,B358)=0),AND(D358="mobile",J358&lt;&gt;"invalid",NOT(OR(AND(LEN(E358&amp;"")=10,LEFT(E358&amp;"",2)="09"),AND(LEN(E358&amp;"")=9,LEFT(E358&amp;"",1)="9")))),COUNTIFS($A$6:$A$505,A358,$B$6:$B$505,B358,$E$6:$E$505,E358)&gt;1),"REVIEW","READY"))</f>
        <v/>
      </c>
      <c r="N358" s="27" t="str">
        <f>IF(M358="","",IF(M358="READY","",TRIM(IF(A358="","missing entity_type; ","")&amp;IF(B358="","missing entity_key; ","")&amp;IF(C358="","missing contact_order; ","")&amp;IF(D358="","missing contact_type; ","")&amp;IF(E358="","missing number; ","")&amp;IF(J358="","missing status; ","")&amp;IF(AND(A358="client",COUNTIF(الزبائن!$A$6:$A$505,B358)=0),"client key not found; ","")&amp;IF(AND(A358="proposed_name",COUNTIF('أسماء مقترحة'!$A$6:$A$505,B358)=0),"proposed_name key not found; ","")&amp;IF(AND(D358="mobile",J358&lt;&gt;"invalid",NOT(OR(AND(LEN(E358&amp;"")=10,LEFT(E358&amp;"",2)="09"),AND(LEN(E358&amp;"")=9,LEFT(E358&amp;"",1)="9")))),"mobile must be 09XXXXXXXX or status invalid; ","")&amp;IF(COUNTIFS($A$6:$A$505,A358,$B$6:$B$505,B358,$E$6:$E$505,E358)&gt;1,"duplicate number for same entity; ",""))))</f>
        <v/>
      </c>
    </row>
    <row r="359" spans="1:14">
      <c r="A359" s="23"/>
      <c r="B359" s="24"/>
      <c r="C359" s="25"/>
      <c r="D359" s="25"/>
      <c r="E359" s="24"/>
      <c r="F359" s="24"/>
      <c r="G359" s="25"/>
      <c r="H359" s="25"/>
      <c r="I359" s="25"/>
      <c r="J359" s="25"/>
      <c r="K359" s="25"/>
      <c r="L359" s="25"/>
      <c r="M359" s="25" t="str">
        <f>IF(AND(A359="",B359="",E359=""),"",IF(OR(A359="",B359="",C359="",D359="",E359="",J359="",AND(A359="client",COUNTIF(الزبائن!$A$6:$A$505,B359)=0),AND(A359="proposed_name",COUNTIF('أسماء مقترحة'!$A$6:$A$505,B359)=0),AND(D359="mobile",J359&lt;&gt;"invalid",NOT(OR(AND(LEN(E359&amp;"")=10,LEFT(E359&amp;"",2)="09"),AND(LEN(E359&amp;"")=9,LEFT(E359&amp;"",1)="9")))),COUNTIFS($A$6:$A$505,A359,$B$6:$B$505,B359,$E$6:$E$505,E359)&gt;1),"REVIEW","READY"))</f>
        <v/>
      </c>
      <c r="N359" s="27" t="str">
        <f>IF(M359="","",IF(M359="READY","",TRIM(IF(A359="","missing entity_type; ","")&amp;IF(B359="","missing entity_key; ","")&amp;IF(C359="","missing contact_order; ","")&amp;IF(D359="","missing contact_type; ","")&amp;IF(E359="","missing number; ","")&amp;IF(J359="","missing status; ","")&amp;IF(AND(A359="client",COUNTIF(الزبائن!$A$6:$A$505,B359)=0),"client key not found; ","")&amp;IF(AND(A359="proposed_name",COUNTIF('أسماء مقترحة'!$A$6:$A$505,B359)=0),"proposed_name key not found; ","")&amp;IF(AND(D359="mobile",J359&lt;&gt;"invalid",NOT(OR(AND(LEN(E359&amp;"")=10,LEFT(E359&amp;"",2)="09"),AND(LEN(E359&amp;"")=9,LEFT(E359&amp;"",1)="9")))),"mobile must be 09XXXXXXXX or status invalid; ","")&amp;IF(COUNTIFS($A$6:$A$505,A359,$B$6:$B$505,B359,$E$6:$E$505,E359)&gt;1,"duplicate number for same entity; ",""))))</f>
        <v/>
      </c>
    </row>
    <row r="360" spans="1:14">
      <c r="A360" s="23"/>
      <c r="B360" s="24"/>
      <c r="C360" s="25"/>
      <c r="D360" s="25"/>
      <c r="E360" s="24"/>
      <c r="F360" s="24"/>
      <c r="G360" s="25"/>
      <c r="H360" s="25"/>
      <c r="I360" s="25"/>
      <c r="J360" s="25"/>
      <c r="K360" s="25"/>
      <c r="L360" s="25"/>
      <c r="M360" s="25" t="str">
        <f>IF(AND(A360="",B360="",E360=""),"",IF(OR(A360="",B360="",C360="",D360="",E360="",J360="",AND(A360="client",COUNTIF(الزبائن!$A$6:$A$505,B360)=0),AND(A360="proposed_name",COUNTIF('أسماء مقترحة'!$A$6:$A$505,B360)=0),AND(D360="mobile",J360&lt;&gt;"invalid",NOT(OR(AND(LEN(E360&amp;"")=10,LEFT(E360&amp;"",2)="09"),AND(LEN(E360&amp;"")=9,LEFT(E360&amp;"",1)="9")))),COUNTIFS($A$6:$A$505,A360,$B$6:$B$505,B360,$E$6:$E$505,E360)&gt;1),"REVIEW","READY"))</f>
        <v/>
      </c>
      <c r="N360" s="27" t="str">
        <f>IF(M360="","",IF(M360="READY","",TRIM(IF(A360="","missing entity_type; ","")&amp;IF(B360="","missing entity_key; ","")&amp;IF(C360="","missing contact_order; ","")&amp;IF(D360="","missing contact_type; ","")&amp;IF(E360="","missing number; ","")&amp;IF(J360="","missing status; ","")&amp;IF(AND(A360="client",COUNTIF(الزبائن!$A$6:$A$505,B360)=0),"client key not found; ","")&amp;IF(AND(A360="proposed_name",COUNTIF('أسماء مقترحة'!$A$6:$A$505,B360)=0),"proposed_name key not found; ","")&amp;IF(AND(D360="mobile",J360&lt;&gt;"invalid",NOT(OR(AND(LEN(E360&amp;"")=10,LEFT(E360&amp;"",2)="09"),AND(LEN(E360&amp;"")=9,LEFT(E360&amp;"",1)="9")))),"mobile must be 09XXXXXXXX or status invalid; ","")&amp;IF(COUNTIFS($A$6:$A$505,A360,$B$6:$B$505,B360,$E$6:$E$505,E360)&gt;1,"duplicate number for same entity; ",""))))</f>
        <v/>
      </c>
    </row>
    <row r="361" spans="1:14">
      <c r="A361" s="23"/>
      <c r="B361" s="24"/>
      <c r="C361" s="25"/>
      <c r="D361" s="25"/>
      <c r="E361" s="24"/>
      <c r="F361" s="24"/>
      <c r="G361" s="25"/>
      <c r="H361" s="25"/>
      <c r="I361" s="25"/>
      <c r="J361" s="25"/>
      <c r="K361" s="25"/>
      <c r="L361" s="25"/>
      <c r="M361" s="25" t="str">
        <f>IF(AND(A361="",B361="",E361=""),"",IF(OR(A361="",B361="",C361="",D361="",E361="",J361="",AND(A361="client",COUNTIF(الزبائن!$A$6:$A$505,B361)=0),AND(A361="proposed_name",COUNTIF('أسماء مقترحة'!$A$6:$A$505,B361)=0),AND(D361="mobile",J361&lt;&gt;"invalid",NOT(OR(AND(LEN(E361&amp;"")=10,LEFT(E361&amp;"",2)="09"),AND(LEN(E361&amp;"")=9,LEFT(E361&amp;"",1)="9")))),COUNTIFS($A$6:$A$505,A361,$B$6:$B$505,B361,$E$6:$E$505,E361)&gt;1),"REVIEW","READY"))</f>
        <v/>
      </c>
      <c r="N361" s="27" t="str">
        <f>IF(M361="","",IF(M361="READY","",TRIM(IF(A361="","missing entity_type; ","")&amp;IF(B361="","missing entity_key; ","")&amp;IF(C361="","missing contact_order; ","")&amp;IF(D361="","missing contact_type; ","")&amp;IF(E361="","missing number; ","")&amp;IF(J361="","missing status; ","")&amp;IF(AND(A361="client",COUNTIF(الزبائن!$A$6:$A$505,B361)=0),"client key not found; ","")&amp;IF(AND(A361="proposed_name",COUNTIF('أسماء مقترحة'!$A$6:$A$505,B361)=0),"proposed_name key not found; ","")&amp;IF(AND(D361="mobile",J361&lt;&gt;"invalid",NOT(OR(AND(LEN(E361&amp;"")=10,LEFT(E361&amp;"",2)="09"),AND(LEN(E361&amp;"")=9,LEFT(E361&amp;"",1)="9")))),"mobile must be 09XXXXXXXX or status invalid; ","")&amp;IF(COUNTIFS($A$6:$A$505,A361,$B$6:$B$505,B361,$E$6:$E$505,E361)&gt;1,"duplicate number for same entity; ",""))))</f>
        <v/>
      </c>
    </row>
    <row r="362" spans="1:14">
      <c r="A362" s="23"/>
      <c r="B362" s="24"/>
      <c r="C362" s="25"/>
      <c r="D362" s="25"/>
      <c r="E362" s="24"/>
      <c r="F362" s="24"/>
      <c r="G362" s="25"/>
      <c r="H362" s="25"/>
      <c r="I362" s="25"/>
      <c r="J362" s="25"/>
      <c r="K362" s="25"/>
      <c r="L362" s="25"/>
      <c r="M362" s="25" t="str">
        <f>IF(AND(A362="",B362="",E362=""),"",IF(OR(A362="",B362="",C362="",D362="",E362="",J362="",AND(A362="client",COUNTIF(الزبائن!$A$6:$A$505,B362)=0),AND(A362="proposed_name",COUNTIF('أسماء مقترحة'!$A$6:$A$505,B362)=0),AND(D362="mobile",J362&lt;&gt;"invalid",NOT(OR(AND(LEN(E362&amp;"")=10,LEFT(E362&amp;"",2)="09"),AND(LEN(E362&amp;"")=9,LEFT(E362&amp;"",1)="9")))),COUNTIFS($A$6:$A$505,A362,$B$6:$B$505,B362,$E$6:$E$505,E362)&gt;1),"REVIEW","READY"))</f>
        <v/>
      </c>
      <c r="N362" s="27" t="str">
        <f>IF(M362="","",IF(M362="READY","",TRIM(IF(A362="","missing entity_type; ","")&amp;IF(B362="","missing entity_key; ","")&amp;IF(C362="","missing contact_order; ","")&amp;IF(D362="","missing contact_type; ","")&amp;IF(E362="","missing number; ","")&amp;IF(J362="","missing status; ","")&amp;IF(AND(A362="client",COUNTIF(الزبائن!$A$6:$A$505,B362)=0),"client key not found; ","")&amp;IF(AND(A362="proposed_name",COUNTIF('أسماء مقترحة'!$A$6:$A$505,B362)=0),"proposed_name key not found; ","")&amp;IF(AND(D362="mobile",J362&lt;&gt;"invalid",NOT(OR(AND(LEN(E362&amp;"")=10,LEFT(E362&amp;"",2)="09"),AND(LEN(E362&amp;"")=9,LEFT(E362&amp;"",1)="9")))),"mobile must be 09XXXXXXXX or status invalid; ","")&amp;IF(COUNTIFS($A$6:$A$505,A362,$B$6:$B$505,B362,$E$6:$E$505,E362)&gt;1,"duplicate number for same entity; ",""))))</f>
        <v/>
      </c>
    </row>
    <row r="363" spans="1:14">
      <c r="A363" s="23"/>
      <c r="B363" s="24"/>
      <c r="C363" s="25"/>
      <c r="D363" s="25"/>
      <c r="E363" s="24"/>
      <c r="F363" s="24"/>
      <c r="G363" s="25"/>
      <c r="H363" s="25"/>
      <c r="I363" s="25"/>
      <c r="J363" s="25"/>
      <c r="K363" s="25"/>
      <c r="L363" s="25"/>
      <c r="M363" s="25" t="str">
        <f>IF(AND(A363="",B363="",E363=""),"",IF(OR(A363="",B363="",C363="",D363="",E363="",J363="",AND(A363="client",COUNTIF(الزبائن!$A$6:$A$505,B363)=0),AND(A363="proposed_name",COUNTIF('أسماء مقترحة'!$A$6:$A$505,B363)=0),AND(D363="mobile",J363&lt;&gt;"invalid",NOT(OR(AND(LEN(E363&amp;"")=10,LEFT(E363&amp;"",2)="09"),AND(LEN(E363&amp;"")=9,LEFT(E363&amp;"",1)="9")))),COUNTIFS($A$6:$A$505,A363,$B$6:$B$505,B363,$E$6:$E$505,E363)&gt;1),"REVIEW","READY"))</f>
        <v/>
      </c>
      <c r="N363" s="27" t="str">
        <f>IF(M363="","",IF(M363="READY","",TRIM(IF(A363="","missing entity_type; ","")&amp;IF(B363="","missing entity_key; ","")&amp;IF(C363="","missing contact_order; ","")&amp;IF(D363="","missing contact_type; ","")&amp;IF(E363="","missing number; ","")&amp;IF(J363="","missing status; ","")&amp;IF(AND(A363="client",COUNTIF(الزبائن!$A$6:$A$505,B363)=0),"client key not found; ","")&amp;IF(AND(A363="proposed_name",COUNTIF('أسماء مقترحة'!$A$6:$A$505,B363)=0),"proposed_name key not found; ","")&amp;IF(AND(D363="mobile",J363&lt;&gt;"invalid",NOT(OR(AND(LEN(E363&amp;"")=10,LEFT(E363&amp;"",2)="09"),AND(LEN(E363&amp;"")=9,LEFT(E363&amp;"",1)="9")))),"mobile must be 09XXXXXXXX or status invalid; ","")&amp;IF(COUNTIFS($A$6:$A$505,A363,$B$6:$B$505,B363,$E$6:$E$505,E363)&gt;1,"duplicate number for same entity; ",""))))</f>
        <v/>
      </c>
    </row>
    <row r="364" spans="1:14">
      <c r="A364" s="23"/>
      <c r="B364" s="24"/>
      <c r="C364" s="25"/>
      <c r="D364" s="25"/>
      <c r="E364" s="24"/>
      <c r="F364" s="24"/>
      <c r="G364" s="25"/>
      <c r="H364" s="25"/>
      <c r="I364" s="25"/>
      <c r="J364" s="25"/>
      <c r="K364" s="25"/>
      <c r="L364" s="25"/>
      <c r="M364" s="25" t="str">
        <f>IF(AND(A364="",B364="",E364=""),"",IF(OR(A364="",B364="",C364="",D364="",E364="",J364="",AND(A364="client",COUNTIF(الزبائن!$A$6:$A$505,B364)=0),AND(A364="proposed_name",COUNTIF('أسماء مقترحة'!$A$6:$A$505,B364)=0),AND(D364="mobile",J364&lt;&gt;"invalid",NOT(OR(AND(LEN(E364&amp;"")=10,LEFT(E364&amp;"",2)="09"),AND(LEN(E364&amp;"")=9,LEFT(E364&amp;"",1)="9")))),COUNTIFS($A$6:$A$505,A364,$B$6:$B$505,B364,$E$6:$E$505,E364)&gt;1),"REVIEW","READY"))</f>
        <v/>
      </c>
      <c r="N364" s="27" t="str">
        <f>IF(M364="","",IF(M364="READY","",TRIM(IF(A364="","missing entity_type; ","")&amp;IF(B364="","missing entity_key; ","")&amp;IF(C364="","missing contact_order; ","")&amp;IF(D364="","missing contact_type; ","")&amp;IF(E364="","missing number; ","")&amp;IF(J364="","missing status; ","")&amp;IF(AND(A364="client",COUNTIF(الزبائن!$A$6:$A$505,B364)=0),"client key not found; ","")&amp;IF(AND(A364="proposed_name",COUNTIF('أسماء مقترحة'!$A$6:$A$505,B364)=0),"proposed_name key not found; ","")&amp;IF(AND(D364="mobile",J364&lt;&gt;"invalid",NOT(OR(AND(LEN(E364&amp;"")=10,LEFT(E364&amp;"",2)="09"),AND(LEN(E364&amp;"")=9,LEFT(E364&amp;"",1)="9")))),"mobile must be 09XXXXXXXX or status invalid; ","")&amp;IF(COUNTIFS($A$6:$A$505,A364,$B$6:$B$505,B364,$E$6:$E$505,E364)&gt;1,"duplicate number for same entity; ",""))))</f>
        <v/>
      </c>
    </row>
    <row r="365" spans="1:14">
      <c r="A365" s="23"/>
      <c r="B365" s="24"/>
      <c r="C365" s="25"/>
      <c r="D365" s="25"/>
      <c r="E365" s="24"/>
      <c r="F365" s="24"/>
      <c r="G365" s="25"/>
      <c r="H365" s="25"/>
      <c r="I365" s="25"/>
      <c r="J365" s="25"/>
      <c r="K365" s="25"/>
      <c r="L365" s="25"/>
      <c r="M365" s="25" t="str">
        <f>IF(AND(A365="",B365="",E365=""),"",IF(OR(A365="",B365="",C365="",D365="",E365="",J365="",AND(A365="client",COUNTIF(الزبائن!$A$6:$A$505,B365)=0),AND(A365="proposed_name",COUNTIF('أسماء مقترحة'!$A$6:$A$505,B365)=0),AND(D365="mobile",J365&lt;&gt;"invalid",NOT(OR(AND(LEN(E365&amp;"")=10,LEFT(E365&amp;"",2)="09"),AND(LEN(E365&amp;"")=9,LEFT(E365&amp;"",1)="9")))),COUNTIFS($A$6:$A$505,A365,$B$6:$B$505,B365,$E$6:$E$505,E365)&gt;1),"REVIEW","READY"))</f>
        <v/>
      </c>
      <c r="N365" s="27" t="str">
        <f>IF(M365="","",IF(M365="READY","",TRIM(IF(A365="","missing entity_type; ","")&amp;IF(B365="","missing entity_key; ","")&amp;IF(C365="","missing contact_order; ","")&amp;IF(D365="","missing contact_type; ","")&amp;IF(E365="","missing number; ","")&amp;IF(J365="","missing status; ","")&amp;IF(AND(A365="client",COUNTIF(الزبائن!$A$6:$A$505,B365)=0),"client key not found; ","")&amp;IF(AND(A365="proposed_name",COUNTIF('أسماء مقترحة'!$A$6:$A$505,B365)=0),"proposed_name key not found; ","")&amp;IF(AND(D365="mobile",J365&lt;&gt;"invalid",NOT(OR(AND(LEN(E365&amp;"")=10,LEFT(E365&amp;"",2)="09"),AND(LEN(E365&amp;"")=9,LEFT(E365&amp;"",1)="9")))),"mobile must be 09XXXXXXXX or status invalid; ","")&amp;IF(COUNTIFS($A$6:$A$505,A365,$B$6:$B$505,B365,$E$6:$E$505,E365)&gt;1,"duplicate number for same entity; ",""))))</f>
        <v/>
      </c>
    </row>
    <row r="366" spans="1:14">
      <c r="A366" s="23"/>
      <c r="B366" s="24"/>
      <c r="C366" s="25"/>
      <c r="D366" s="25"/>
      <c r="E366" s="24"/>
      <c r="F366" s="24"/>
      <c r="G366" s="25"/>
      <c r="H366" s="25"/>
      <c r="I366" s="25"/>
      <c r="J366" s="25"/>
      <c r="K366" s="25"/>
      <c r="L366" s="25"/>
      <c r="M366" s="25" t="str">
        <f>IF(AND(A366="",B366="",E366=""),"",IF(OR(A366="",B366="",C366="",D366="",E366="",J366="",AND(A366="client",COUNTIF(الزبائن!$A$6:$A$505,B366)=0),AND(A366="proposed_name",COUNTIF('أسماء مقترحة'!$A$6:$A$505,B366)=0),AND(D366="mobile",J366&lt;&gt;"invalid",NOT(OR(AND(LEN(E366&amp;"")=10,LEFT(E366&amp;"",2)="09"),AND(LEN(E366&amp;"")=9,LEFT(E366&amp;"",1)="9")))),COUNTIFS($A$6:$A$505,A366,$B$6:$B$505,B366,$E$6:$E$505,E366)&gt;1),"REVIEW","READY"))</f>
        <v/>
      </c>
      <c r="N366" s="27" t="str">
        <f>IF(M366="","",IF(M366="READY","",TRIM(IF(A366="","missing entity_type; ","")&amp;IF(B366="","missing entity_key; ","")&amp;IF(C366="","missing contact_order; ","")&amp;IF(D366="","missing contact_type; ","")&amp;IF(E366="","missing number; ","")&amp;IF(J366="","missing status; ","")&amp;IF(AND(A366="client",COUNTIF(الزبائن!$A$6:$A$505,B366)=0),"client key not found; ","")&amp;IF(AND(A366="proposed_name",COUNTIF('أسماء مقترحة'!$A$6:$A$505,B366)=0),"proposed_name key not found; ","")&amp;IF(AND(D366="mobile",J366&lt;&gt;"invalid",NOT(OR(AND(LEN(E366&amp;"")=10,LEFT(E366&amp;"",2)="09"),AND(LEN(E366&amp;"")=9,LEFT(E366&amp;"",1)="9")))),"mobile must be 09XXXXXXXX or status invalid; ","")&amp;IF(COUNTIFS($A$6:$A$505,A366,$B$6:$B$505,B366,$E$6:$E$505,E366)&gt;1,"duplicate number for same entity; ",""))))</f>
        <v/>
      </c>
    </row>
    <row r="367" spans="1:14">
      <c r="A367" s="23"/>
      <c r="B367" s="24"/>
      <c r="C367" s="25"/>
      <c r="D367" s="25"/>
      <c r="E367" s="24"/>
      <c r="F367" s="24"/>
      <c r="G367" s="25"/>
      <c r="H367" s="25"/>
      <c r="I367" s="25"/>
      <c r="J367" s="25"/>
      <c r="K367" s="25"/>
      <c r="L367" s="25"/>
      <c r="M367" s="25" t="str">
        <f>IF(AND(A367="",B367="",E367=""),"",IF(OR(A367="",B367="",C367="",D367="",E367="",J367="",AND(A367="client",COUNTIF(الزبائن!$A$6:$A$505,B367)=0),AND(A367="proposed_name",COUNTIF('أسماء مقترحة'!$A$6:$A$505,B367)=0),AND(D367="mobile",J367&lt;&gt;"invalid",NOT(OR(AND(LEN(E367&amp;"")=10,LEFT(E367&amp;"",2)="09"),AND(LEN(E367&amp;"")=9,LEFT(E367&amp;"",1)="9")))),COUNTIFS($A$6:$A$505,A367,$B$6:$B$505,B367,$E$6:$E$505,E367)&gt;1),"REVIEW","READY"))</f>
        <v/>
      </c>
      <c r="N367" s="27" t="str">
        <f>IF(M367="","",IF(M367="READY","",TRIM(IF(A367="","missing entity_type; ","")&amp;IF(B367="","missing entity_key; ","")&amp;IF(C367="","missing contact_order; ","")&amp;IF(D367="","missing contact_type; ","")&amp;IF(E367="","missing number; ","")&amp;IF(J367="","missing status; ","")&amp;IF(AND(A367="client",COUNTIF(الزبائن!$A$6:$A$505,B367)=0),"client key not found; ","")&amp;IF(AND(A367="proposed_name",COUNTIF('أسماء مقترحة'!$A$6:$A$505,B367)=0),"proposed_name key not found; ","")&amp;IF(AND(D367="mobile",J367&lt;&gt;"invalid",NOT(OR(AND(LEN(E367&amp;"")=10,LEFT(E367&amp;"",2)="09"),AND(LEN(E367&amp;"")=9,LEFT(E367&amp;"",1)="9")))),"mobile must be 09XXXXXXXX or status invalid; ","")&amp;IF(COUNTIFS($A$6:$A$505,A367,$B$6:$B$505,B367,$E$6:$E$505,E367)&gt;1,"duplicate number for same entity; ",""))))</f>
        <v/>
      </c>
    </row>
    <row r="368" spans="1:14">
      <c r="A368" s="23"/>
      <c r="B368" s="24"/>
      <c r="C368" s="25"/>
      <c r="D368" s="25"/>
      <c r="E368" s="24"/>
      <c r="F368" s="24"/>
      <c r="G368" s="25"/>
      <c r="H368" s="25"/>
      <c r="I368" s="25"/>
      <c r="J368" s="25"/>
      <c r="K368" s="25"/>
      <c r="L368" s="25"/>
      <c r="M368" s="25" t="str">
        <f>IF(AND(A368="",B368="",E368=""),"",IF(OR(A368="",B368="",C368="",D368="",E368="",J368="",AND(A368="client",COUNTIF(الزبائن!$A$6:$A$505,B368)=0),AND(A368="proposed_name",COUNTIF('أسماء مقترحة'!$A$6:$A$505,B368)=0),AND(D368="mobile",J368&lt;&gt;"invalid",NOT(OR(AND(LEN(E368&amp;"")=10,LEFT(E368&amp;"",2)="09"),AND(LEN(E368&amp;"")=9,LEFT(E368&amp;"",1)="9")))),COUNTIFS($A$6:$A$505,A368,$B$6:$B$505,B368,$E$6:$E$505,E368)&gt;1),"REVIEW","READY"))</f>
        <v/>
      </c>
      <c r="N368" s="27" t="str">
        <f>IF(M368="","",IF(M368="READY","",TRIM(IF(A368="","missing entity_type; ","")&amp;IF(B368="","missing entity_key; ","")&amp;IF(C368="","missing contact_order; ","")&amp;IF(D368="","missing contact_type; ","")&amp;IF(E368="","missing number; ","")&amp;IF(J368="","missing status; ","")&amp;IF(AND(A368="client",COUNTIF(الزبائن!$A$6:$A$505,B368)=0),"client key not found; ","")&amp;IF(AND(A368="proposed_name",COUNTIF('أسماء مقترحة'!$A$6:$A$505,B368)=0),"proposed_name key not found; ","")&amp;IF(AND(D368="mobile",J368&lt;&gt;"invalid",NOT(OR(AND(LEN(E368&amp;"")=10,LEFT(E368&amp;"",2)="09"),AND(LEN(E368&amp;"")=9,LEFT(E368&amp;"",1)="9")))),"mobile must be 09XXXXXXXX or status invalid; ","")&amp;IF(COUNTIFS($A$6:$A$505,A368,$B$6:$B$505,B368,$E$6:$E$505,E368)&gt;1,"duplicate number for same entity; ",""))))</f>
        <v/>
      </c>
    </row>
    <row r="369" spans="1:14">
      <c r="A369" s="23"/>
      <c r="B369" s="24"/>
      <c r="C369" s="25"/>
      <c r="D369" s="25"/>
      <c r="E369" s="24"/>
      <c r="F369" s="24"/>
      <c r="G369" s="25"/>
      <c r="H369" s="25"/>
      <c r="I369" s="25"/>
      <c r="J369" s="25"/>
      <c r="K369" s="25"/>
      <c r="L369" s="25"/>
      <c r="M369" s="25" t="str">
        <f>IF(AND(A369="",B369="",E369=""),"",IF(OR(A369="",B369="",C369="",D369="",E369="",J369="",AND(A369="client",COUNTIF(الزبائن!$A$6:$A$505,B369)=0),AND(A369="proposed_name",COUNTIF('أسماء مقترحة'!$A$6:$A$505,B369)=0),AND(D369="mobile",J369&lt;&gt;"invalid",NOT(OR(AND(LEN(E369&amp;"")=10,LEFT(E369&amp;"",2)="09"),AND(LEN(E369&amp;"")=9,LEFT(E369&amp;"",1)="9")))),COUNTIFS($A$6:$A$505,A369,$B$6:$B$505,B369,$E$6:$E$505,E369)&gt;1),"REVIEW","READY"))</f>
        <v/>
      </c>
      <c r="N369" s="27" t="str">
        <f>IF(M369="","",IF(M369="READY","",TRIM(IF(A369="","missing entity_type; ","")&amp;IF(B369="","missing entity_key; ","")&amp;IF(C369="","missing contact_order; ","")&amp;IF(D369="","missing contact_type; ","")&amp;IF(E369="","missing number; ","")&amp;IF(J369="","missing status; ","")&amp;IF(AND(A369="client",COUNTIF(الزبائن!$A$6:$A$505,B369)=0),"client key not found; ","")&amp;IF(AND(A369="proposed_name",COUNTIF('أسماء مقترحة'!$A$6:$A$505,B369)=0),"proposed_name key not found; ","")&amp;IF(AND(D369="mobile",J369&lt;&gt;"invalid",NOT(OR(AND(LEN(E369&amp;"")=10,LEFT(E369&amp;"",2)="09"),AND(LEN(E369&amp;"")=9,LEFT(E369&amp;"",1)="9")))),"mobile must be 09XXXXXXXX or status invalid; ","")&amp;IF(COUNTIFS($A$6:$A$505,A369,$B$6:$B$505,B369,$E$6:$E$505,E369)&gt;1,"duplicate number for same entity; ",""))))</f>
        <v/>
      </c>
    </row>
    <row r="370" spans="1:14">
      <c r="A370" s="23"/>
      <c r="B370" s="24"/>
      <c r="C370" s="25"/>
      <c r="D370" s="25"/>
      <c r="E370" s="24"/>
      <c r="F370" s="24"/>
      <c r="G370" s="25"/>
      <c r="H370" s="25"/>
      <c r="I370" s="25"/>
      <c r="J370" s="25"/>
      <c r="K370" s="25"/>
      <c r="L370" s="25"/>
      <c r="M370" s="25" t="str">
        <f>IF(AND(A370="",B370="",E370=""),"",IF(OR(A370="",B370="",C370="",D370="",E370="",J370="",AND(A370="client",COUNTIF(الزبائن!$A$6:$A$505,B370)=0),AND(A370="proposed_name",COUNTIF('أسماء مقترحة'!$A$6:$A$505,B370)=0),AND(D370="mobile",J370&lt;&gt;"invalid",NOT(OR(AND(LEN(E370&amp;"")=10,LEFT(E370&amp;"",2)="09"),AND(LEN(E370&amp;"")=9,LEFT(E370&amp;"",1)="9")))),COUNTIFS($A$6:$A$505,A370,$B$6:$B$505,B370,$E$6:$E$505,E370)&gt;1),"REVIEW","READY"))</f>
        <v/>
      </c>
      <c r="N370" s="27" t="str">
        <f>IF(M370="","",IF(M370="READY","",TRIM(IF(A370="","missing entity_type; ","")&amp;IF(B370="","missing entity_key; ","")&amp;IF(C370="","missing contact_order; ","")&amp;IF(D370="","missing contact_type; ","")&amp;IF(E370="","missing number; ","")&amp;IF(J370="","missing status; ","")&amp;IF(AND(A370="client",COUNTIF(الزبائن!$A$6:$A$505,B370)=0),"client key not found; ","")&amp;IF(AND(A370="proposed_name",COUNTIF('أسماء مقترحة'!$A$6:$A$505,B370)=0),"proposed_name key not found; ","")&amp;IF(AND(D370="mobile",J370&lt;&gt;"invalid",NOT(OR(AND(LEN(E370&amp;"")=10,LEFT(E370&amp;"",2)="09"),AND(LEN(E370&amp;"")=9,LEFT(E370&amp;"",1)="9")))),"mobile must be 09XXXXXXXX or status invalid; ","")&amp;IF(COUNTIFS($A$6:$A$505,A370,$B$6:$B$505,B370,$E$6:$E$505,E370)&gt;1,"duplicate number for same entity; ",""))))</f>
        <v/>
      </c>
    </row>
    <row r="371" spans="1:14">
      <c r="A371" s="23"/>
      <c r="B371" s="24"/>
      <c r="C371" s="25"/>
      <c r="D371" s="25"/>
      <c r="E371" s="24"/>
      <c r="F371" s="24"/>
      <c r="G371" s="25"/>
      <c r="H371" s="25"/>
      <c r="I371" s="25"/>
      <c r="J371" s="25"/>
      <c r="K371" s="25"/>
      <c r="L371" s="25"/>
      <c r="M371" s="25" t="str">
        <f>IF(AND(A371="",B371="",E371=""),"",IF(OR(A371="",B371="",C371="",D371="",E371="",J371="",AND(A371="client",COUNTIF(الزبائن!$A$6:$A$505,B371)=0),AND(A371="proposed_name",COUNTIF('أسماء مقترحة'!$A$6:$A$505,B371)=0),AND(D371="mobile",J371&lt;&gt;"invalid",NOT(OR(AND(LEN(E371&amp;"")=10,LEFT(E371&amp;"",2)="09"),AND(LEN(E371&amp;"")=9,LEFT(E371&amp;"",1)="9")))),COUNTIFS($A$6:$A$505,A371,$B$6:$B$505,B371,$E$6:$E$505,E371)&gt;1),"REVIEW","READY"))</f>
        <v/>
      </c>
      <c r="N371" s="27" t="str">
        <f>IF(M371="","",IF(M371="READY","",TRIM(IF(A371="","missing entity_type; ","")&amp;IF(B371="","missing entity_key; ","")&amp;IF(C371="","missing contact_order; ","")&amp;IF(D371="","missing contact_type; ","")&amp;IF(E371="","missing number; ","")&amp;IF(J371="","missing status; ","")&amp;IF(AND(A371="client",COUNTIF(الزبائن!$A$6:$A$505,B371)=0),"client key not found; ","")&amp;IF(AND(A371="proposed_name",COUNTIF('أسماء مقترحة'!$A$6:$A$505,B371)=0),"proposed_name key not found; ","")&amp;IF(AND(D371="mobile",J371&lt;&gt;"invalid",NOT(OR(AND(LEN(E371&amp;"")=10,LEFT(E371&amp;"",2)="09"),AND(LEN(E371&amp;"")=9,LEFT(E371&amp;"",1)="9")))),"mobile must be 09XXXXXXXX or status invalid; ","")&amp;IF(COUNTIFS($A$6:$A$505,A371,$B$6:$B$505,B371,$E$6:$E$505,E371)&gt;1,"duplicate number for same entity; ",""))))</f>
        <v/>
      </c>
    </row>
    <row r="372" spans="1:14">
      <c r="A372" s="23"/>
      <c r="B372" s="24"/>
      <c r="C372" s="25"/>
      <c r="D372" s="25"/>
      <c r="E372" s="24"/>
      <c r="F372" s="24"/>
      <c r="G372" s="25"/>
      <c r="H372" s="25"/>
      <c r="I372" s="25"/>
      <c r="J372" s="25"/>
      <c r="K372" s="25"/>
      <c r="L372" s="25"/>
      <c r="M372" s="25" t="str">
        <f>IF(AND(A372="",B372="",E372=""),"",IF(OR(A372="",B372="",C372="",D372="",E372="",J372="",AND(A372="client",COUNTIF(الزبائن!$A$6:$A$505,B372)=0),AND(A372="proposed_name",COUNTIF('أسماء مقترحة'!$A$6:$A$505,B372)=0),AND(D372="mobile",J372&lt;&gt;"invalid",NOT(OR(AND(LEN(E372&amp;"")=10,LEFT(E372&amp;"",2)="09"),AND(LEN(E372&amp;"")=9,LEFT(E372&amp;"",1)="9")))),COUNTIFS($A$6:$A$505,A372,$B$6:$B$505,B372,$E$6:$E$505,E372)&gt;1),"REVIEW","READY"))</f>
        <v/>
      </c>
      <c r="N372" s="27" t="str">
        <f>IF(M372="","",IF(M372="READY","",TRIM(IF(A372="","missing entity_type; ","")&amp;IF(B372="","missing entity_key; ","")&amp;IF(C372="","missing contact_order; ","")&amp;IF(D372="","missing contact_type; ","")&amp;IF(E372="","missing number; ","")&amp;IF(J372="","missing status; ","")&amp;IF(AND(A372="client",COUNTIF(الزبائن!$A$6:$A$505,B372)=0),"client key not found; ","")&amp;IF(AND(A372="proposed_name",COUNTIF('أسماء مقترحة'!$A$6:$A$505,B372)=0),"proposed_name key not found; ","")&amp;IF(AND(D372="mobile",J372&lt;&gt;"invalid",NOT(OR(AND(LEN(E372&amp;"")=10,LEFT(E372&amp;"",2)="09"),AND(LEN(E372&amp;"")=9,LEFT(E372&amp;"",1)="9")))),"mobile must be 09XXXXXXXX or status invalid; ","")&amp;IF(COUNTIFS($A$6:$A$505,A372,$B$6:$B$505,B372,$E$6:$E$505,E372)&gt;1,"duplicate number for same entity; ",""))))</f>
        <v/>
      </c>
    </row>
    <row r="373" spans="1:14">
      <c r="A373" s="23"/>
      <c r="B373" s="24"/>
      <c r="C373" s="25"/>
      <c r="D373" s="25"/>
      <c r="E373" s="24"/>
      <c r="F373" s="24"/>
      <c r="G373" s="25"/>
      <c r="H373" s="25"/>
      <c r="I373" s="25"/>
      <c r="J373" s="25"/>
      <c r="K373" s="25"/>
      <c r="L373" s="25"/>
      <c r="M373" s="25" t="str">
        <f>IF(AND(A373="",B373="",E373=""),"",IF(OR(A373="",B373="",C373="",D373="",E373="",J373="",AND(A373="client",COUNTIF(الزبائن!$A$6:$A$505,B373)=0),AND(A373="proposed_name",COUNTIF('أسماء مقترحة'!$A$6:$A$505,B373)=0),AND(D373="mobile",J373&lt;&gt;"invalid",NOT(OR(AND(LEN(E373&amp;"")=10,LEFT(E373&amp;"",2)="09"),AND(LEN(E373&amp;"")=9,LEFT(E373&amp;"",1)="9")))),COUNTIFS($A$6:$A$505,A373,$B$6:$B$505,B373,$E$6:$E$505,E373)&gt;1),"REVIEW","READY"))</f>
        <v/>
      </c>
      <c r="N373" s="27" t="str">
        <f>IF(M373="","",IF(M373="READY","",TRIM(IF(A373="","missing entity_type; ","")&amp;IF(B373="","missing entity_key; ","")&amp;IF(C373="","missing contact_order; ","")&amp;IF(D373="","missing contact_type; ","")&amp;IF(E373="","missing number; ","")&amp;IF(J373="","missing status; ","")&amp;IF(AND(A373="client",COUNTIF(الزبائن!$A$6:$A$505,B373)=0),"client key not found; ","")&amp;IF(AND(A373="proposed_name",COUNTIF('أسماء مقترحة'!$A$6:$A$505,B373)=0),"proposed_name key not found; ","")&amp;IF(AND(D373="mobile",J373&lt;&gt;"invalid",NOT(OR(AND(LEN(E373&amp;"")=10,LEFT(E373&amp;"",2)="09"),AND(LEN(E373&amp;"")=9,LEFT(E373&amp;"",1)="9")))),"mobile must be 09XXXXXXXX or status invalid; ","")&amp;IF(COUNTIFS($A$6:$A$505,A373,$B$6:$B$505,B373,$E$6:$E$505,E373)&gt;1,"duplicate number for same entity; ",""))))</f>
        <v/>
      </c>
    </row>
    <row r="374" spans="1:14">
      <c r="A374" s="23"/>
      <c r="B374" s="24"/>
      <c r="C374" s="25"/>
      <c r="D374" s="25"/>
      <c r="E374" s="24"/>
      <c r="F374" s="24"/>
      <c r="G374" s="25"/>
      <c r="H374" s="25"/>
      <c r="I374" s="25"/>
      <c r="J374" s="25"/>
      <c r="K374" s="25"/>
      <c r="L374" s="25"/>
      <c r="M374" s="25" t="str">
        <f>IF(AND(A374="",B374="",E374=""),"",IF(OR(A374="",B374="",C374="",D374="",E374="",J374="",AND(A374="client",COUNTIF(الزبائن!$A$6:$A$505,B374)=0),AND(A374="proposed_name",COUNTIF('أسماء مقترحة'!$A$6:$A$505,B374)=0),AND(D374="mobile",J374&lt;&gt;"invalid",NOT(OR(AND(LEN(E374&amp;"")=10,LEFT(E374&amp;"",2)="09"),AND(LEN(E374&amp;"")=9,LEFT(E374&amp;"",1)="9")))),COUNTIFS($A$6:$A$505,A374,$B$6:$B$505,B374,$E$6:$E$505,E374)&gt;1),"REVIEW","READY"))</f>
        <v/>
      </c>
      <c r="N374" s="27" t="str">
        <f>IF(M374="","",IF(M374="READY","",TRIM(IF(A374="","missing entity_type; ","")&amp;IF(B374="","missing entity_key; ","")&amp;IF(C374="","missing contact_order; ","")&amp;IF(D374="","missing contact_type; ","")&amp;IF(E374="","missing number; ","")&amp;IF(J374="","missing status; ","")&amp;IF(AND(A374="client",COUNTIF(الزبائن!$A$6:$A$505,B374)=0),"client key not found; ","")&amp;IF(AND(A374="proposed_name",COUNTIF('أسماء مقترحة'!$A$6:$A$505,B374)=0),"proposed_name key not found; ","")&amp;IF(AND(D374="mobile",J374&lt;&gt;"invalid",NOT(OR(AND(LEN(E374&amp;"")=10,LEFT(E374&amp;"",2)="09"),AND(LEN(E374&amp;"")=9,LEFT(E374&amp;"",1)="9")))),"mobile must be 09XXXXXXXX or status invalid; ","")&amp;IF(COUNTIFS($A$6:$A$505,A374,$B$6:$B$505,B374,$E$6:$E$505,E374)&gt;1,"duplicate number for same entity; ",""))))</f>
        <v/>
      </c>
    </row>
    <row r="375" spans="1:14">
      <c r="A375" s="23"/>
      <c r="B375" s="24"/>
      <c r="C375" s="25"/>
      <c r="D375" s="25"/>
      <c r="E375" s="24"/>
      <c r="F375" s="24"/>
      <c r="G375" s="25"/>
      <c r="H375" s="25"/>
      <c r="I375" s="25"/>
      <c r="J375" s="25"/>
      <c r="K375" s="25"/>
      <c r="L375" s="25"/>
      <c r="M375" s="25" t="str">
        <f>IF(AND(A375="",B375="",E375=""),"",IF(OR(A375="",B375="",C375="",D375="",E375="",J375="",AND(A375="client",COUNTIF(الزبائن!$A$6:$A$505,B375)=0),AND(A375="proposed_name",COUNTIF('أسماء مقترحة'!$A$6:$A$505,B375)=0),AND(D375="mobile",J375&lt;&gt;"invalid",NOT(OR(AND(LEN(E375&amp;"")=10,LEFT(E375&amp;"",2)="09"),AND(LEN(E375&amp;"")=9,LEFT(E375&amp;"",1)="9")))),COUNTIFS($A$6:$A$505,A375,$B$6:$B$505,B375,$E$6:$E$505,E375)&gt;1),"REVIEW","READY"))</f>
        <v/>
      </c>
      <c r="N375" s="27" t="str">
        <f>IF(M375="","",IF(M375="READY","",TRIM(IF(A375="","missing entity_type; ","")&amp;IF(B375="","missing entity_key; ","")&amp;IF(C375="","missing contact_order; ","")&amp;IF(D375="","missing contact_type; ","")&amp;IF(E375="","missing number; ","")&amp;IF(J375="","missing status; ","")&amp;IF(AND(A375="client",COUNTIF(الزبائن!$A$6:$A$505,B375)=0),"client key not found; ","")&amp;IF(AND(A375="proposed_name",COUNTIF('أسماء مقترحة'!$A$6:$A$505,B375)=0),"proposed_name key not found; ","")&amp;IF(AND(D375="mobile",J375&lt;&gt;"invalid",NOT(OR(AND(LEN(E375&amp;"")=10,LEFT(E375&amp;"",2)="09"),AND(LEN(E375&amp;"")=9,LEFT(E375&amp;"",1)="9")))),"mobile must be 09XXXXXXXX or status invalid; ","")&amp;IF(COUNTIFS($A$6:$A$505,A375,$B$6:$B$505,B375,$E$6:$E$505,E375)&gt;1,"duplicate number for same entity; ",""))))</f>
        <v/>
      </c>
    </row>
    <row r="376" spans="1:14">
      <c r="A376" s="23"/>
      <c r="B376" s="24"/>
      <c r="C376" s="25"/>
      <c r="D376" s="25"/>
      <c r="E376" s="24"/>
      <c r="F376" s="24"/>
      <c r="G376" s="25"/>
      <c r="H376" s="25"/>
      <c r="I376" s="25"/>
      <c r="J376" s="25"/>
      <c r="K376" s="25"/>
      <c r="L376" s="25"/>
      <c r="M376" s="25" t="str">
        <f>IF(AND(A376="",B376="",E376=""),"",IF(OR(A376="",B376="",C376="",D376="",E376="",J376="",AND(A376="client",COUNTIF(الزبائن!$A$6:$A$505,B376)=0),AND(A376="proposed_name",COUNTIF('أسماء مقترحة'!$A$6:$A$505,B376)=0),AND(D376="mobile",J376&lt;&gt;"invalid",NOT(OR(AND(LEN(E376&amp;"")=10,LEFT(E376&amp;"",2)="09"),AND(LEN(E376&amp;"")=9,LEFT(E376&amp;"",1)="9")))),COUNTIFS($A$6:$A$505,A376,$B$6:$B$505,B376,$E$6:$E$505,E376)&gt;1),"REVIEW","READY"))</f>
        <v/>
      </c>
      <c r="N376" s="27" t="str">
        <f>IF(M376="","",IF(M376="READY","",TRIM(IF(A376="","missing entity_type; ","")&amp;IF(B376="","missing entity_key; ","")&amp;IF(C376="","missing contact_order; ","")&amp;IF(D376="","missing contact_type; ","")&amp;IF(E376="","missing number; ","")&amp;IF(J376="","missing status; ","")&amp;IF(AND(A376="client",COUNTIF(الزبائن!$A$6:$A$505,B376)=0),"client key not found; ","")&amp;IF(AND(A376="proposed_name",COUNTIF('أسماء مقترحة'!$A$6:$A$505,B376)=0),"proposed_name key not found; ","")&amp;IF(AND(D376="mobile",J376&lt;&gt;"invalid",NOT(OR(AND(LEN(E376&amp;"")=10,LEFT(E376&amp;"",2)="09"),AND(LEN(E376&amp;"")=9,LEFT(E376&amp;"",1)="9")))),"mobile must be 09XXXXXXXX or status invalid; ","")&amp;IF(COUNTIFS($A$6:$A$505,A376,$B$6:$B$505,B376,$E$6:$E$505,E376)&gt;1,"duplicate number for same entity; ",""))))</f>
        <v/>
      </c>
    </row>
    <row r="377" spans="1:14">
      <c r="A377" s="23"/>
      <c r="B377" s="24"/>
      <c r="C377" s="25"/>
      <c r="D377" s="25"/>
      <c r="E377" s="24"/>
      <c r="F377" s="24"/>
      <c r="G377" s="25"/>
      <c r="H377" s="25"/>
      <c r="I377" s="25"/>
      <c r="J377" s="25"/>
      <c r="K377" s="25"/>
      <c r="L377" s="25"/>
      <c r="M377" s="25" t="str">
        <f>IF(AND(A377="",B377="",E377=""),"",IF(OR(A377="",B377="",C377="",D377="",E377="",J377="",AND(A377="client",COUNTIF(الزبائن!$A$6:$A$505,B377)=0),AND(A377="proposed_name",COUNTIF('أسماء مقترحة'!$A$6:$A$505,B377)=0),AND(D377="mobile",J377&lt;&gt;"invalid",NOT(OR(AND(LEN(E377&amp;"")=10,LEFT(E377&amp;"",2)="09"),AND(LEN(E377&amp;"")=9,LEFT(E377&amp;"",1)="9")))),COUNTIFS($A$6:$A$505,A377,$B$6:$B$505,B377,$E$6:$E$505,E377)&gt;1),"REVIEW","READY"))</f>
        <v/>
      </c>
      <c r="N377" s="27" t="str">
        <f>IF(M377="","",IF(M377="READY","",TRIM(IF(A377="","missing entity_type; ","")&amp;IF(B377="","missing entity_key; ","")&amp;IF(C377="","missing contact_order; ","")&amp;IF(D377="","missing contact_type; ","")&amp;IF(E377="","missing number; ","")&amp;IF(J377="","missing status; ","")&amp;IF(AND(A377="client",COUNTIF(الزبائن!$A$6:$A$505,B377)=0),"client key not found; ","")&amp;IF(AND(A377="proposed_name",COUNTIF('أسماء مقترحة'!$A$6:$A$505,B377)=0),"proposed_name key not found; ","")&amp;IF(AND(D377="mobile",J377&lt;&gt;"invalid",NOT(OR(AND(LEN(E377&amp;"")=10,LEFT(E377&amp;"",2)="09"),AND(LEN(E377&amp;"")=9,LEFT(E377&amp;"",1)="9")))),"mobile must be 09XXXXXXXX or status invalid; ","")&amp;IF(COUNTIFS($A$6:$A$505,A377,$B$6:$B$505,B377,$E$6:$E$505,E377)&gt;1,"duplicate number for same entity; ",""))))</f>
        <v/>
      </c>
    </row>
    <row r="378" spans="1:14">
      <c r="A378" s="23"/>
      <c r="B378" s="24"/>
      <c r="C378" s="25"/>
      <c r="D378" s="25"/>
      <c r="E378" s="24"/>
      <c r="F378" s="24"/>
      <c r="G378" s="25"/>
      <c r="H378" s="25"/>
      <c r="I378" s="25"/>
      <c r="J378" s="25"/>
      <c r="K378" s="25"/>
      <c r="L378" s="25"/>
      <c r="M378" s="25" t="str">
        <f>IF(AND(A378="",B378="",E378=""),"",IF(OR(A378="",B378="",C378="",D378="",E378="",J378="",AND(A378="client",COUNTIF(الزبائن!$A$6:$A$505,B378)=0),AND(A378="proposed_name",COUNTIF('أسماء مقترحة'!$A$6:$A$505,B378)=0),AND(D378="mobile",J378&lt;&gt;"invalid",NOT(OR(AND(LEN(E378&amp;"")=10,LEFT(E378&amp;"",2)="09"),AND(LEN(E378&amp;"")=9,LEFT(E378&amp;"",1)="9")))),COUNTIFS($A$6:$A$505,A378,$B$6:$B$505,B378,$E$6:$E$505,E378)&gt;1),"REVIEW","READY"))</f>
        <v/>
      </c>
      <c r="N378" s="27" t="str">
        <f>IF(M378="","",IF(M378="READY","",TRIM(IF(A378="","missing entity_type; ","")&amp;IF(B378="","missing entity_key; ","")&amp;IF(C378="","missing contact_order; ","")&amp;IF(D378="","missing contact_type; ","")&amp;IF(E378="","missing number; ","")&amp;IF(J378="","missing status; ","")&amp;IF(AND(A378="client",COUNTIF(الزبائن!$A$6:$A$505,B378)=0),"client key not found; ","")&amp;IF(AND(A378="proposed_name",COUNTIF('أسماء مقترحة'!$A$6:$A$505,B378)=0),"proposed_name key not found; ","")&amp;IF(AND(D378="mobile",J378&lt;&gt;"invalid",NOT(OR(AND(LEN(E378&amp;"")=10,LEFT(E378&amp;"",2)="09"),AND(LEN(E378&amp;"")=9,LEFT(E378&amp;"",1)="9")))),"mobile must be 09XXXXXXXX or status invalid; ","")&amp;IF(COUNTIFS($A$6:$A$505,A378,$B$6:$B$505,B378,$E$6:$E$505,E378)&gt;1,"duplicate number for same entity; ",""))))</f>
        <v/>
      </c>
    </row>
    <row r="379" spans="1:14">
      <c r="A379" s="23"/>
      <c r="B379" s="24"/>
      <c r="C379" s="25"/>
      <c r="D379" s="25"/>
      <c r="E379" s="24"/>
      <c r="F379" s="24"/>
      <c r="G379" s="25"/>
      <c r="H379" s="25"/>
      <c r="I379" s="25"/>
      <c r="J379" s="25"/>
      <c r="K379" s="25"/>
      <c r="L379" s="25"/>
      <c r="M379" s="25" t="str">
        <f>IF(AND(A379="",B379="",E379=""),"",IF(OR(A379="",B379="",C379="",D379="",E379="",J379="",AND(A379="client",COUNTIF(الزبائن!$A$6:$A$505,B379)=0),AND(A379="proposed_name",COUNTIF('أسماء مقترحة'!$A$6:$A$505,B379)=0),AND(D379="mobile",J379&lt;&gt;"invalid",NOT(OR(AND(LEN(E379&amp;"")=10,LEFT(E379&amp;"",2)="09"),AND(LEN(E379&amp;"")=9,LEFT(E379&amp;"",1)="9")))),COUNTIFS($A$6:$A$505,A379,$B$6:$B$505,B379,$E$6:$E$505,E379)&gt;1),"REVIEW","READY"))</f>
        <v/>
      </c>
      <c r="N379" s="27" t="str">
        <f>IF(M379="","",IF(M379="READY","",TRIM(IF(A379="","missing entity_type; ","")&amp;IF(B379="","missing entity_key; ","")&amp;IF(C379="","missing contact_order; ","")&amp;IF(D379="","missing contact_type; ","")&amp;IF(E379="","missing number; ","")&amp;IF(J379="","missing status; ","")&amp;IF(AND(A379="client",COUNTIF(الزبائن!$A$6:$A$505,B379)=0),"client key not found; ","")&amp;IF(AND(A379="proposed_name",COUNTIF('أسماء مقترحة'!$A$6:$A$505,B379)=0),"proposed_name key not found; ","")&amp;IF(AND(D379="mobile",J379&lt;&gt;"invalid",NOT(OR(AND(LEN(E379&amp;"")=10,LEFT(E379&amp;"",2)="09"),AND(LEN(E379&amp;"")=9,LEFT(E379&amp;"",1)="9")))),"mobile must be 09XXXXXXXX or status invalid; ","")&amp;IF(COUNTIFS($A$6:$A$505,A379,$B$6:$B$505,B379,$E$6:$E$505,E379)&gt;1,"duplicate number for same entity; ",""))))</f>
        <v/>
      </c>
    </row>
    <row r="380" spans="1:14">
      <c r="A380" s="23"/>
      <c r="B380" s="24"/>
      <c r="C380" s="25"/>
      <c r="D380" s="25"/>
      <c r="E380" s="24"/>
      <c r="F380" s="24"/>
      <c r="G380" s="25"/>
      <c r="H380" s="25"/>
      <c r="I380" s="25"/>
      <c r="J380" s="25"/>
      <c r="K380" s="25"/>
      <c r="L380" s="25"/>
      <c r="M380" s="25" t="str">
        <f>IF(AND(A380="",B380="",E380=""),"",IF(OR(A380="",B380="",C380="",D380="",E380="",J380="",AND(A380="client",COUNTIF(الزبائن!$A$6:$A$505,B380)=0),AND(A380="proposed_name",COUNTIF('أسماء مقترحة'!$A$6:$A$505,B380)=0),AND(D380="mobile",J380&lt;&gt;"invalid",NOT(OR(AND(LEN(E380&amp;"")=10,LEFT(E380&amp;"",2)="09"),AND(LEN(E380&amp;"")=9,LEFT(E380&amp;"",1)="9")))),COUNTIFS($A$6:$A$505,A380,$B$6:$B$505,B380,$E$6:$E$505,E380)&gt;1),"REVIEW","READY"))</f>
        <v/>
      </c>
      <c r="N380" s="27" t="str">
        <f>IF(M380="","",IF(M380="READY","",TRIM(IF(A380="","missing entity_type; ","")&amp;IF(B380="","missing entity_key; ","")&amp;IF(C380="","missing contact_order; ","")&amp;IF(D380="","missing contact_type; ","")&amp;IF(E380="","missing number; ","")&amp;IF(J380="","missing status; ","")&amp;IF(AND(A380="client",COUNTIF(الزبائن!$A$6:$A$505,B380)=0),"client key not found; ","")&amp;IF(AND(A380="proposed_name",COUNTIF('أسماء مقترحة'!$A$6:$A$505,B380)=0),"proposed_name key not found; ","")&amp;IF(AND(D380="mobile",J380&lt;&gt;"invalid",NOT(OR(AND(LEN(E380&amp;"")=10,LEFT(E380&amp;"",2)="09"),AND(LEN(E380&amp;"")=9,LEFT(E380&amp;"",1)="9")))),"mobile must be 09XXXXXXXX or status invalid; ","")&amp;IF(COUNTIFS($A$6:$A$505,A380,$B$6:$B$505,B380,$E$6:$E$505,E380)&gt;1,"duplicate number for same entity; ",""))))</f>
        <v/>
      </c>
    </row>
    <row r="381" spans="1:14">
      <c r="A381" s="23"/>
      <c r="B381" s="24"/>
      <c r="C381" s="25"/>
      <c r="D381" s="25"/>
      <c r="E381" s="24"/>
      <c r="F381" s="24"/>
      <c r="G381" s="25"/>
      <c r="H381" s="25"/>
      <c r="I381" s="25"/>
      <c r="J381" s="25"/>
      <c r="K381" s="25"/>
      <c r="L381" s="25"/>
      <c r="M381" s="25" t="str">
        <f>IF(AND(A381="",B381="",E381=""),"",IF(OR(A381="",B381="",C381="",D381="",E381="",J381="",AND(A381="client",COUNTIF(الزبائن!$A$6:$A$505,B381)=0),AND(A381="proposed_name",COUNTIF('أسماء مقترحة'!$A$6:$A$505,B381)=0),AND(D381="mobile",J381&lt;&gt;"invalid",NOT(OR(AND(LEN(E381&amp;"")=10,LEFT(E381&amp;"",2)="09"),AND(LEN(E381&amp;"")=9,LEFT(E381&amp;"",1)="9")))),COUNTIFS($A$6:$A$505,A381,$B$6:$B$505,B381,$E$6:$E$505,E381)&gt;1),"REVIEW","READY"))</f>
        <v/>
      </c>
      <c r="N381" s="27" t="str">
        <f>IF(M381="","",IF(M381="READY","",TRIM(IF(A381="","missing entity_type; ","")&amp;IF(B381="","missing entity_key; ","")&amp;IF(C381="","missing contact_order; ","")&amp;IF(D381="","missing contact_type; ","")&amp;IF(E381="","missing number; ","")&amp;IF(J381="","missing status; ","")&amp;IF(AND(A381="client",COUNTIF(الزبائن!$A$6:$A$505,B381)=0),"client key not found; ","")&amp;IF(AND(A381="proposed_name",COUNTIF('أسماء مقترحة'!$A$6:$A$505,B381)=0),"proposed_name key not found; ","")&amp;IF(AND(D381="mobile",J381&lt;&gt;"invalid",NOT(OR(AND(LEN(E381&amp;"")=10,LEFT(E381&amp;"",2)="09"),AND(LEN(E381&amp;"")=9,LEFT(E381&amp;"",1)="9")))),"mobile must be 09XXXXXXXX or status invalid; ","")&amp;IF(COUNTIFS($A$6:$A$505,A381,$B$6:$B$505,B381,$E$6:$E$505,E381)&gt;1,"duplicate number for same entity; ",""))))</f>
        <v/>
      </c>
    </row>
    <row r="382" spans="1:14">
      <c r="A382" s="23"/>
      <c r="B382" s="24"/>
      <c r="C382" s="25"/>
      <c r="D382" s="25"/>
      <c r="E382" s="24"/>
      <c r="F382" s="24"/>
      <c r="G382" s="25"/>
      <c r="H382" s="25"/>
      <c r="I382" s="25"/>
      <c r="J382" s="25"/>
      <c r="K382" s="25"/>
      <c r="L382" s="25"/>
      <c r="M382" s="25" t="str">
        <f>IF(AND(A382="",B382="",E382=""),"",IF(OR(A382="",B382="",C382="",D382="",E382="",J382="",AND(A382="client",COUNTIF(الزبائن!$A$6:$A$505,B382)=0),AND(A382="proposed_name",COUNTIF('أسماء مقترحة'!$A$6:$A$505,B382)=0),AND(D382="mobile",J382&lt;&gt;"invalid",NOT(OR(AND(LEN(E382&amp;"")=10,LEFT(E382&amp;"",2)="09"),AND(LEN(E382&amp;"")=9,LEFT(E382&amp;"",1)="9")))),COUNTIFS($A$6:$A$505,A382,$B$6:$B$505,B382,$E$6:$E$505,E382)&gt;1),"REVIEW","READY"))</f>
        <v/>
      </c>
      <c r="N382" s="27" t="str">
        <f>IF(M382="","",IF(M382="READY","",TRIM(IF(A382="","missing entity_type; ","")&amp;IF(B382="","missing entity_key; ","")&amp;IF(C382="","missing contact_order; ","")&amp;IF(D382="","missing contact_type; ","")&amp;IF(E382="","missing number; ","")&amp;IF(J382="","missing status; ","")&amp;IF(AND(A382="client",COUNTIF(الزبائن!$A$6:$A$505,B382)=0),"client key not found; ","")&amp;IF(AND(A382="proposed_name",COUNTIF('أسماء مقترحة'!$A$6:$A$505,B382)=0),"proposed_name key not found; ","")&amp;IF(AND(D382="mobile",J382&lt;&gt;"invalid",NOT(OR(AND(LEN(E382&amp;"")=10,LEFT(E382&amp;"",2)="09"),AND(LEN(E382&amp;"")=9,LEFT(E382&amp;"",1)="9")))),"mobile must be 09XXXXXXXX or status invalid; ","")&amp;IF(COUNTIFS($A$6:$A$505,A382,$B$6:$B$505,B382,$E$6:$E$505,E382)&gt;1,"duplicate number for same entity; ",""))))</f>
        <v/>
      </c>
    </row>
    <row r="383" spans="1:14">
      <c r="A383" s="23"/>
      <c r="B383" s="24"/>
      <c r="C383" s="25"/>
      <c r="D383" s="25"/>
      <c r="E383" s="24"/>
      <c r="F383" s="24"/>
      <c r="G383" s="25"/>
      <c r="H383" s="25"/>
      <c r="I383" s="25"/>
      <c r="J383" s="25"/>
      <c r="K383" s="25"/>
      <c r="L383" s="25"/>
      <c r="M383" s="25" t="str">
        <f>IF(AND(A383="",B383="",E383=""),"",IF(OR(A383="",B383="",C383="",D383="",E383="",J383="",AND(A383="client",COUNTIF(الزبائن!$A$6:$A$505,B383)=0),AND(A383="proposed_name",COUNTIF('أسماء مقترحة'!$A$6:$A$505,B383)=0),AND(D383="mobile",J383&lt;&gt;"invalid",NOT(OR(AND(LEN(E383&amp;"")=10,LEFT(E383&amp;"",2)="09"),AND(LEN(E383&amp;"")=9,LEFT(E383&amp;"",1)="9")))),COUNTIFS($A$6:$A$505,A383,$B$6:$B$505,B383,$E$6:$E$505,E383)&gt;1),"REVIEW","READY"))</f>
        <v/>
      </c>
      <c r="N383" s="27" t="str">
        <f>IF(M383="","",IF(M383="READY","",TRIM(IF(A383="","missing entity_type; ","")&amp;IF(B383="","missing entity_key; ","")&amp;IF(C383="","missing contact_order; ","")&amp;IF(D383="","missing contact_type; ","")&amp;IF(E383="","missing number; ","")&amp;IF(J383="","missing status; ","")&amp;IF(AND(A383="client",COUNTIF(الزبائن!$A$6:$A$505,B383)=0),"client key not found; ","")&amp;IF(AND(A383="proposed_name",COUNTIF('أسماء مقترحة'!$A$6:$A$505,B383)=0),"proposed_name key not found; ","")&amp;IF(AND(D383="mobile",J383&lt;&gt;"invalid",NOT(OR(AND(LEN(E383&amp;"")=10,LEFT(E383&amp;"",2)="09"),AND(LEN(E383&amp;"")=9,LEFT(E383&amp;"",1)="9")))),"mobile must be 09XXXXXXXX or status invalid; ","")&amp;IF(COUNTIFS($A$6:$A$505,A383,$B$6:$B$505,B383,$E$6:$E$505,E383)&gt;1,"duplicate number for same entity; ",""))))</f>
        <v/>
      </c>
    </row>
    <row r="384" spans="1:14">
      <c r="A384" s="23"/>
      <c r="B384" s="24"/>
      <c r="C384" s="25"/>
      <c r="D384" s="25"/>
      <c r="E384" s="24"/>
      <c r="F384" s="24"/>
      <c r="G384" s="25"/>
      <c r="H384" s="25"/>
      <c r="I384" s="25"/>
      <c r="J384" s="25"/>
      <c r="K384" s="25"/>
      <c r="L384" s="25"/>
      <c r="M384" s="25" t="str">
        <f>IF(AND(A384="",B384="",E384=""),"",IF(OR(A384="",B384="",C384="",D384="",E384="",J384="",AND(A384="client",COUNTIF(الزبائن!$A$6:$A$505,B384)=0),AND(A384="proposed_name",COUNTIF('أسماء مقترحة'!$A$6:$A$505,B384)=0),AND(D384="mobile",J384&lt;&gt;"invalid",NOT(OR(AND(LEN(E384&amp;"")=10,LEFT(E384&amp;"",2)="09"),AND(LEN(E384&amp;"")=9,LEFT(E384&amp;"",1)="9")))),COUNTIFS($A$6:$A$505,A384,$B$6:$B$505,B384,$E$6:$E$505,E384)&gt;1),"REVIEW","READY"))</f>
        <v/>
      </c>
      <c r="N384" s="27" t="str">
        <f>IF(M384="","",IF(M384="READY","",TRIM(IF(A384="","missing entity_type; ","")&amp;IF(B384="","missing entity_key; ","")&amp;IF(C384="","missing contact_order; ","")&amp;IF(D384="","missing contact_type; ","")&amp;IF(E384="","missing number; ","")&amp;IF(J384="","missing status; ","")&amp;IF(AND(A384="client",COUNTIF(الزبائن!$A$6:$A$505,B384)=0),"client key not found; ","")&amp;IF(AND(A384="proposed_name",COUNTIF('أسماء مقترحة'!$A$6:$A$505,B384)=0),"proposed_name key not found; ","")&amp;IF(AND(D384="mobile",J384&lt;&gt;"invalid",NOT(OR(AND(LEN(E384&amp;"")=10,LEFT(E384&amp;"",2)="09"),AND(LEN(E384&amp;"")=9,LEFT(E384&amp;"",1)="9")))),"mobile must be 09XXXXXXXX or status invalid; ","")&amp;IF(COUNTIFS($A$6:$A$505,A384,$B$6:$B$505,B384,$E$6:$E$505,E384)&gt;1,"duplicate number for same entity; ",""))))</f>
        <v/>
      </c>
    </row>
    <row r="385" spans="1:14">
      <c r="A385" s="23"/>
      <c r="B385" s="24"/>
      <c r="C385" s="25"/>
      <c r="D385" s="25"/>
      <c r="E385" s="24"/>
      <c r="F385" s="24"/>
      <c r="G385" s="25"/>
      <c r="H385" s="25"/>
      <c r="I385" s="25"/>
      <c r="J385" s="25"/>
      <c r="K385" s="25"/>
      <c r="L385" s="25"/>
      <c r="M385" s="25" t="str">
        <f>IF(AND(A385="",B385="",E385=""),"",IF(OR(A385="",B385="",C385="",D385="",E385="",J385="",AND(A385="client",COUNTIF(الزبائن!$A$6:$A$505,B385)=0),AND(A385="proposed_name",COUNTIF('أسماء مقترحة'!$A$6:$A$505,B385)=0),AND(D385="mobile",J385&lt;&gt;"invalid",NOT(OR(AND(LEN(E385&amp;"")=10,LEFT(E385&amp;"",2)="09"),AND(LEN(E385&amp;"")=9,LEFT(E385&amp;"",1)="9")))),COUNTIFS($A$6:$A$505,A385,$B$6:$B$505,B385,$E$6:$E$505,E385)&gt;1),"REVIEW","READY"))</f>
        <v/>
      </c>
      <c r="N385" s="27" t="str">
        <f>IF(M385="","",IF(M385="READY","",TRIM(IF(A385="","missing entity_type; ","")&amp;IF(B385="","missing entity_key; ","")&amp;IF(C385="","missing contact_order; ","")&amp;IF(D385="","missing contact_type; ","")&amp;IF(E385="","missing number; ","")&amp;IF(J385="","missing status; ","")&amp;IF(AND(A385="client",COUNTIF(الزبائن!$A$6:$A$505,B385)=0),"client key not found; ","")&amp;IF(AND(A385="proposed_name",COUNTIF('أسماء مقترحة'!$A$6:$A$505,B385)=0),"proposed_name key not found; ","")&amp;IF(AND(D385="mobile",J385&lt;&gt;"invalid",NOT(OR(AND(LEN(E385&amp;"")=10,LEFT(E385&amp;"",2)="09"),AND(LEN(E385&amp;"")=9,LEFT(E385&amp;"",1)="9")))),"mobile must be 09XXXXXXXX or status invalid; ","")&amp;IF(COUNTIFS($A$6:$A$505,A385,$B$6:$B$505,B385,$E$6:$E$505,E385)&gt;1,"duplicate number for same entity; ",""))))</f>
        <v/>
      </c>
    </row>
    <row r="386" spans="1:14">
      <c r="A386" s="23"/>
      <c r="B386" s="24"/>
      <c r="C386" s="25"/>
      <c r="D386" s="25"/>
      <c r="E386" s="24"/>
      <c r="F386" s="24"/>
      <c r="G386" s="25"/>
      <c r="H386" s="25"/>
      <c r="I386" s="25"/>
      <c r="J386" s="25"/>
      <c r="K386" s="25"/>
      <c r="L386" s="25"/>
      <c r="M386" s="25" t="str">
        <f>IF(AND(A386="",B386="",E386=""),"",IF(OR(A386="",B386="",C386="",D386="",E386="",J386="",AND(A386="client",COUNTIF(الزبائن!$A$6:$A$505,B386)=0),AND(A386="proposed_name",COUNTIF('أسماء مقترحة'!$A$6:$A$505,B386)=0),AND(D386="mobile",J386&lt;&gt;"invalid",NOT(OR(AND(LEN(E386&amp;"")=10,LEFT(E386&amp;"",2)="09"),AND(LEN(E386&amp;"")=9,LEFT(E386&amp;"",1)="9")))),COUNTIFS($A$6:$A$505,A386,$B$6:$B$505,B386,$E$6:$E$505,E386)&gt;1),"REVIEW","READY"))</f>
        <v/>
      </c>
      <c r="N386" s="27" t="str">
        <f>IF(M386="","",IF(M386="READY","",TRIM(IF(A386="","missing entity_type; ","")&amp;IF(B386="","missing entity_key; ","")&amp;IF(C386="","missing contact_order; ","")&amp;IF(D386="","missing contact_type; ","")&amp;IF(E386="","missing number; ","")&amp;IF(J386="","missing status; ","")&amp;IF(AND(A386="client",COUNTIF(الزبائن!$A$6:$A$505,B386)=0),"client key not found; ","")&amp;IF(AND(A386="proposed_name",COUNTIF('أسماء مقترحة'!$A$6:$A$505,B386)=0),"proposed_name key not found; ","")&amp;IF(AND(D386="mobile",J386&lt;&gt;"invalid",NOT(OR(AND(LEN(E386&amp;"")=10,LEFT(E386&amp;"",2)="09"),AND(LEN(E386&amp;"")=9,LEFT(E386&amp;"",1)="9")))),"mobile must be 09XXXXXXXX or status invalid; ","")&amp;IF(COUNTIFS($A$6:$A$505,A386,$B$6:$B$505,B386,$E$6:$E$505,E386)&gt;1,"duplicate number for same entity; ",""))))</f>
        <v/>
      </c>
    </row>
    <row r="387" spans="1:14">
      <c r="A387" s="23"/>
      <c r="B387" s="24"/>
      <c r="C387" s="25"/>
      <c r="D387" s="25"/>
      <c r="E387" s="24"/>
      <c r="F387" s="24"/>
      <c r="G387" s="25"/>
      <c r="H387" s="25"/>
      <c r="I387" s="25"/>
      <c r="J387" s="25"/>
      <c r="K387" s="25"/>
      <c r="L387" s="25"/>
      <c r="M387" s="25" t="str">
        <f>IF(AND(A387="",B387="",E387=""),"",IF(OR(A387="",B387="",C387="",D387="",E387="",J387="",AND(A387="client",COUNTIF(الزبائن!$A$6:$A$505,B387)=0),AND(A387="proposed_name",COUNTIF('أسماء مقترحة'!$A$6:$A$505,B387)=0),AND(D387="mobile",J387&lt;&gt;"invalid",NOT(OR(AND(LEN(E387&amp;"")=10,LEFT(E387&amp;"",2)="09"),AND(LEN(E387&amp;"")=9,LEFT(E387&amp;"",1)="9")))),COUNTIFS($A$6:$A$505,A387,$B$6:$B$505,B387,$E$6:$E$505,E387)&gt;1),"REVIEW","READY"))</f>
        <v/>
      </c>
      <c r="N387" s="27" t="str">
        <f>IF(M387="","",IF(M387="READY","",TRIM(IF(A387="","missing entity_type; ","")&amp;IF(B387="","missing entity_key; ","")&amp;IF(C387="","missing contact_order; ","")&amp;IF(D387="","missing contact_type; ","")&amp;IF(E387="","missing number; ","")&amp;IF(J387="","missing status; ","")&amp;IF(AND(A387="client",COUNTIF(الزبائن!$A$6:$A$505,B387)=0),"client key not found; ","")&amp;IF(AND(A387="proposed_name",COUNTIF('أسماء مقترحة'!$A$6:$A$505,B387)=0),"proposed_name key not found; ","")&amp;IF(AND(D387="mobile",J387&lt;&gt;"invalid",NOT(OR(AND(LEN(E387&amp;"")=10,LEFT(E387&amp;"",2)="09"),AND(LEN(E387&amp;"")=9,LEFT(E387&amp;"",1)="9")))),"mobile must be 09XXXXXXXX or status invalid; ","")&amp;IF(COUNTIFS($A$6:$A$505,A387,$B$6:$B$505,B387,$E$6:$E$505,E387)&gt;1,"duplicate number for same entity; ",""))))</f>
        <v/>
      </c>
    </row>
    <row r="388" spans="1:14">
      <c r="A388" s="23"/>
      <c r="B388" s="24"/>
      <c r="C388" s="25"/>
      <c r="D388" s="25"/>
      <c r="E388" s="24"/>
      <c r="F388" s="24"/>
      <c r="G388" s="25"/>
      <c r="H388" s="25"/>
      <c r="I388" s="25"/>
      <c r="J388" s="25"/>
      <c r="K388" s="25"/>
      <c r="L388" s="25"/>
      <c r="M388" s="25" t="str">
        <f>IF(AND(A388="",B388="",E388=""),"",IF(OR(A388="",B388="",C388="",D388="",E388="",J388="",AND(A388="client",COUNTIF(الزبائن!$A$6:$A$505,B388)=0),AND(A388="proposed_name",COUNTIF('أسماء مقترحة'!$A$6:$A$505,B388)=0),AND(D388="mobile",J388&lt;&gt;"invalid",NOT(OR(AND(LEN(E388&amp;"")=10,LEFT(E388&amp;"",2)="09"),AND(LEN(E388&amp;"")=9,LEFT(E388&amp;"",1)="9")))),COUNTIFS($A$6:$A$505,A388,$B$6:$B$505,B388,$E$6:$E$505,E388)&gt;1),"REVIEW","READY"))</f>
        <v/>
      </c>
      <c r="N388" s="27" t="str">
        <f>IF(M388="","",IF(M388="READY","",TRIM(IF(A388="","missing entity_type; ","")&amp;IF(B388="","missing entity_key; ","")&amp;IF(C388="","missing contact_order; ","")&amp;IF(D388="","missing contact_type; ","")&amp;IF(E388="","missing number; ","")&amp;IF(J388="","missing status; ","")&amp;IF(AND(A388="client",COUNTIF(الزبائن!$A$6:$A$505,B388)=0),"client key not found; ","")&amp;IF(AND(A388="proposed_name",COUNTIF('أسماء مقترحة'!$A$6:$A$505,B388)=0),"proposed_name key not found; ","")&amp;IF(AND(D388="mobile",J388&lt;&gt;"invalid",NOT(OR(AND(LEN(E388&amp;"")=10,LEFT(E388&amp;"",2)="09"),AND(LEN(E388&amp;"")=9,LEFT(E388&amp;"",1)="9")))),"mobile must be 09XXXXXXXX or status invalid; ","")&amp;IF(COUNTIFS($A$6:$A$505,A388,$B$6:$B$505,B388,$E$6:$E$505,E388)&gt;1,"duplicate number for same entity; ",""))))</f>
        <v/>
      </c>
    </row>
    <row r="389" spans="1:14">
      <c r="A389" s="23"/>
      <c r="B389" s="24"/>
      <c r="C389" s="25"/>
      <c r="D389" s="25"/>
      <c r="E389" s="24"/>
      <c r="F389" s="24"/>
      <c r="G389" s="25"/>
      <c r="H389" s="25"/>
      <c r="I389" s="25"/>
      <c r="J389" s="25"/>
      <c r="K389" s="25"/>
      <c r="L389" s="25"/>
      <c r="M389" s="25" t="str">
        <f>IF(AND(A389="",B389="",E389=""),"",IF(OR(A389="",B389="",C389="",D389="",E389="",J389="",AND(A389="client",COUNTIF(الزبائن!$A$6:$A$505,B389)=0),AND(A389="proposed_name",COUNTIF('أسماء مقترحة'!$A$6:$A$505,B389)=0),AND(D389="mobile",J389&lt;&gt;"invalid",NOT(OR(AND(LEN(E389&amp;"")=10,LEFT(E389&amp;"",2)="09"),AND(LEN(E389&amp;"")=9,LEFT(E389&amp;"",1)="9")))),COUNTIFS($A$6:$A$505,A389,$B$6:$B$505,B389,$E$6:$E$505,E389)&gt;1),"REVIEW","READY"))</f>
        <v/>
      </c>
      <c r="N389" s="27" t="str">
        <f>IF(M389="","",IF(M389="READY","",TRIM(IF(A389="","missing entity_type; ","")&amp;IF(B389="","missing entity_key; ","")&amp;IF(C389="","missing contact_order; ","")&amp;IF(D389="","missing contact_type; ","")&amp;IF(E389="","missing number; ","")&amp;IF(J389="","missing status; ","")&amp;IF(AND(A389="client",COUNTIF(الزبائن!$A$6:$A$505,B389)=0),"client key not found; ","")&amp;IF(AND(A389="proposed_name",COUNTIF('أسماء مقترحة'!$A$6:$A$505,B389)=0),"proposed_name key not found; ","")&amp;IF(AND(D389="mobile",J389&lt;&gt;"invalid",NOT(OR(AND(LEN(E389&amp;"")=10,LEFT(E389&amp;"",2)="09"),AND(LEN(E389&amp;"")=9,LEFT(E389&amp;"",1)="9")))),"mobile must be 09XXXXXXXX or status invalid; ","")&amp;IF(COUNTIFS($A$6:$A$505,A389,$B$6:$B$505,B389,$E$6:$E$505,E389)&gt;1,"duplicate number for same entity; ",""))))</f>
        <v/>
      </c>
    </row>
    <row r="390" spans="1:14">
      <c r="A390" s="23"/>
      <c r="B390" s="24"/>
      <c r="C390" s="25"/>
      <c r="D390" s="25"/>
      <c r="E390" s="24"/>
      <c r="F390" s="24"/>
      <c r="G390" s="25"/>
      <c r="H390" s="25"/>
      <c r="I390" s="25"/>
      <c r="J390" s="25"/>
      <c r="K390" s="25"/>
      <c r="L390" s="25"/>
      <c r="M390" s="25" t="str">
        <f>IF(AND(A390="",B390="",E390=""),"",IF(OR(A390="",B390="",C390="",D390="",E390="",J390="",AND(A390="client",COUNTIF(الزبائن!$A$6:$A$505,B390)=0),AND(A390="proposed_name",COUNTIF('أسماء مقترحة'!$A$6:$A$505,B390)=0),AND(D390="mobile",J390&lt;&gt;"invalid",NOT(OR(AND(LEN(E390&amp;"")=10,LEFT(E390&amp;"",2)="09"),AND(LEN(E390&amp;"")=9,LEFT(E390&amp;"",1)="9")))),COUNTIFS($A$6:$A$505,A390,$B$6:$B$505,B390,$E$6:$E$505,E390)&gt;1),"REVIEW","READY"))</f>
        <v/>
      </c>
      <c r="N390" s="27" t="str">
        <f>IF(M390="","",IF(M390="READY","",TRIM(IF(A390="","missing entity_type; ","")&amp;IF(B390="","missing entity_key; ","")&amp;IF(C390="","missing contact_order; ","")&amp;IF(D390="","missing contact_type; ","")&amp;IF(E390="","missing number; ","")&amp;IF(J390="","missing status; ","")&amp;IF(AND(A390="client",COUNTIF(الزبائن!$A$6:$A$505,B390)=0),"client key not found; ","")&amp;IF(AND(A390="proposed_name",COUNTIF('أسماء مقترحة'!$A$6:$A$505,B390)=0),"proposed_name key not found; ","")&amp;IF(AND(D390="mobile",J390&lt;&gt;"invalid",NOT(OR(AND(LEN(E390&amp;"")=10,LEFT(E390&amp;"",2)="09"),AND(LEN(E390&amp;"")=9,LEFT(E390&amp;"",1)="9")))),"mobile must be 09XXXXXXXX or status invalid; ","")&amp;IF(COUNTIFS($A$6:$A$505,A390,$B$6:$B$505,B390,$E$6:$E$505,E390)&gt;1,"duplicate number for same entity; ",""))))</f>
        <v/>
      </c>
    </row>
    <row r="391" spans="1:14">
      <c r="A391" s="23"/>
      <c r="B391" s="24"/>
      <c r="C391" s="25"/>
      <c r="D391" s="25"/>
      <c r="E391" s="24"/>
      <c r="F391" s="24"/>
      <c r="G391" s="25"/>
      <c r="H391" s="25"/>
      <c r="I391" s="25"/>
      <c r="J391" s="25"/>
      <c r="K391" s="25"/>
      <c r="L391" s="25"/>
      <c r="M391" s="25" t="str">
        <f>IF(AND(A391="",B391="",E391=""),"",IF(OR(A391="",B391="",C391="",D391="",E391="",J391="",AND(A391="client",COUNTIF(الزبائن!$A$6:$A$505,B391)=0),AND(A391="proposed_name",COUNTIF('أسماء مقترحة'!$A$6:$A$505,B391)=0),AND(D391="mobile",J391&lt;&gt;"invalid",NOT(OR(AND(LEN(E391&amp;"")=10,LEFT(E391&amp;"",2)="09"),AND(LEN(E391&amp;"")=9,LEFT(E391&amp;"",1)="9")))),COUNTIFS($A$6:$A$505,A391,$B$6:$B$505,B391,$E$6:$E$505,E391)&gt;1),"REVIEW","READY"))</f>
        <v/>
      </c>
      <c r="N391" s="27" t="str">
        <f>IF(M391="","",IF(M391="READY","",TRIM(IF(A391="","missing entity_type; ","")&amp;IF(B391="","missing entity_key; ","")&amp;IF(C391="","missing contact_order; ","")&amp;IF(D391="","missing contact_type; ","")&amp;IF(E391="","missing number; ","")&amp;IF(J391="","missing status; ","")&amp;IF(AND(A391="client",COUNTIF(الزبائن!$A$6:$A$505,B391)=0),"client key not found; ","")&amp;IF(AND(A391="proposed_name",COUNTIF('أسماء مقترحة'!$A$6:$A$505,B391)=0),"proposed_name key not found; ","")&amp;IF(AND(D391="mobile",J391&lt;&gt;"invalid",NOT(OR(AND(LEN(E391&amp;"")=10,LEFT(E391&amp;"",2)="09"),AND(LEN(E391&amp;"")=9,LEFT(E391&amp;"",1)="9")))),"mobile must be 09XXXXXXXX or status invalid; ","")&amp;IF(COUNTIFS($A$6:$A$505,A391,$B$6:$B$505,B391,$E$6:$E$505,E391)&gt;1,"duplicate number for same entity; ",""))))</f>
        <v/>
      </c>
    </row>
    <row r="392" spans="1:14">
      <c r="A392" s="23"/>
      <c r="B392" s="24"/>
      <c r="C392" s="25"/>
      <c r="D392" s="25"/>
      <c r="E392" s="24"/>
      <c r="F392" s="24"/>
      <c r="G392" s="25"/>
      <c r="H392" s="25"/>
      <c r="I392" s="25"/>
      <c r="J392" s="25"/>
      <c r="K392" s="25"/>
      <c r="L392" s="25"/>
      <c r="M392" s="25" t="str">
        <f>IF(AND(A392="",B392="",E392=""),"",IF(OR(A392="",B392="",C392="",D392="",E392="",J392="",AND(A392="client",COUNTIF(الزبائن!$A$6:$A$505,B392)=0),AND(A392="proposed_name",COUNTIF('أسماء مقترحة'!$A$6:$A$505,B392)=0),AND(D392="mobile",J392&lt;&gt;"invalid",NOT(OR(AND(LEN(E392&amp;"")=10,LEFT(E392&amp;"",2)="09"),AND(LEN(E392&amp;"")=9,LEFT(E392&amp;"",1)="9")))),COUNTIFS($A$6:$A$505,A392,$B$6:$B$505,B392,$E$6:$E$505,E392)&gt;1),"REVIEW","READY"))</f>
        <v/>
      </c>
      <c r="N392" s="27" t="str">
        <f>IF(M392="","",IF(M392="READY","",TRIM(IF(A392="","missing entity_type; ","")&amp;IF(B392="","missing entity_key; ","")&amp;IF(C392="","missing contact_order; ","")&amp;IF(D392="","missing contact_type; ","")&amp;IF(E392="","missing number; ","")&amp;IF(J392="","missing status; ","")&amp;IF(AND(A392="client",COUNTIF(الزبائن!$A$6:$A$505,B392)=0),"client key not found; ","")&amp;IF(AND(A392="proposed_name",COUNTIF('أسماء مقترحة'!$A$6:$A$505,B392)=0),"proposed_name key not found; ","")&amp;IF(AND(D392="mobile",J392&lt;&gt;"invalid",NOT(OR(AND(LEN(E392&amp;"")=10,LEFT(E392&amp;"",2)="09"),AND(LEN(E392&amp;"")=9,LEFT(E392&amp;"",1)="9")))),"mobile must be 09XXXXXXXX or status invalid; ","")&amp;IF(COUNTIFS($A$6:$A$505,A392,$B$6:$B$505,B392,$E$6:$E$505,E392)&gt;1,"duplicate number for same entity; ",""))))</f>
        <v/>
      </c>
    </row>
    <row r="393" spans="1:14">
      <c r="A393" s="23"/>
      <c r="B393" s="24"/>
      <c r="C393" s="25"/>
      <c r="D393" s="25"/>
      <c r="E393" s="24"/>
      <c r="F393" s="24"/>
      <c r="G393" s="25"/>
      <c r="H393" s="25"/>
      <c r="I393" s="25"/>
      <c r="J393" s="25"/>
      <c r="K393" s="25"/>
      <c r="L393" s="25"/>
      <c r="M393" s="25" t="str">
        <f>IF(AND(A393="",B393="",E393=""),"",IF(OR(A393="",B393="",C393="",D393="",E393="",J393="",AND(A393="client",COUNTIF(الزبائن!$A$6:$A$505,B393)=0),AND(A393="proposed_name",COUNTIF('أسماء مقترحة'!$A$6:$A$505,B393)=0),AND(D393="mobile",J393&lt;&gt;"invalid",NOT(OR(AND(LEN(E393&amp;"")=10,LEFT(E393&amp;"",2)="09"),AND(LEN(E393&amp;"")=9,LEFT(E393&amp;"",1)="9")))),COUNTIFS($A$6:$A$505,A393,$B$6:$B$505,B393,$E$6:$E$505,E393)&gt;1),"REVIEW","READY"))</f>
        <v/>
      </c>
      <c r="N393" s="27" t="str">
        <f>IF(M393="","",IF(M393="READY","",TRIM(IF(A393="","missing entity_type; ","")&amp;IF(B393="","missing entity_key; ","")&amp;IF(C393="","missing contact_order; ","")&amp;IF(D393="","missing contact_type; ","")&amp;IF(E393="","missing number; ","")&amp;IF(J393="","missing status; ","")&amp;IF(AND(A393="client",COUNTIF(الزبائن!$A$6:$A$505,B393)=0),"client key not found; ","")&amp;IF(AND(A393="proposed_name",COUNTIF('أسماء مقترحة'!$A$6:$A$505,B393)=0),"proposed_name key not found; ","")&amp;IF(AND(D393="mobile",J393&lt;&gt;"invalid",NOT(OR(AND(LEN(E393&amp;"")=10,LEFT(E393&amp;"",2)="09"),AND(LEN(E393&amp;"")=9,LEFT(E393&amp;"",1)="9")))),"mobile must be 09XXXXXXXX or status invalid; ","")&amp;IF(COUNTIFS($A$6:$A$505,A393,$B$6:$B$505,B393,$E$6:$E$505,E393)&gt;1,"duplicate number for same entity; ",""))))</f>
        <v/>
      </c>
    </row>
    <row r="394" spans="1:14">
      <c r="A394" s="23"/>
      <c r="B394" s="24"/>
      <c r="C394" s="25"/>
      <c r="D394" s="25"/>
      <c r="E394" s="24"/>
      <c r="F394" s="24"/>
      <c r="G394" s="25"/>
      <c r="H394" s="25"/>
      <c r="I394" s="25"/>
      <c r="J394" s="25"/>
      <c r="K394" s="25"/>
      <c r="L394" s="25"/>
      <c r="M394" s="25" t="str">
        <f>IF(AND(A394="",B394="",E394=""),"",IF(OR(A394="",B394="",C394="",D394="",E394="",J394="",AND(A394="client",COUNTIF(الزبائن!$A$6:$A$505,B394)=0),AND(A394="proposed_name",COUNTIF('أسماء مقترحة'!$A$6:$A$505,B394)=0),AND(D394="mobile",J394&lt;&gt;"invalid",NOT(OR(AND(LEN(E394&amp;"")=10,LEFT(E394&amp;"",2)="09"),AND(LEN(E394&amp;"")=9,LEFT(E394&amp;"",1)="9")))),COUNTIFS($A$6:$A$505,A394,$B$6:$B$505,B394,$E$6:$E$505,E394)&gt;1),"REVIEW","READY"))</f>
        <v/>
      </c>
      <c r="N394" s="27" t="str">
        <f>IF(M394="","",IF(M394="READY","",TRIM(IF(A394="","missing entity_type; ","")&amp;IF(B394="","missing entity_key; ","")&amp;IF(C394="","missing contact_order; ","")&amp;IF(D394="","missing contact_type; ","")&amp;IF(E394="","missing number; ","")&amp;IF(J394="","missing status; ","")&amp;IF(AND(A394="client",COUNTIF(الزبائن!$A$6:$A$505,B394)=0),"client key not found; ","")&amp;IF(AND(A394="proposed_name",COUNTIF('أسماء مقترحة'!$A$6:$A$505,B394)=0),"proposed_name key not found; ","")&amp;IF(AND(D394="mobile",J394&lt;&gt;"invalid",NOT(OR(AND(LEN(E394&amp;"")=10,LEFT(E394&amp;"",2)="09"),AND(LEN(E394&amp;"")=9,LEFT(E394&amp;"",1)="9")))),"mobile must be 09XXXXXXXX or status invalid; ","")&amp;IF(COUNTIFS($A$6:$A$505,A394,$B$6:$B$505,B394,$E$6:$E$505,E394)&gt;1,"duplicate number for same entity; ",""))))</f>
        <v/>
      </c>
    </row>
    <row r="395" spans="1:14">
      <c r="A395" s="23"/>
      <c r="B395" s="24"/>
      <c r="C395" s="25"/>
      <c r="D395" s="25"/>
      <c r="E395" s="24"/>
      <c r="F395" s="24"/>
      <c r="G395" s="25"/>
      <c r="H395" s="25"/>
      <c r="I395" s="25"/>
      <c r="J395" s="25"/>
      <c r="K395" s="25"/>
      <c r="L395" s="25"/>
      <c r="M395" s="25" t="str">
        <f>IF(AND(A395="",B395="",E395=""),"",IF(OR(A395="",B395="",C395="",D395="",E395="",J395="",AND(A395="client",COUNTIF(الزبائن!$A$6:$A$505,B395)=0),AND(A395="proposed_name",COUNTIF('أسماء مقترحة'!$A$6:$A$505,B395)=0),AND(D395="mobile",J395&lt;&gt;"invalid",NOT(OR(AND(LEN(E395&amp;"")=10,LEFT(E395&amp;"",2)="09"),AND(LEN(E395&amp;"")=9,LEFT(E395&amp;"",1)="9")))),COUNTIFS($A$6:$A$505,A395,$B$6:$B$505,B395,$E$6:$E$505,E395)&gt;1),"REVIEW","READY"))</f>
        <v/>
      </c>
      <c r="N395" s="27" t="str">
        <f>IF(M395="","",IF(M395="READY","",TRIM(IF(A395="","missing entity_type; ","")&amp;IF(B395="","missing entity_key; ","")&amp;IF(C395="","missing contact_order; ","")&amp;IF(D395="","missing contact_type; ","")&amp;IF(E395="","missing number; ","")&amp;IF(J395="","missing status; ","")&amp;IF(AND(A395="client",COUNTIF(الزبائن!$A$6:$A$505,B395)=0),"client key not found; ","")&amp;IF(AND(A395="proposed_name",COUNTIF('أسماء مقترحة'!$A$6:$A$505,B395)=0),"proposed_name key not found; ","")&amp;IF(AND(D395="mobile",J395&lt;&gt;"invalid",NOT(OR(AND(LEN(E395&amp;"")=10,LEFT(E395&amp;"",2)="09"),AND(LEN(E395&amp;"")=9,LEFT(E395&amp;"",1)="9")))),"mobile must be 09XXXXXXXX or status invalid; ","")&amp;IF(COUNTIFS($A$6:$A$505,A395,$B$6:$B$505,B395,$E$6:$E$505,E395)&gt;1,"duplicate number for same entity; ",""))))</f>
        <v/>
      </c>
    </row>
    <row r="396" spans="1:14">
      <c r="A396" s="23"/>
      <c r="B396" s="24"/>
      <c r="C396" s="25"/>
      <c r="D396" s="25"/>
      <c r="E396" s="24"/>
      <c r="F396" s="24"/>
      <c r="G396" s="25"/>
      <c r="H396" s="25"/>
      <c r="I396" s="25"/>
      <c r="J396" s="25"/>
      <c r="K396" s="25"/>
      <c r="L396" s="25"/>
      <c r="M396" s="25" t="str">
        <f>IF(AND(A396="",B396="",E396=""),"",IF(OR(A396="",B396="",C396="",D396="",E396="",J396="",AND(A396="client",COUNTIF(الزبائن!$A$6:$A$505,B396)=0),AND(A396="proposed_name",COUNTIF('أسماء مقترحة'!$A$6:$A$505,B396)=0),AND(D396="mobile",J396&lt;&gt;"invalid",NOT(OR(AND(LEN(E396&amp;"")=10,LEFT(E396&amp;"",2)="09"),AND(LEN(E396&amp;"")=9,LEFT(E396&amp;"",1)="9")))),COUNTIFS($A$6:$A$505,A396,$B$6:$B$505,B396,$E$6:$E$505,E396)&gt;1),"REVIEW","READY"))</f>
        <v/>
      </c>
      <c r="N396" s="27" t="str">
        <f>IF(M396="","",IF(M396="READY","",TRIM(IF(A396="","missing entity_type; ","")&amp;IF(B396="","missing entity_key; ","")&amp;IF(C396="","missing contact_order; ","")&amp;IF(D396="","missing contact_type; ","")&amp;IF(E396="","missing number; ","")&amp;IF(J396="","missing status; ","")&amp;IF(AND(A396="client",COUNTIF(الزبائن!$A$6:$A$505,B396)=0),"client key not found; ","")&amp;IF(AND(A396="proposed_name",COUNTIF('أسماء مقترحة'!$A$6:$A$505,B396)=0),"proposed_name key not found; ","")&amp;IF(AND(D396="mobile",J396&lt;&gt;"invalid",NOT(OR(AND(LEN(E396&amp;"")=10,LEFT(E396&amp;"",2)="09"),AND(LEN(E396&amp;"")=9,LEFT(E396&amp;"",1)="9")))),"mobile must be 09XXXXXXXX or status invalid; ","")&amp;IF(COUNTIFS($A$6:$A$505,A396,$B$6:$B$505,B396,$E$6:$E$505,E396)&gt;1,"duplicate number for same entity; ",""))))</f>
        <v/>
      </c>
    </row>
    <row r="397" spans="1:14">
      <c r="A397" s="23"/>
      <c r="B397" s="24"/>
      <c r="C397" s="25"/>
      <c r="D397" s="25"/>
      <c r="E397" s="24"/>
      <c r="F397" s="24"/>
      <c r="G397" s="25"/>
      <c r="H397" s="25"/>
      <c r="I397" s="25"/>
      <c r="J397" s="25"/>
      <c r="K397" s="25"/>
      <c r="L397" s="25"/>
      <c r="M397" s="25" t="str">
        <f>IF(AND(A397="",B397="",E397=""),"",IF(OR(A397="",B397="",C397="",D397="",E397="",J397="",AND(A397="client",COUNTIF(الزبائن!$A$6:$A$505,B397)=0),AND(A397="proposed_name",COUNTIF('أسماء مقترحة'!$A$6:$A$505,B397)=0),AND(D397="mobile",J397&lt;&gt;"invalid",NOT(OR(AND(LEN(E397&amp;"")=10,LEFT(E397&amp;"",2)="09"),AND(LEN(E397&amp;"")=9,LEFT(E397&amp;"",1)="9")))),COUNTIFS($A$6:$A$505,A397,$B$6:$B$505,B397,$E$6:$E$505,E397)&gt;1),"REVIEW","READY"))</f>
        <v/>
      </c>
      <c r="N397" s="27" t="str">
        <f>IF(M397="","",IF(M397="READY","",TRIM(IF(A397="","missing entity_type; ","")&amp;IF(B397="","missing entity_key; ","")&amp;IF(C397="","missing contact_order; ","")&amp;IF(D397="","missing contact_type; ","")&amp;IF(E397="","missing number; ","")&amp;IF(J397="","missing status; ","")&amp;IF(AND(A397="client",COUNTIF(الزبائن!$A$6:$A$505,B397)=0),"client key not found; ","")&amp;IF(AND(A397="proposed_name",COUNTIF('أسماء مقترحة'!$A$6:$A$505,B397)=0),"proposed_name key not found; ","")&amp;IF(AND(D397="mobile",J397&lt;&gt;"invalid",NOT(OR(AND(LEN(E397&amp;"")=10,LEFT(E397&amp;"",2)="09"),AND(LEN(E397&amp;"")=9,LEFT(E397&amp;"",1)="9")))),"mobile must be 09XXXXXXXX or status invalid; ","")&amp;IF(COUNTIFS($A$6:$A$505,A397,$B$6:$B$505,B397,$E$6:$E$505,E397)&gt;1,"duplicate number for same entity; ",""))))</f>
        <v/>
      </c>
    </row>
    <row r="398" spans="1:14">
      <c r="A398" s="23"/>
      <c r="B398" s="24"/>
      <c r="C398" s="25"/>
      <c r="D398" s="25"/>
      <c r="E398" s="24"/>
      <c r="F398" s="24"/>
      <c r="G398" s="25"/>
      <c r="H398" s="25"/>
      <c r="I398" s="25"/>
      <c r="J398" s="25"/>
      <c r="K398" s="25"/>
      <c r="L398" s="25"/>
      <c r="M398" s="25" t="str">
        <f>IF(AND(A398="",B398="",E398=""),"",IF(OR(A398="",B398="",C398="",D398="",E398="",J398="",AND(A398="client",COUNTIF(الزبائن!$A$6:$A$505,B398)=0),AND(A398="proposed_name",COUNTIF('أسماء مقترحة'!$A$6:$A$505,B398)=0),AND(D398="mobile",J398&lt;&gt;"invalid",NOT(OR(AND(LEN(E398&amp;"")=10,LEFT(E398&amp;"",2)="09"),AND(LEN(E398&amp;"")=9,LEFT(E398&amp;"",1)="9")))),COUNTIFS($A$6:$A$505,A398,$B$6:$B$505,B398,$E$6:$E$505,E398)&gt;1),"REVIEW","READY"))</f>
        <v/>
      </c>
      <c r="N398" s="27" t="str">
        <f>IF(M398="","",IF(M398="READY","",TRIM(IF(A398="","missing entity_type; ","")&amp;IF(B398="","missing entity_key; ","")&amp;IF(C398="","missing contact_order; ","")&amp;IF(D398="","missing contact_type; ","")&amp;IF(E398="","missing number; ","")&amp;IF(J398="","missing status; ","")&amp;IF(AND(A398="client",COUNTIF(الزبائن!$A$6:$A$505,B398)=0),"client key not found; ","")&amp;IF(AND(A398="proposed_name",COUNTIF('أسماء مقترحة'!$A$6:$A$505,B398)=0),"proposed_name key not found; ","")&amp;IF(AND(D398="mobile",J398&lt;&gt;"invalid",NOT(OR(AND(LEN(E398&amp;"")=10,LEFT(E398&amp;"",2)="09"),AND(LEN(E398&amp;"")=9,LEFT(E398&amp;"",1)="9")))),"mobile must be 09XXXXXXXX or status invalid; ","")&amp;IF(COUNTIFS($A$6:$A$505,A398,$B$6:$B$505,B398,$E$6:$E$505,E398)&gt;1,"duplicate number for same entity; ",""))))</f>
        <v/>
      </c>
    </row>
    <row r="399" spans="1:14">
      <c r="A399" s="23"/>
      <c r="B399" s="24"/>
      <c r="C399" s="25"/>
      <c r="D399" s="25"/>
      <c r="E399" s="24"/>
      <c r="F399" s="24"/>
      <c r="G399" s="25"/>
      <c r="H399" s="25"/>
      <c r="I399" s="25"/>
      <c r="J399" s="25"/>
      <c r="K399" s="25"/>
      <c r="L399" s="25"/>
      <c r="M399" s="25" t="str">
        <f>IF(AND(A399="",B399="",E399=""),"",IF(OR(A399="",B399="",C399="",D399="",E399="",J399="",AND(A399="client",COUNTIF(الزبائن!$A$6:$A$505,B399)=0),AND(A399="proposed_name",COUNTIF('أسماء مقترحة'!$A$6:$A$505,B399)=0),AND(D399="mobile",J399&lt;&gt;"invalid",NOT(OR(AND(LEN(E399&amp;"")=10,LEFT(E399&amp;"",2)="09"),AND(LEN(E399&amp;"")=9,LEFT(E399&amp;"",1)="9")))),COUNTIFS($A$6:$A$505,A399,$B$6:$B$505,B399,$E$6:$E$505,E399)&gt;1),"REVIEW","READY"))</f>
        <v/>
      </c>
      <c r="N399" s="27" t="str">
        <f>IF(M399="","",IF(M399="READY","",TRIM(IF(A399="","missing entity_type; ","")&amp;IF(B399="","missing entity_key; ","")&amp;IF(C399="","missing contact_order; ","")&amp;IF(D399="","missing contact_type; ","")&amp;IF(E399="","missing number; ","")&amp;IF(J399="","missing status; ","")&amp;IF(AND(A399="client",COUNTIF(الزبائن!$A$6:$A$505,B399)=0),"client key not found; ","")&amp;IF(AND(A399="proposed_name",COUNTIF('أسماء مقترحة'!$A$6:$A$505,B399)=0),"proposed_name key not found; ","")&amp;IF(AND(D399="mobile",J399&lt;&gt;"invalid",NOT(OR(AND(LEN(E399&amp;"")=10,LEFT(E399&amp;"",2)="09"),AND(LEN(E399&amp;"")=9,LEFT(E399&amp;"",1)="9")))),"mobile must be 09XXXXXXXX or status invalid; ","")&amp;IF(COUNTIFS($A$6:$A$505,A399,$B$6:$B$505,B399,$E$6:$E$505,E399)&gt;1,"duplicate number for same entity; ",""))))</f>
        <v/>
      </c>
    </row>
    <row r="400" spans="1:14">
      <c r="A400" s="23"/>
      <c r="B400" s="24"/>
      <c r="C400" s="25"/>
      <c r="D400" s="25"/>
      <c r="E400" s="24"/>
      <c r="F400" s="24"/>
      <c r="G400" s="25"/>
      <c r="H400" s="25"/>
      <c r="I400" s="25"/>
      <c r="J400" s="25"/>
      <c r="K400" s="25"/>
      <c r="L400" s="25"/>
      <c r="M400" s="25" t="str">
        <f>IF(AND(A400="",B400="",E400=""),"",IF(OR(A400="",B400="",C400="",D400="",E400="",J400="",AND(A400="client",COUNTIF(الزبائن!$A$6:$A$505,B400)=0),AND(A400="proposed_name",COUNTIF('أسماء مقترحة'!$A$6:$A$505,B400)=0),AND(D400="mobile",J400&lt;&gt;"invalid",NOT(OR(AND(LEN(E400&amp;"")=10,LEFT(E400&amp;"",2)="09"),AND(LEN(E400&amp;"")=9,LEFT(E400&amp;"",1)="9")))),COUNTIFS($A$6:$A$505,A400,$B$6:$B$505,B400,$E$6:$E$505,E400)&gt;1),"REVIEW","READY"))</f>
        <v/>
      </c>
      <c r="N400" s="27" t="str">
        <f>IF(M400="","",IF(M400="READY","",TRIM(IF(A400="","missing entity_type; ","")&amp;IF(B400="","missing entity_key; ","")&amp;IF(C400="","missing contact_order; ","")&amp;IF(D400="","missing contact_type; ","")&amp;IF(E400="","missing number; ","")&amp;IF(J400="","missing status; ","")&amp;IF(AND(A400="client",COUNTIF(الزبائن!$A$6:$A$505,B400)=0),"client key not found; ","")&amp;IF(AND(A400="proposed_name",COUNTIF('أسماء مقترحة'!$A$6:$A$505,B400)=0),"proposed_name key not found; ","")&amp;IF(AND(D400="mobile",J400&lt;&gt;"invalid",NOT(OR(AND(LEN(E400&amp;"")=10,LEFT(E400&amp;"",2)="09"),AND(LEN(E400&amp;"")=9,LEFT(E400&amp;"",1)="9")))),"mobile must be 09XXXXXXXX or status invalid; ","")&amp;IF(COUNTIFS($A$6:$A$505,A400,$B$6:$B$505,B400,$E$6:$E$505,E400)&gt;1,"duplicate number for same entity; ",""))))</f>
        <v/>
      </c>
    </row>
    <row r="401" spans="1:14">
      <c r="A401" s="23"/>
      <c r="B401" s="24"/>
      <c r="C401" s="25"/>
      <c r="D401" s="25"/>
      <c r="E401" s="24"/>
      <c r="F401" s="24"/>
      <c r="G401" s="25"/>
      <c r="H401" s="25"/>
      <c r="I401" s="25"/>
      <c r="J401" s="25"/>
      <c r="K401" s="25"/>
      <c r="L401" s="25"/>
      <c r="M401" s="25" t="str">
        <f>IF(AND(A401="",B401="",E401=""),"",IF(OR(A401="",B401="",C401="",D401="",E401="",J401="",AND(A401="client",COUNTIF(الزبائن!$A$6:$A$505,B401)=0),AND(A401="proposed_name",COUNTIF('أسماء مقترحة'!$A$6:$A$505,B401)=0),AND(D401="mobile",J401&lt;&gt;"invalid",NOT(OR(AND(LEN(E401&amp;"")=10,LEFT(E401&amp;"",2)="09"),AND(LEN(E401&amp;"")=9,LEFT(E401&amp;"",1)="9")))),COUNTIFS($A$6:$A$505,A401,$B$6:$B$505,B401,$E$6:$E$505,E401)&gt;1),"REVIEW","READY"))</f>
        <v/>
      </c>
      <c r="N401" s="27" t="str">
        <f>IF(M401="","",IF(M401="READY","",TRIM(IF(A401="","missing entity_type; ","")&amp;IF(B401="","missing entity_key; ","")&amp;IF(C401="","missing contact_order; ","")&amp;IF(D401="","missing contact_type; ","")&amp;IF(E401="","missing number; ","")&amp;IF(J401="","missing status; ","")&amp;IF(AND(A401="client",COUNTIF(الزبائن!$A$6:$A$505,B401)=0),"client key not found; ","")&amp;IF(AND(A401="proposed_name",COUNTIF('أسماء مقترحة'!$A$6:$A$505,B401)=0),"proposed_name key not found; ","")&amp;IF(AND(D401="mobile",J401&lt;&gt;"invalid",NOT(OR(AND(LEN(E401&amp;"")=10,LEFT(E401&amp;"",2)="09"),AND(LEN(E401&amp;"")=9,LEFT(E401&amp;"",1)="9")))),"mobile must be 09XXXXXXXX or status invalid; ","")&amp;IF(COUNTIFS($A$6:$A$505,A401,$B$6:$B$505,B401,$E$6:$E$505,E401)&gt;1,"duplicate number for same entity; ",""))))</f>
        <v/>
      </c>
    </row>
    <row r="402" spans="1:14">
      <c r="A402" s="23"/>
      <c r="B402" s="24"/>
      <c r="C402" s="25"/>
      <c r="D402" s="25"/>
      <c r="E402" s="24"/>
      <c r="F402" s="24"/>
      <c r="G402" s="25"/>
      <c r="H402" s="25"/>
      <c r="I402" s="25"/>
      <c r="J402" s="25"/>
      <c r="K402" s="25"/>
      <c r="L402" s="25"/>
      <c r="M402" s="25" t="str">
        <f>IF(AND(A402="",B402="",E402=""),"",IF(OR(A402="",B402="",C402="",D402="",E402="",J402="",AND(A402="client",COUNTIF(الزبائن!$A$6:$A$505,B402)=0),AND(A402="proposed_name",COUNTIF('أسماء مقترحة'!$A$6:$A$505,B402)=0),AND(D402="mobile",J402&lt;&gt;"invalid",NOT(OR(AND(LEN(E402&amp;"")=10,LEFT(E402&amp;"",2)="09"),AND(LEN(E402&amp;"")=9,LEFT(E402&amp;"",1)="9")))),COUNTIFS($A$6:$A$505,A402,$B$6:$B$505,B402,$E$6:$E$505,E402)&gt;1),"REVIEW","READY"))</f>
        <v/>
      </c>
      <c r="N402" s="27" t="str">
        <f>IF(M402="","",IF(M402="READY","",TRIM(IF(A402="","missing entity_type; ","")&amp;IF(B402="","missing entity_key; ","")&amp;IF(C402="","missing contact_order; ","")&amp;IF(D402="","missing contact_type; ","")&amp;IF(E402="","missing number; ","")&amp;IF(J402="","missing status; ","")&amp;IF(AND(A402="client",COUNTIF(الزبائن!$A$6:$A$505,B402)=0),"client key not found; ","")&amp;IF(AND(A402="proposed_name",COUNTIF('أسماء مقترحة'!$A$6:$A$505,B402)=0),"proposed_name key not found; ","")&amp;IF(AND(D402="mobile",J402&lt;&gt;"invalid",NOT(OR(AND(LEN(E402&amp;"")=10,LEFT(E402&amp;"",2)="09"),AND(LEN(E402&amp;"")=9,LEFT(E402&amp;"",1)="9")))),"mobile must be 09XXXXXXXX or status invalid; ","")&amp;IF(COUNTIFS($A$6:$A$505,A402,$B$6:$B$505,B402,$E$6:$E$505,E402)&gt;1,"duplicate number for same entity; ",""))))</f>
        <v/>
      </c>
    </row>
    <row r="403" spans="1:14">
      <c r="A403" s="23"/>
      <c r="B403" s="24"/>
      <c r="C403" s="25"/>
      <c r="D403" s="25"/>
      <c r="E403" s="24"/>
      <c r="F403" s="24"/>
      <c r="G403" s="25"/>
      <c r="H403" s="25"/>
      <c r="I403" s="25"/>
      <c r="J403" s="25"/>
      <c r="K403" s="25"/>
      <c r="L403" s="25"/>
      <c r="M403" s="25" t="str">
        <f>IF(AND(A403="",B403="",E403=""),"",IF(OR(A403="",B403="",C403="",D403="",E403="",J403="",AND(A403="client",COUNTIF(الزبائن!$A$6:$A$505,B403)=0),AND(A403="proposed_name",COUNTIF('أسماء مقترحة'!$A$6:$A$505,B403)=0),AND(D403="mobile",J403&lt;&gt;"invalid",NOT(OR(AND(LEN(E403&amp;"")=10,LEFT(E403&amp;"",2)="09"),AND(LEN(E403&amp;"")=9,LEFT(E403&amp;"",1)="9")))),COUNTIFS($A$6:$A$505,A403,$B$6:$B$505,B403,$E$6:$E$505,E403)&gt;1),"REVIEW","READY"))</f>
        <v/>
      </c>
      <c r="N403" s="27" t="str">
        <f>IF(M403="","",IF(M403="READY","",TRIM(IF(A403="","missing entity_type; ","")&amp;IF(B403="","missing entity_key; ","")&amp;IF(C403="","missing contact_order; ","")&amp;IF(D403="","missing contact_type; ","")&amp;IF(E403="","missing number; ","")&amp;IF(J403="","missing status; ","")&amp;IF(AND(A403="client",COUNTIF(الزبائن!$A$6:$A$505,B403)=0),"client key not found; ","")&amp;IF(AND(A403="proposed_name",COUNTIF('أسماء مقترحة'!$A$6:$A$505,B403)=0),"proposed_name key not found; ","")&amp;IF(AND(D403="mobile",J403&lt;&gt;"invalid",NOT(OR(AND(LEN(E403&amp;"")=10,LEFT(E403&amp;"",2)="09"),AND(LEN(E403&amp;"")=9,LEFT(E403&amp;"",1)="9")))),"mobile must be 09XXXXXXXX or status invalid; ","")&amp;IF(COUNTIFS($A$6:$A$505,A403,$B$6:$B$505,B403,$E$6:$E$505,E403)&gt;1,"duplicate number for same entity; ",""))))</f>
        <v/>
      </c>
    </row>
    <row r="404" spans="1:14">
      <c r="A404" s="23"/>
      <c r="B404" s="24"/>
      <c r="C404" s="25"/>
      <c r="D404" s="25"/>
      <c r="E404" s="24"/>
      <c r="F404" s="24"/>
      <c r="G404" s="25"/>
      <c r="H404" s="25"/>
      <c r="I404" s="25"/>
      <c r="J404" s="25"/>
      <c r="K404" s="25"/>
      <c r="L404" s="25"/>
      <c r="M404" s="25" t="str">
        <f>IF(AND(A404="",B404="",E404=""),"",IF(OR(A404="",B404="",C404="",D404="",E404="",J404="",AND(A404="client",COUNTIF(الزبائن!$A$6:$A$505,B404)=0),AND(A404="proposed_name",COUNTIF('أسماء مقترحة'!$A$6:$A$505,B404)=0),AND(D404="mobile",J404&lt;&gt;"invalid",NOT(OR(AND(LEN(E404&amp;"")=10,LEFT(E404&amp;"",2)="09"),AND(LEN(E404&amp;"")=9,LEFT(E404&amp;"",1)="9")))),COUNTIFS($A$6:$A$505,A404,$B$6:$B$505,B404,$E$6:$E$505,E404)&gt;1),"REVIEW","READY"))</f>
        <v/>
      </c>
      <c r="N404" s="27" t="str">
        <f>IF(M404="","",IF(M404="READY","",TRIM(IF(A404="","missing entity_type; ","")&amp;IF(B404="","missing entity_key; ","")&amp;IF(C404="","missing contact_order; ","")&amp;IF(D404="","missing contact_type; ","")&amp;IF(E404="","missing number; ","")&amp;IF(J404="","missing status; ","")&amp;IF(AND(A404="client",COUNTIF(الزبائن!$A$6:$A$505,B404)=0),"client key not found; ","")&amp;IF(AND(A404="proposed_name",COUNTIF('أسماء مقترحة'!$A$6:$A$505,B404)=0),"proposed_name key not found; ","")&amp;IF(AND(D404="mobile",J404&lt;&gt;"invalid",NOT(OR(AND(LEN(E404&amp;"")=10,LEFT(E404&amp;"",2)="09"),AND(LEN(E404&amp;"")=9,LEFT(E404&amp;"",1)="9")))),"mobile must be 09XXXXXXXX or status invalid; ","")&amp;IF(COUNTIFS($A$6:$A$505,A404,$B$6:$B$505,B404,$E$6:$E$505,E404)&gt;1,"duplicate number for same entity; ",""))))</f>
        <v/>
      </c>
    </row>
    <row r="405" spans="1:14">
      <c r="A405" s="23"/>
      <c r="B405" s="24"/>
      <c r="C405" s="25"/>
      <c r="D405" s="25"/>
      <c r="E405" s="24"/>
      <c r="F405" s="24"/>
      <c r="G405" s="25"/>
      <c r="H405" s="25"/>
      <c r="I405" s="25"/>
      <c r="J405" s="25"/>
      <c r="K405" s="25"/>
      <c r="L405" s="25"/>
      <c r="M405" s="25" t="str">
        <f>IF(AND(A405="",B405="",E405=""),"",IF(OR(A405="",B405="",C405="",D405="",E405="",J405="",AND(A405="client",COUNTIF(الزبائن!$A$6:$A$505,B405)=0),AND(A405="proposed_name",COUNTIF('أسماء مقترحة'!$A$6:$A$505,B405)=0),AND(D405="mobile",J405&lt;&gt;"invalid",NOT(OR(AND(LEN(E405&amp;"")=10,LEFT(E405&amp;"",2)="09"),AND(LEN(E405&amp;"")=9,LEFT(E405&amp;"",1)="9")))),COUNTIFS($A$6:$A$505,A405,$B$6:$B$505,B405,$E$6:$E$505,E405)&gt;1),"REVIEW","READY"))</f>
        <v/>
      </c>
      <c r="N405" s="27" t="str">
        <f>IF(M405="","",IF(M405="READY","",TRIM(IF(A405="","missing entity_type; ","")&amp;IF(B405="","missing entity_key; ","")&amp;IF(C405="","missing contact_order; ","")&amp;IF(D405="","missing contact_type; ","")&amp;IF(E405="","missing number; ","")&amp;IF(J405="","missing status; ","")&amp;IF(AND(A405="client",COUNTIF(الزبائن!$A$6:$A$505,B405)=0),"client key not found; ","")&amp;IF(AND(A405="proposed_name",COUNTIF('أسماء مقترحة'!$A$6:$A$505,B405)=0),"proposed_name key not found; ","")&amp;IF(AND(D405="mobile",J405&lt;&gt;"invalid",NOT(OR(AND(LEN(E405&amp;"")=10,LEFT(E405&amp;"",2)="09"),AND(LEN(E405&amp;"")=9,LEFT(E405&amp;"",1)="9")))),"mobile must be 09XXXXXXXX or status invalid; ","")&amp;IF(COUNTIFS($A$6:$A$505,A405,$B$6:$B$505,B405,$E$6:$E$505,E405)&gt;1,"duplicate number for same entity; ",""))))</f>
        <v/>
      </c>
    </row>
    <row r="406" spans="1:14">
      <c r="A406" s="23"/>
      <c r="B406" s="24"/>
      <c r="C406" s="25"/>
      <c r="D406" s="25"/>
      <c r="E406" s="24"/>
      <c r="F406" s="24"/>
      <c r="G406" s="25"/>
      <c r="H406" s="25"/>
      <c r="I406" s="25"/>
      <c r="J406" s="25"/>
      <c r="K406" s="25"/>
      <c r="L406" s="25"/>
      <c r="M406" s="25" t="str">
        <f>IF(AND(A406="",B406="",E406=""),"",IF(OR(A406="",B406="",C406="",D406="",E406="",J406="",AND(A406="client",COUNTIF(الزبائن!$A$6:$A$505,B406)=0),AND(A406="proposed_name",COUNTIF('أسماء مقترحة'!$A$6:$A$505,B406)=0),AND(D406="mobile",J406&lt;&gt;"invalid",NOT(OR(AND(LEN(E406&amp;"")=10,LEFT(E406&amp;"",2)="09"),AND(LEN(E406&amp;"")=9,LEFT(E406&amp;"",1)="9")))),COUNTIFS($A$6:$A$505,A406,$B$6:$B$505,B406,$E$6:$E$505,E406)&gt;1),"REVIEW","READY"))</f>
        <v/>
      </c>
      <c r="N406" s="27" t="str">
        <f>IF(M406="","",IF(M406="READY","",TRIM(IF(A406="","missing entity_type; ","")&amp;IF(B406="","missing entity_key; ","")&amp;IF(C406="","missing contact_order; ","")&amp;IF(D406="","missing contact_type; ","")&amp;IF(E406="","missing number; ","")&amp;IF(J406="","missing status; ","")&amp;IF(AND(A406="client",COUNTIF(الزبائن!$A$6:$A$505,B406)=0),"client key not found; ","")&amp;IF(AND(A406="proposed_name",COUNTIF('أسماء مقترحة'!$A$6:$A$505,B406)=0),"proposed_name key not found; ","")&amp;IF(AND(D406="mobile",J406&lt;&gt;"invalid",NOT(OR(AND(LEN(E406&amp;"")=10,LEFT(E406&amp;"",2)="09"),AND(LEN(E406&amp;"")=9,LEFT(E406&amp;"",1)="9")))),"mobile must be 09XXXXXXXX or status invalid; ","")&amp;IF(COUNTIFS($A$6:$A$505,A406,$B$6:$B$505,B406,$E$6:$E$505,E406)&gt;1,"duplicate number for same entity; ",""))))</f>
        <v/>
      </c>
    </row>
    <row r="407" spans="1:14">
      <c r="A407" s="23"/>
      <c r="B407" s="24"/>
      <c r="C407" s="25"/>
      <c r="D407" s="25"/>
      <c r="E407" s="24"/>
      <c r="F407" s="24"/>
      <c r="G407" s="25"/>
      <c r="H407" s="25"/>
      <c r="I407" s="25"/>
      <c r="J407" s="25"/>
      <c r="K407" s="25"/>
      <c r="L407" s="25"/>
      <c r="M407" s="25" t="str">
        <f>IF(AND(A407="",B407="",E407=""),"",IF(OR(A407="",B407="",C407="",D407="",E407="",J407="",AND(A407="client",COUNTIF(الزبائن!$A$6:$A$505,B407)=0),AND(A407="proposed_name",COUNTIF('أسماء مقترحة'!$A$6:$A$505,B407)=0),AND(D407="mobile",J407&lt;&gt;"invalid",NOT(OR(AND(LEN(E407&amp;"")=10,LEFT(E407&amp;"",2)="09"),AND(LEN(E407&amp;"")=9,LEFT(E407&amp;"",1)="9")))),COUNTIFS($A$6:$A$505,A407,$B$6:$B$505,B407,$E$6:$E$505,E407)&gt;1),"REVIEW","READY"))</f>
        <v/>
      </c>
      <c r="N407" s="27" t="str">
        <f>IF(M407="","",IF(M407="READY","",TRIM(IF(A407="","missing entity_type; ","")&amp;IF(B407="","missing entity_key; ","")&amp;IF(C407="","missing contact_order; ","")&amp;IF(D407="","missing contact_type; ","")&amp;IF(E407="","missing number; ","")&amp;IF(J407="","missing status; ","")&amp;IF(AND(A407="client",COUNTIF(الزبائن!$A$6:$A$505,B407)=0),"client key not found; ","")&amp;IF(AND(A407="proposed_name",COUNTIF('أسماء مقترحة'!$A$6:$A$505,B407)=0),"proposed_name key not found; ","")&amp;IF(AND(D407="mobile",J407&lt;&gt;"invalid",NOT(OR(AND(LEN(E407&amp;"")=10,LEFT(E407&amp;"",2)="09"),AND(LEN(E407&amp;"")=9,LEFT(E407&amp;"",1)="9")))),"mobile must be 09XXXXXXXX or status invalid; ","")&amp;IF(COUNTIFS($A$6:$A$505,A407,$B$6:$B$505,B407,$E$6:$E$505,E407)&gt;1,"duplicate number for same entity; ",""))))</f>
        <v/>
      </c>
    </row>
    <row r="408" spans="1:14">
      <c r="A408" s="23"/>
      <c r="B408" s="24"/>
      <c r="C408" s="25"/>
      <c r="D408" s="25"/>
      <c r="E408" s="24"/>
      <c r="F408" s="24"/>
      <c r="G408" s="25"/>
      <c r="H408" s="25"/>
      <c r="I408" s="25"/>
      <c r="J408" s="25"/>
      <c r="K408" s="25"/>
      <c r="L408" s="25"/>
      <c r="M408" s="25" t="str">
        <f>IF(AND(A408="",B408="",E408=""),"",IF(OR(A408="",B408="",C408="",D408="",E408="",J408="",AND(A408="client",COUNTIF(الزبائن!$A$6:$A$505,B408)=0),AND(A408="proposed_name",COUNTIF('أسماء مقترحة'!$A$6:$A$505,B408)=0),AND(D408="mobile",J408&lt;&gt;"invalid",NOT(OR(AND(LEN(E408&amp;"")=10,LEFT(E408&amp;"",2)="09"),AND(LEN(E408&amp;"")=9,LEFT(E408&amp;"",1)="9")))),COUNTIFS($A$6:$A$505,A408,$B$6:$B$505,B408,$E$6:$E$505,E408)&gt;1),"REVIEW","READY"))</f>
        <v/>
      </c>
      <c r="N408" s="27" t="str">
        <f>IF(M408="","",IF(M408="READY","",TRIM(IF(A408="","missing entity_type; ","")&amp;IF(B408="","missing entity_key; ","")&amp;IF(C408="","missing contact_order; ","")&amp;IF(D408="","missing contact_type; ","")&amp;IF(E408="","missing number; ","")&amp;IF(J408="","missing status; ","")&amp;IF(AND(A408="client",COUNTIF(الزبائن!$A$6:$A$505,B408)=0),"client key not found; ","")&amp;IF(AND(A408="proposed_name",COUNTIF('أسماء مقترحة'!$A$6:$A$505,B408)=0),"proposed_name key not found; ","")&amp;IF(AND(D408="mobile",J408&lt;&gt;"invalid",NOT(OR(AND(LEN(E408&amp;"")=10,LEFT(E408&amp;"",2)="09"),AND(LEN(E408&amp;"")=9,LEFT(E408&amp;"",1)="9")))),"mobile must be 09XXXXXXXX or status invalid; ","")&amp;IF(COUNTIFS($A$6:$A$505,A408,$B$6:$B$505,B408,$E$6:$E$505,E408)&gt;1,"duplicate number for same entity; ",""))))</f>
        <v/>
      </c>
    </row>
    <row r="409" spans="1:14">
      <c r="A409" s="23"/>
      <c r="B409" s="24"/>
      <c r="C409" s="25"/>
      <c r="D409" s="25"/>
      <c r="E409" s="24"/>
      <c r="F409" s="24"/>
      <c r="G409" s="25"/>
      <c r="H409" s="25"/>
      <c r="I409" s="25"/>
      <c r="J409" s="25"/>
      <c r="K409" s="25"/>
      <c r="L409" s="25"/>
      <c r="M409" s="25" t="str">
        <f>IF(AND(A409="",B409="",E409=""),"",IF(OR(A409="",B409="",C409="",D409="",E409="",J409="",AND(A409="client",COUNTIF(الزبائن!$A$6:$A$505,B409)=0),AND(A409="proposed_name",COUNTIF('أسماء مقترحة'!$A$6:$A$505,B409)=0),AND(D409="mobile",J409&lt;&gt;"invalid",NOT(OR(AND(LEN(E409&amp;"")=10,LEFT(E409&amp;"",2)="09"),AND(LEN(E409&amp;"")=9,LEFT(E409&amp;"",1)="9")))),COUNTIFS($A$6:$A$505,A409,$B$6:$B$505,B409,$E$6:$E$505,E409)&gt;1),"REVIEW","READY"))</f>
        <v/>
      </c>
      <c r="N409" s="27" t="str">
        <f>IF(M409="","",IF(M409="READY","",TRIM(IF(A409="","missing entity_type; ","")&amp;IF(B409="","missing entity_key; ","")&amp;IF(C409="","missing contact_order; ","")&amp;IF(D409="","missing contact_type; ","")&amp;IF(E409="","missing number; ","")&amp;IF(J409="","missing status; ","")&amp;IF(AND(A409="client",COUNTIF(الزبائن!$A$6:$A$505,B409)=0),"client key not found; ","")&amp;IF(AND(A409="proposed_name",COUNTIF('أسماء مقترحة'!$A$6:$A$505,B409)=0),"proposed_name key not found; ","")&amp;IF(AND(D409="mobile",J409&lt;&gt;"invalid",NOT(OR(AND(LEN(E409&amp;"")=10,LEFT(E409&amp;"",2)="09"),AND(LEN(E409&amp;"")=9,LEFT(E409&amp;"",1)="9")))),"mobile must be 09XXXXXXXX or status invalid; ","")&amp;IF(COUNTIFS($A$6:$A$505,A409,$B$6:$B$505,B409,$E$6:$E$505,E409)&gt;1,"duplicate number for same entity; ",""))))</f>
        <v/>
      </c>
    </row>
    <row r="410" spans="1:14">
      <c r="A410" s="23"/>
      <c r="B410" s="24"/>
      <c r="C410" s="25"/>
      <c r="D410" s="25"/>
      <c r="E410" s="24"/>
      <c r="F410" s="24"/>
      <c r="G410" s="25"/>
      <c r="H410" s="25"/>
      <c r="I410" s="25"/>
      <c r="J410" s="25"/>
      <c r="K410" s="25"/>
      <c r="L410" s="25"/>
      <c r="M410" s="25" t="str">
        <f>IF(AND(A410="",B410="",E410=""),"",IF(OR(A410="",B410="",C410="",D410="",E410="",J410="",AND(A410="client",COUNTIF(الزبائن!$A$6:$A$505,B410)=0),AND(A410="proposed_name",COUNTIF('أسماء مقترحة'!$A$6:$A$505,B410)=0),AND(D410="mobile",J410&lt;&gt;"invalid",NOT(OR(AND(LEN(E410&amp;"")=10,LEFT(E410&amp;"",2)="09"),AND(LEN(E410&amp;"")=9,LEFT(E410&amp;"",1)="9")))),COUNTIFS($A$6:$A$505,A410,$B$6:$B$505,B410,$E$6:$E$505,E410)&gt;1),"REVIEW","READY"))</f>
        <v/>
      </c>
      <c r="N410" s="27" t="str">
        <f>IF(M410="","",IF(M410="READY","",TRIM(IF(A410="","missing entity_type; ","")&amp;IF(B410="","missing entity_key; ","")&amp;IF(C410="","missing contact_order; ","")&amp;IF(D410="","missing contact_type; ","")&amp;IF(E410="","missing number; ","")&amp;IF(J410="","missing status; ","")&amp;IF(AND(A410="client",COUNTIF(الزبائن!$A$6:$A$505,B410)=0),"client key not found; ","")&amp;IF(AND(A410="proposed_name",COUNTIF('أسماء مقترحة'!$A$6:$A$505,B410)=0),"proposed_name key not found; ","")&amp;IF(AND(D410="mobile",J410&lt;&gt;"invalid",NOT(OR(AND(LEN(E410&amp;"")=10,LEFT(E410&amp;"",2)="09"),AND(LEN(E410&amp;"")=9,LEFT(E410&amp;"",1)="9")))),"mobile must be 09XXXXXXXX or status invalid; ","")&amp;IF(COUNTIFS($A$6:$A$505,A410,$B$6:$B$505,B410,$E$6:$E$505,E410)&gt;1,"duplicate number for same entity; ",""))))</f>
        <v/>
      </c>
    </row>
    <row r="411" spans="1:14">
      <c r="A411" s="23"/>
      <c r="B411" s="24"/>
      <c r="C411" s="25"/>
      <c r="D411" s="25"/>
      <c r="E411" s="24"/>
      <c r="F411" s="24"/>
      <c r="G411" s="25"/>
      <c r="H411" s="25"/>
      <c r="I411" s="25"/>
      <c r="J411" s="25"/>
      <c r="K411" s="25"/>
      <c r="L411" s="25"/>
      <c r="M411" s="25" t="str">
        <f>IF(AND(A411="",B411="",E411=""),"",IF(OR(A411="",B411="",C411="",D411="",E411="",J411="",AND(A411="client",COUNTIF(الزبائن!$A$6:$A$505,B411)=0),AND(A411="proposed_name",COUNTIF('أسماء مقترحة'!$A$6:$A$505,B411)=0),AND(D411="mobile",J411&lt;&gt;"invalid",NOT(OR(AND(LEN(E411&amp;"")=10,LEFT(E411&amp;"",2)="09"),AND(LEN(E411&amp;"")=9,LEFT(E411&amp;"",1)="9")))),COUNTIFS($A$6:$A$505,A411,$B$6:$B$505,B411,$E$6:$E$505,E411)&gt;1),"REVIEW","READY"))</f>
        <v/>
      </c>
      <c r="N411" s="27" t="str">
        <f>IF(M411="","",IF(M411="READY","",TRIM(IF(A411="","missing entity_type; ","")&amp;IF(B411="","missing entity_key; ","")&amp;IF(C411="","missing contact_order; ","")&amp;IF(D411="","missing contact_type; ","")&amp;IF(E411="","missing number; ","")&amp;IF(J411="","missing status; ","")&amp;IF(AND(A411="client",COUNTIF(الزبائن!$A$6:$A$505,B411)=0),"client key not found; ","")&amp;IF(AND(A411="proposed_name",COUNTIF('أسماء مقترحة'!$A$6:$A$505,B411)=0),"proposed_name key not found; ","")&amp;IF(AND(D411="mobile",J411&lt;&gt;"invalid",NOT(OR(AND(LEN(E411&amp;"")=10,LEFT(E411&amp;"",2)="09"),AND(LEN(E411&amp;"")=9,LEFT(E411&amp;"",1)="9")))),"mobile must be 09XXXXXXXX or status invalid; ","")&amp;IF(COUNTIFS($A$6:$A$505,A411,$B$6:$B$505,B411,$E$6:$E$505,E411)&gt;1,"duplicate number for same entity; ",""))))</f>
        <v/>
      </c>
    </row>
    <row r="412" spans="1:14">
      <c r="A412" s="23"/>
      <c r="B412" s="24"/>
      <c r="C412" s="25"/>
      <c r="D412" s="25"/>
      <c r="E412" s="24"/>
      <c r="F412" s="24"/>
      <c r="G412" s="25"/>
      <c r="H412" s="25"/>
      <c r="I412" s="25"/>
      <c r="J412" s="25"/>
      <c r="K412" s="25"/>
      <c r="L412" s="25"/>
      <c r="M412" s="25" t="str">
        <f>IF(AND(A412="",B412="",E412=""),"",IF(OR(A412="",B412="",C412="",D412="",E412="",J412="",AND(A412="client",COUNTIF(الزبائن!$A$6:$A$505,B412)=0),AND(A412="proposed_name",COUNTIF('أسماء مقترحة'!$A$6:$A$505,B412)=0),AND(D412="mobile",J412&lt;&gt;"invalid",NOT(OR(AND(LEN(E412&amp;"")=10,LEFT(E412&amp;"",2)="09"),AND(LEN(E412&amp;"")=9,LEFT(E412&amp;"",1)="9")))),COUNTIFS($A$6:$A$505,A412,$B$6:$B$505,B412,$E$6:$E$505,E412)&gt;1),"REVIEW","READY"))</f>
        <v/>
      </c>
      <c r="N412" s="27" t="str">
        <f>IF(M412="","",IF(M412="READY","",TRIM(IF(A412="","missing entity_type; ","")&amp;IF(B412="","missing entity_key; ","")&amp;IF(C412="","missing contact_order; ","")&amp;IF(D412="","missing contact_type; ","")&amp;IF(E412="","missing number; ","")&amp;IF(J412="","missing status; ","")&amp;IF(AND(A412="client",COUNTIF(الزبائن!$A$6:$A$505,B412)=0),"client key not found; ","")&amp;IF(AND(A412="proposed_name",COUNTIF('أسماء مقترحة'!$A$6:$A$505,B412)=0),"proposed_name key not found; ","")&amp;IF(AND(D412="mobile",J412&lt;&gt;"invalid",NOT(OR(AND(LEN(E412&amp;"")=10,LEFT(E412&amp;"",2)="09"),AND(LEN(E412&amp;"")=9,LEFT(E412&amp;"",1)="9")))),"mobile must be 09XXXXXXXX or status invalid; ","")&amp;IF(COUNTIFS($A$6:$A$505,A412,$B$6:$B$505,B412,$E$6:$E$505,E412)&gt;1,"duplicate number for same entity; ",""))))</f>
        <v/>
      </c>
    </row>
    <row r="413" spans="1:14">
      <c r="A413" s="23"/>
      <c r="B413" s="24"/>
      <c r="C413" s="25"/>
      <c r="D413" s="25"/>
      <c r="E413" s="24"/>
      <c r="F413" s="24"/>
      <c r="G413" s="25"/>
      <c r="H413" s="25"/>
      <c r="I413" s="25"/>
      <c r="J413" s="25"/>
      <c r="K413" s="25"/>
      <c r="L413" s="25"/>
      <c r="M413" s="25" t="str">
        <f>IF(AND(A413="",B413="",E413=""),"",IF(OR(A413="",B413="",C413="",D413="",E413="",J413="",AND(A413="client",COUNTIF(الزبائن!$A$6:$A$505,B413)=0),AND(A413="proposed_name",COUNTIF('أسماء مقترحة'!$A$6:$A$505,B413)=0),AND(D413="mobile",J413&lt;&gt;"invalid",NOT(OR(AND(LEN(E413&amp;"")=10,LEFT(E413&amp;"",2)="09"),AND(LEN(E413&amp;"")=9,LEFT(E413&amp;"",1)="9")))),COUNTIFS($A$6:$A$505,A413,$B$6:$B$505,B413,$E$6:$E$505,E413)&gt;1),"REVIEW","READY"))</f>
        <v/>
      </c>
      <c r="N413" s="27" t="str">
        <f>IF(M413="","",IF(M413="READY","",TRIM(IF(A413="","missing entity_type; ","")&amp;IF(B413="","missing entity_key; ","")&amp;IF(C413="","missing contact_order; ","")&amp;IF(D413="","missing contact_type; ","")&amp;IF(E413="","missing number; ","")&amp;IF(J413="","missing status; ","")&amp;IF(AND(A413="client",COUNTIF(الزبائن!$A$6:$A$505,B413)=0),"client key not found; ","")&amp;IF(AND(A413="proposed_name",COUNTIF('أسماء مقترحة'!$A$6:$A$505,B413)=0),"proposed_name key not found; ","")&amp;IF(AND(D413="mobile",J413&lt;&gt;"invalid",NOT(OR(AND(LEN(E413&amp;"")=10,LEFT(E413&amp;"",2)="09"),AND(LEN(E413&amp;"")=9,LEFT(E413&amp;"",1)="9")))),"mobile must be 09XXXXXXXX or status invalid; ","")&amp;IF(COUNTIFS($A$6:$A$505,A413,$B$6:$B$505,B413,$E$6:$E$505,E413)&gt;1,"duplicate number for same entity; ",""))))</f>
        <v/>
      </c>
    </row>
    <row r="414" spans="1:14">
      <c r="A414" s="23"/>
      <c r="B414" s="24"/>
      <c r="C414" s="25"/>
      <c r="D414" s="25"/>
      <c r="E414" s="24"/>
      <c r="F414" s="24"/>
      <c r="G414" s="25"/>
      <c r="H414" s="25"/>
      <c r="I414" s="25"/>
      <c r="J414" s="25"/>
      <c r="K414" s="25"/>
      <c r="L414" s="25"/>
      <c r="M414" s="25" t="str">
        <f>IF(AND(A414="",B414="",E414=""),"",IF(OR(A414="",B414="",C414="",D414="",E414="",J414="",AND(A414="client",COUNTIF(الزبائن!$A$6:$A$505,B414)=0),AND(A414="proposed_name",COUNTIF('أسماء مقترحة'!$A$6:$A$505,B414)=0),AND(D414="mobile",J414&lt;&gt;"invalid",NOT(OR(AND(LEN(E414&amp;"")=10,LEFT(E414&amp;"",2)="09"),AND(LEN(E414&amp;"")=9,LEFT(E414&amp;"",1)="9")))),COUNTIFS($A$6:$A$505,A414,$B$6:$B$505,B414,$E$6:$E$505,E414)&gt;1),"REVIEW","READY"))</f>
        <v/>
      </c>
      <c r="N414" s="27" t="str">
        <f>IF(M414="","",IF(M414="READY","",TRIM(IF(A414="","missing entity_type; ","")&amp;IF(B414="","missing entity_key; ","")&amp;IF(C414="","missing contact_order; ","")&amp;IF(D414="","missing contact_type; ","")&amp;IF(E414="","missing number; ","")&amp;IF(J414="","missing status; ","")&amp;IF(AND(A414="client",COUNTIF(الزبائن!$A$6:$A$505,B414)=0),"client key not found; ","")&amp;IF(AND(A414="proposed_name",COUNTIF('أسماء مقترحة'!$A$6:$A$505,B414)=0),"proposed_name key not found; ","")&amp;IF(AND(D414="mobile",J414&lt;&gt;"invalid",NOT(OR(AND(LEN(E414&amp;"")=10,LEFT(E414&amp;"",2)="09"),AND(LEN(E414&amp;"")=9,LEFT(E414&amp;"",1)="9")))),"mobile must be 09XXXXXXXX or status invalid; ","")&amp;IF(COUNTIFS($A$6:$A$505,A414,$B$6:$B$505,B414,$E$6:$E$505,E414)&gt;1,"duplicate number for same entity; ",""))))</f>
        <v/>
      </c>
    </row>
    <row r="415" spans="1:14">
      <c r="A415" s="23"/>
      <c r="B415" s="24"/>
      <c r="C415" s="25"/>
      <c r="D415" s="25"/>
      <c r="E415" s="24"/>
      <c r="F415" s="24"/>
      <c r="G415" s="25"/>
      <c r="H415" s="25"/>
      <c r="I415" s="25"/>
      <c r="J415" s="25"/>
      <c r="K415" s="25"/>
      <c r="L415" s="25"/>
      <c r="M415" s="25" t="str">
        <f>IF(AND(A415="",B415="",E415=""),"",IF(OR(A415="",B415="",C415="",D415="",E415="",J415="",AND(A415="client",COUNTIF(الزبائن!$A$6:$A$505,B415)=0),AND(A415="proposed_name",COUNTIF('أسماء مقترحة'!$A$6:$A$505,B415)=0),AND(D415="mobile",J415&lt;&gt;"invalid",NOT(OR(AND(LEN(E415&amp;"")=10,LEFT(E415&amp;"",2)="09"),AND(LEN(E415&amp;"")=9,LEFT(E415&amp;"",1)="9")))),COUNTIFS($A$6:$A$505,A415,$B$6:$B$505,B415,$E$6:$E$505,E415)&gt;1),"REVIEW","READY"))</f>
        <v/>
      </c>
      <c r="N415" s="27" t="str">
        <f>IF(M415="","",IF(M415="READY","",TRIM(IF(A415="","missing entity_type; ","")&amp;IF(B415="","missing entity_key; ","")&amp;IF(C415="","missing contact_order; ","")&amp;IF(D415="","missing contact_type; ","")&amp;IF(E415="","missing number; ","")&amp;IF(J415="","missing status; ","")&amp;IF(AND(A415="client",COUNTIF(الزبائن!$A$6:$A$505,B415)=0),"client key not found; ","")&amp;IF(AND(A415="proposed_name",COUNTIF('أسماء مقترحة'!$A$6:$A$505,B415)=0),"proposed_name key not found; ","")&amp;IF(AND(D415="mobile",J415&lt;&gt;"invalid",NOT(OR(AND(LEN(E415&amp;"")=10,LEFT(E415&amp;"",2)="09"),AND(LEN(E415&amp;"")=9,LEFT(E415&amp;"",1)="9")))),"mobile must be 09XXXXXXXX or status invalid; ","")&amp;IF(COUNTIFS($A$6:$A$505,A415,$B$6:$B$505,B415,$E$6:$E$505,E415)&gt;1,"duplicate number for same entity; ",""))))</f>
        <v/>
      </c>
    </row>
    <row r="416" spans="1:14">
      <c r="A416" s="23"/>
      <c r="B416" s="24"/>
      <c r="C416" s="25"/>
      <c r="D416" s="25"/>
      <c r="E416" s="24"/>
      <c r="F416" s="24"/>
      <c r="G416" s="25"/>
      <c r="H416" s="25"/>
      <c r="I416" s="25"/>
      <c r="J416" s="25"/>
      <c r="K416" s="25"/>
      <c r="L416" s="25"/>
      <c r="M416" s="25" t="str">
        <f>IF(AND(A416="",B416="",E416=""),"",IF(OR(A416="",B416="",C416="",D416="",E416="",J416="",AND(A416="client",COUNTIF(الزبائن!$A$6:$A$505,B416)=0),AND(A416="proposed_name",COUNTIF('أسماء مقترحة'!$A$6:$A$505,B416)=0),AND(D416="mobile",J416&lt;&gt;"invalid",NOT(OR(AND(LEN(E416&amp;"")=10,LEFT(E416&amp;"",2)="09"),AND(LEN(E416&amp;"")=9,LEFT(E416&amp;"",1)="9")))),COUNTIFS($A$6:$A$505,A416,$B$6:$B$505,B416,$E$6:$E$505,E416)&gt;1),"REVIEW","READY"))</f>
        <v/>
      </c>
      <c r="N416" s="27" t="str">
        <f>IF(M416="","",IF(M416="READY","",TRIM(IF(A416="","missing entity_type; ","")&amp;IF(B416="","missing entity_key; ","")&amp;IF(C416="","missing contact_order; ","")&amp;IF(D416="","missing contact_type; ","")&amp;IF(E416="","missing number; ","")&amp;IF(J416="","missing status; ","")&amp;IF(AND(A416="client",COUNTIF(الزبائن!$A$6:$A$505,B416)=0),"client key not found; ","")&amp;IF(AND(A416="proposed_name",COUNTIF('أسماء مقترحة'!$A$6:$A$505,B416)=0),"proposed_name key not found; ","")&amp;IF(AND(D416="mobile",J416&lt;&gt;"invalid",NOT(OR(AND(LEN(E416&amp;"")=10,LEFT(E416&amp;"",2)="09"),AND(LEN(E416&amp;"")=9,LEFT(E416&amp;"",1)="9")))),"mobile must be 09XXXXXXXX or status invalid; ","")&amp;IF(COUNTIFS($A$6:$A$505,A416,$B$6:$B$505,B416,$E$6:$E$505,E416)&gt;1,"duplicate number for same entity; ",""))))</f>
        <v/>
      </c>
    </row>
    <row r="417" spans="1:14">
      <c r="A417" s="23"/>
      <c r="B417" s="24"/>
      <c r="C417" s="25"/>
      <c r="D417" s="25"/>
      <c r="E417" s="24"/>
      <c r="F417" s="24"/>
      <c r="G417" s="25"/>
      <c r="H417" s="25"/>
      <c r="I417" s="25"/>
      <c r="J417" s="25"/>
      <c r="K417" s="25"/>
      <c r="L417" s="25"/>
      <c r="M417" s="25" t="str">
        <f>IF(AND(A417="",B417="",E417=""),"",IF(OR(A417="",B417="",C417="",D417="",E417="",J417="",AND(A417="client",COUNTIF(الزبائن!$A$6:$A$505,B417)=0),AND(A417="proposed_name",COUNTIF('أسماء مقترحة'!$A$6:$A$505,B417)=0),AND(D417="mobile",J417&lt;&gt;"invalid",NOT(OR(AND(LEN(E417&amp;"")=10,LEFT(E417&amp;"",2)="09"),AND(LEN(E417&amp;"")=9,LEFT(E417&amp;"",1)="9")))),COUNTIFS($A$6:$A$505,A417,$B$6:$B$505,B417,$E$6:$E$505,E417)&gt;1),"REVIEW","READY"))</f>
        <v/>
      </c>
      <c r="N417" s="27" t="str">
        <f>IF(M417="","",IF(M417="READY","",TRIM(IF(A417="","missing entity_type; ","")&amp;IF(B417="","missing entity_key; ","")&amp;IF(C417="","missing contact_order; ","")&amp;IF(D417="","missing contact_type; ","")&amp;IF(E417="","missing number; ","")&amp;IF(J417="","missing status; ","")&amp;IF(AND(A417="client",COUNTIF(الزبائن!$A$6:$A$505,B417)=0),"client key not found; ","")&amp;IF(AND(A417="proposed_name",COUNTIF('أسماء مقترحة'!$A$6:$A$505,B417)=0),"proposed_name key not found; ","")&amp;IF(AND(D417="mobile",J417&lt;&gt;"invalid",NOT(OR(AND(LEN(E417&amp;"")=10,LEFT(E417&amp;"",2)="09"),AND(LEN(E417&amp;"")=9,LEFT(E417&amp;"",1)="9")))),"mobile must be 09XXXXXXXX or status invalid; ","")&amp;IF(COUNTIFS($A$6:$A$505,A417,$B$6:$B$505,B417,$E$6:$E$505,E417)&gt;1,"duplicate number for same entity; ",""))))</f>
        <v/>
      </c>
    </row>
    <row r="418" spans="1:14">
      <c r="A418" s="23"/>
      <c r="B418" s="24"/>
      <c r="C418" s="25"/>
      <c r="D418" s="25"/>
      <c r="E418" s="24"/>
      <c r="F418" s="24"/>
      <c r="G418" s="25"/>
      <c r="H418" s="25"/>
      <c r="I418" s="25"/>
      <c r="J418" s="25"/>
      <c r="K418" s="25"/>
      <c r="L418" s="25"/>
      <c r="M418" s="25" t="str">
        <f>IF(AND(A418="",B418="",E418=""),"",IF(OR(A418="",B418="",C418="",D418="",E418="",J418="",AND(A418="client",COUNTIF(الزبائن!$A$6:$A$505,B418)=0),AND(A418="proposed_name",COUNTIF('أسماء مقترحة'!$A$6:$A$505,B418)=0),AND(D418="mobile",J418&lt;&gt;"invalid",NOT(OR(AND(LEN(E418&amp;"")=10,LEFT(E418&amp;"",2)="09"),AND(LEN(E418&amp;"")=9,LEFT(E418&amp;"",1)="9")))),COUNTIFS($A$6:$A$505,A418,$B$6:$B$505,B418,$E$6:$E$505,E418)&gt;1),"REVIEW","READY"))</f>
        <v/>
      </c>
      <c r="N418" s="27" t="str">
        <f>IF(M418="","",IF(M418="READY","",TRIM(IF(A418="","missing entity_type; ","")&amp;IF(B418="","missing entity_key; ","")&amp;IF(C418="","missing contact_order; ","")&amp;IF(D418="","missing contact_type; ","")&amp;IF(E418="","missing number; ","")&amp;IF(J418="","missing status; ","")&amp;IF(AND(A418="client",COUNTIF(الزبائن!$A$6:$A$505,B418)=0),"client key not found; ","")&amp;IF(AND(A418="proposed_name",COUNTIF('أسماء مقترحة'!$A$6:$A$505,B418)=0),"proposed_name key not found; ","")&amp;IF(AND(D418="mobile",J418&lt;&gt;"invalid",NOT(OR(AND(LEN(E418&amp;"")=10,LEFT(E418&amp;"",2)="09"),AND(LEN(E418&amp;"")=9,LEFT(E418&amp;"",1)="9")))),"mobile must be 09XXXXXXXX or status invalid; ","")&amp;IF(COUNTIFS($A$6:$A$505,A418,$B$6:$B$505,B418,$E$6:$E$505,E418)&gt;1,"duplicate number for same entity; ",""))))</f>
        <v/>
      </c>
    </row>
    <row r="419" spans="1:14">
      <c r="A419" s="23"/>
      <c r="B419" s="24"/>
      <c r="C419" s="25"/>
      <c r="D419" s="25"/>
      <c r="E419" s="24"/>
      <c r="F419" s="24"/>
      <c r="G419" s="25"/>
      <c r="H419" s="25"/>
      <c r="I419" s="25"/>
      <c r="J419" s="25"/>
      <c r="K419" s="25"/>
      <c r="L419" s="25"/>
      <c r="M419" s="25" t="str">
        <f>IF(AND(A419="",B419="",E419=""),"",IF(OR(A419="",B419="",C419="",D419="",E419="",J419="",AND(A419="client",COUNTIF(الزبائن!$A$6:$A$505,B419)=0),AND(A419="proposed_name",COUNTIF('أسماء مقترحة'!$A$6:$A$505,B419)=0),AND(D419="mobile",J419&lt;&gt;"invalid",NOT(OR(AND(LEN(E419&amp;"")=10,LEFT(E419&amp;"",2)="09"),AND(LEN(E419&amp;"")=9,LEFT(E419&amp;"",1)="9")))),COUNTIFS($A$6:$A$505,A419,$B$6:$B$505,B419,$E$6:$E$505,E419)&gt;1),"REVIEW","READY"))</f>
        <v/>
      </c>
      <c r="N419" s="27" t="str">
        <f>IF(M419="","",IF(M419="READY","",TRIM(IF(A419="","missing entity_type; ","")&amp;IF(B419="","missing entity_key; ","")&amp;IF(C419="","missing contact_order; ","")&amp;IF(D419="","missing contact_type; ","")&amp;IF(E419="","missing number; ","")&amp;IF(J419="","missing status; ","")&amp;IF(AND(A419="client",COUNTIF(الزبائن!$A$6:$A$505,B419)=0),"client key not found; ","")&amp;IF(AND(A419="proposed_name",COUNTIF('أسماء مقترحة'!$A$6:$A$505,B419)=0),"proposed_name key not found; ","")&amp;IF(AND(D419="mobile",J419&lt;&gt;"invalid",NOT(OR(AND(LEN(E419&amp;"")=10,LEFT(E419&amp;"",2)="09"),AND(LEN(E419&amp;"")=9,LEFT(E419&amp;"",1)="9")))),"mobile must be 09XXXXXXXX or status invalid; ","")&amp;IF(COUNTIFS($A$6:$A$505,A419,$B$6:$B$505,B419,$E$6:$E$505,E419)&gt;1,"duplicate number for same entity; ",""))))</f>
        <v/>
      </c>
    </row>
    <row r="420" spans="1:14">
      <c r="A420" s="23"/>
      <c r="B420" s="24"/>
      <c r="C420" s="25"/>
      <c r="D420" s="25"/>
      <c r="E420" s="24"/>
      <c r="F420" s="24"/>
      <c r="G420" s="25"/>
      <c r="H420" s="25"/>
      <c r="I420" s="25"/>
      <c r="J420" s="25"/>
      <c r="K420" s="25"/>
      <c r="L420" s="25"/>
      <c r="M420" s="25" t="str">
        <f>IF(AND(A420="",B420="",E420=""),"",IF(OR(A420="",B420="",C420="",D420="",E420="",J420="",AND(A420="client",COUNTIF(الزبائن!$A$6:$A$505,B420)=0),AND(A420="proposed_name",COUNTIF('أسماء مقترحة'!$A$6:$A$505,B420)=0),AND(D420="mobile",J420&lt;&gt;"invalid",NOT(OR(AND(LEN(E420&amp;"")=10,LEFT(E420&amp;"",2)="09"),AND(LEN(E420&amp;"")=9,LEFT(E420&amp;"",1)="9")))),COUNTIFS($A$6:$A$505,A420,$B$6:$B$505,B420,$E$6:$E$505,E420)&gt;1),"REVIEW","READY"))</f>
        <v/>
      </c>
      <c r="N420" s="27" t="str">
        <f>IF(M420="","",IF(M420="READY","",TRIM(IF(A420="","missing entity_type; ","")&amp;IF(B420="","missing entity_key; ","")&amp;IF(C420="","missing contact_order; ","")&amp;IF(D420="","missing contact_type; ","")&amp;IF(E420="","missing number; ","")&amp;IF(J420="","missing status; ","")&amp;IF(AND(A420="client",COUNTIF(الزبائن!$A$6:$A$505,B420)=0),"client key not found; ","")&amp;IF(AND(A420="proposed_name",COUNTIF('أسماء مقترحة'!$A$6:$A$505,B420)=0),"proposed_name key not found; ","")&amp;IF(AND(D420="mobile",J420&lt;&gt;"invalid",NOT(OR(AND(LEN(E420&amp;"")=10,LEFT(E420&amp;"",2)="09"),AND(LEN(E420&amp;"")=9,LEFT(E420&amp;"",1)="9")))),"mobile must be 09XXXXXXXX or status invalid; ","")&amp;IF(COUNTIFS($A$6:$A$505,A420,$B$6:$B$505,B420,$E$6:$E$505,E420)&gt;1,"duplicate number for same entity; ",""))))</f>
        <v/>
      </c>
    </row>
    <row r="421" spans="1:14">
      <c r="A421" s="23"/>
      <c r="B421" s="24"/>
      <c r="C421" s="25"/>
      <c r="D421" s="25"/>
      <c r="E421" s="24"/>
      <c r="F421" s="24"/>
      <c r="G421" s="25"/>
      <c r="H421" s="25"/>
      <c r="I421" s="25"/>
      <c r="J421" s="25"/>
      <c r="K421" s="25"/>
      <c r="L421" s="25"/>
      <c r="M421" s="25" t="str">
        <f>IF(AND(A421="",B421="",E421=""),"",IF(OR(A421="",B421="",C421="",D421="",E421="",J421="",AND(A421="client",COUNTIF(الزبائن!$A$6:$A$505,B421)=0),AND(A421="proposed_name",COUNTIF('أسماء مقترحة'!$A$6:$A$505,B421)=0),AND(D421="mobile",J421&lt;&gt;"invalid",NOT(OR(AND(LEN(E421&amp;"")=10,LEFT(E421&amp;"",2)="09"),AND(LEN(E421&amp;"")=9,LEFT(E421&amp;"",1)="9")))),COUNTIFS($A$6:$A$505,A421,$B$6:$B$505,B421,$E$6:$E$505,E421)&gt;1),"REVIEW","READY"))</f>
        <v/>
      </c>
      <c r="N421" s="27" t="str">
        <f>IF(M421="","",IF(M421="READY","",TRIM(IF(A421="","missing entity_type; ","")&amp;IF(B421="","missing entity_key; ","")&amp;IF(C421="","missing contact_order; ","")&amp;IF(D421="","missing contact_type; ","")&amp;IF(E421="","missing number; ","")&amp;IF(J421="","missing status; ","")&amp;IF(AND(A421="client",COUNTIF(الزبائن!$A$6:$A$505,B421)=0),"client key not found; ","")&amp;IF(AND(A421="proposed_name",COUNTIF('أسماء مقترحة'!$A$6:$A$505,B421)=0),"proposed_name key not found; ","")&amp;IF(AND(D421="mobile",J421&lt;&gt;"invalid",NOT(OR(AND(LEN(E421&amp;"")=10,LEFT(E421&amp;"",2)="09"),AND(LEN(E421&amp;"")=9,LEFT(E421&amp;"",1)="9")))),"mobile must be 09XXXXXXXX or status invalid; ","")&amp;IF(COUNTIFS($A$6:$A$505,A421,$B$6:$B$505,B421,$E$6:$E$505,E421)&gt;1,"duplicate number for same entity; ",""))))</f>
        <v/>
      </c>
    </row>
    <row r="422" spans="1:14">
      <c r="A422" s="23"/>
      <c r="B422" s="24"/>
      <c r="C422" s="25"/>
      <c r="D422" s="25"/>
      <c r="E422" s="24"/>
      <c r="F422" s="24"/>
      <c r="G422" s="25"/>
      <c r="H422" s="25"/>
      <c r="I422" s="25"/>
      <c r="J422" s="25"/>
      <c r="K422" s="25"/>
      <c r="L422" s="25"/>
      <c r="M422" s="25" t="str">
        <f>IF(AND(A422="",B422="",E422=""),"",IF(OR(A422="",B422="",C422="",D422="",E422="",J422="",AND(A422="client",COUNTIF(الزبائن!$A$6:$A$505,B422)=0),AND(A422="proposed_name",COUNTIF('أسماء مقترحة'!$A$6:$A$505,B422)=0),AND(D422="mobile",J422&lt;&gt;"invalid",NOT(OR(AND(LEN(E422&amp;"")=10,LEFT(E422&amp;"",2)="09"),AND(LEN(E422&amp;"")=9,LEFT(E422&amp;"",1)="9")))),COUNTIFS($A$6:$A$505,A422,$B$6:$B$505,B422,$E$6:$E$505,E422)&gt;1),"REVIEW","READY"))</f>
        <v/>
      </c>
      <c r="N422" s="27" t="str">
        <f>IF(M422="","",IF(M422="READY","",TRIM(IF(A422="","missing entity_type; ","")&amp;IF(B422="","missing entity_key; ","")&amp;IF(C422="","missing contact_order; ","")&amp;IF(D422="","missing contact_type; ","")&amp;IF(E422="","missing number; ","")&amp;IF(J422="","missing status; ","")&amp;IF(AND(A422="client",COUNTIF(الزبائن!$A$6:$A$505,B422)=0),"client key not found; ","")&amp;IF(AND(A422="proposed_name",COUNTIF('أسماء مقترحة'!$A$6:$A$505,B422)=0),"proposed_name key not found; ","")&amp;IF(AND(D422="mobile",J422&lt;&gt;"invalid",NOT(OR(AND(LEN(E422&amp;"")=10,LEFT(E422&amp;"",2)="09"),AND(LEN(E422&amp;"")=9,LEFT(E422&amp;"",1)="9")))),"mobile must be 09XXXXXXXX or status invalid; ","")&amp;IF(COUNTIFS($A$6:$A$505,A422,$B$6:$B$505,B422,$E$6:$E$505,E422)&gt;1,"duplicate number for same entity; ",""))))</f>
        <v/>
      </c>
    </row>
    <row r="423" spans="1:14">
      <c r="A423" s="23"/>
      <c r="B423" s="24"/>
      <c r="C423" s="25"/>
      <c r="D423" s="25"/>
      <c r="E423" s="24"/>
      <c r="F423" s="24"/>
      <c r="G423" s="25"/>
      <c r="H423" s="25"/>
      <c r="I423" s="25"/>
      <c r="J423" s="25"/>
      <c r="K423" s="25"/>
      <c r="L423" s="25"/>
      <c r="M423" s="25" t="str">
        <f>IF(AND(A423="",B423="",E423=""),"",IF(OR(A423="",B423="",C423="",D423="",E423="",J423="",AND(A423="client",COUNTIF(الزبائن!$A$6:$A$505,B423)=0),AND(A423="proposed_name",COUNTIF('أسماء مقترحة'!$A$6:$A$505,B423)=0),AND(D423="mobile",J423&lt;&gt;"invalid",NOT(OR(AND(LEN(E423&amp;"")=10,LEFT(E423&amp;"",2)="09"),AND(LEN(E423&amp;"")=9,LEFT(E423&amp;"",1)="9")))),COUNTIFS($A$6:$A$505,A423,$B$6:$B$505,B423,$E$6:$E$505,E423)&gt;1),"REVIEW","READY"))</f>
        <v/>
      </c>
      <c r="N423" s="27" t="str">
        <f>IF(M423="","",IF(M423="READY","",TRIM(IF(A423="","missing entity_type; ","")&amp;IF(B423="","missing entity_key; ","")&amp;IF(C423="","missing contact_order; ","")&amp;IF(D423="","missing contact_type; ","")&amp;IF(E423="","missing number; ","")&amp;IF(J423="","missing status; ","")&amp;IF(AND(A423="client",COUNTIF(الزبائن!$A$6:$A$505,B423)=0),"client key not found; ","")&amp;IF(AND(A423="proposed_name",COUNTIF('أسماء مقترحة'!$A$6:$A$505,B423)=0),"proposed_name key not found; ","")&amp;IF(AND(D423="mobile",J423&lt;&gt;"invalid",NOT(OR(AND(LEN(E423&amp;"")=10,LEFT(E423&amp;"",2)="09"),AND(LEN(E423&amp;"")=9,LEFT(E423&amp;"",1)="9")))),"mobile must be 09XXXXXXXX or status invalid; ","")&amp;IF(COUNTIFS($A$6:$A$505,A423,$B$6:$B$505,B423,$E$6:$E$505,E423)&gt;1,"duplicate number for same entity; ",""))))</f>
        <v/>
      </c>
    </row>
    <row r="424" spans="1:14">
      <c r="A424" s="23"/>
      <c r="B424" s="24"/>
      <c r="C424" s="25"/>
      <c r="D424" s="25"/>
      <c r="E424" s="24"/>
      <c r="F424" s="24"/>
      <c r="G424" s="25"/>
      <c r="H424" s="25"/>
      <c r="I424" s="25"/>
      <c r="J424" s="25"/>
      <c r="K424" s="25"/>
      <c r="L424" s="25"/>
      <c r="M424" s="25" t="str">
        <f>IF(AND(A424="",B424="",E424=""),"",IF(OR(A424="",B424="",C424="",D424="",E424="",J424="",AND(A424="client",COUNTIF(الزبائن!$A$6:$A$505,B424)=0),AND(A424="proposed_name",COUNTIF('أسماء مقترحة'!$A$6:$A$505,B424)=0),AND(D424="mobile",J424&lt;&gt;"invalid",NOT(OR(AND(LEN(E424&amp;"")=10,LEFT(E424&amp;"",2)="09"),AND(LEN(E424&amp;"")=9,LEFT(E424&amp;"",1)="9")))),COUNTIFS($A$6:$A$505,A424,$B$6:$B$505,B424,$E$6:$E$505,E424)&gt;1),"REVIEW","READY"))</f>
        <v/>
      </c>
      <c r="N424" s="27" t="str">
        <f>IF(M424="","",IF(M424="READY","",TRIM(IF(A424="","missing entity_type; ","")&amp;IF(B424="","missing entity_key; ","")&amp;IF(C424="","missing contact_order; ","")&amp;IF(D424="","missing contact_type; ","")&amp;IF(E424="","missing number; ","")&amp;IF(J424="","missing status; ","")&amp;IF(AND(A424="client",COUNTIF(الزبائن!$A$6:$A$505,B424)=0),"client key not found; ","")&amp;IF(AND(A424="proposed_name",COUNTIF('أسماء مقترحة'!$A$6:$A$505,B424)=0),"proposed_name key not found; ","")&amp;IF(AND(D424="mobile",J424&lt;&gt;"invalid",NOT(OR(AND(LEN(E424&amp;"")=10,LEFT(E424&amp;"",2)="09"),AND(LEN(E424&amp;"")=9,LEFT(E424&amp;"",1)="9")))),"mobile must be 09XXXXXXXX or status invalid; ","")&amp;IF(COUNTIFS($A$6:$A$505,A424,$B$6:$B$505,B424,$E$6:$E$505,E424)&gt;1,"duplicate number for same entity; ",""))))</f>
        <v/>
      </c>
    </row>
    <row r="425" spans="1:14">
      <c r="A425" s="23"/>
      <c r="B425" s="24"/>
      <c r="C425" s="25"/>
      <c r="D425" s="25"/>
      <c r="E425" s="24"/>
      <c r="F425" s="24"/>
      <c r="G425" s="25"/>
      <c r="H425" s="25"/>
      <c r="I425" s="25"/>
      <c r="J425" s="25"/>
      <c r="K425" s="25"/>
      <c r="L425" s="25"/>
      <c r="M425" s="25" t="str">
        <f>IF(AND(A425="",B425="",E425=""),"",IF(OR(A425="",B425="",C425="",D425="",E425="",J425="",AND(A425="client",COUNTIF(الزبائن!$A$6:$A$505,B425)=0),AND(A425="proposed_name",COUNTIF('أسماء مقترحة'!$A$6:$A$505,B425)=0),AND(D425="mobile",J425&lt;&gt;"invalid",NOT(OR(AND(LEN(E425&amp;"")=10,LEFT(E425&amp;"",2)="09"),AND(LEN(E425&amp;"")=9,LEFT(E425&amp;"",1)="9")))),COUNTIFS($A$6:$A$505,A425,$B$6:$B$505,B425,$E$6:$E$505,E425)&gt;1),"REVIEW","READY"))</f>
        <v/>
      </c>
      <c r="N425" s="27" t="str">
        <f>IF(M425="","",IF(M425="READY","",TRIM(IF(A425="","missing entity_type; ","")&amp;IF(B425="","missing entity_key; ","")&amp;IF(C425="","missing contact_order; ","")&amp;IF(D425="","missing contact_type; ","")&amp;IF(E425="","missing number; ","")&amp;IF(J425="","missing status; ","")&amp;IF(AND(A425="client",COUNTIF(الزبائن!$A$6:$A$505,B425)=0),"client key not found; ","")&amp;IF(AND(A425="proposed_name",COUNTIF('أسماء مقترحة'!$A$6:$A$505,B425)=0),"proposed_name key not found; ","")&amp;IF(AND(D425="mobile",J425&lt;&gt;"invalid",NOT(OR(AND(LEN(E425&amp;"")=10,LEFT(E425&amp;"",2)="09"),AND(LEN(E425&amp;"")=9,LEFT(E425&amp;"",1)="9")))),"mobile must be 09XXXXXXXX or status invalid; ","")&amp;IF(COUNTIFS($A$6:$A$505,A425,$B$6:$B$505,B425,$E$6:$E$505,E425)&gt;1,"duplicate number for same entity; ",""))))</f>
        <v/>
      </c>
    </row>
    <row r="426" spans="1:14">
      <c r="A426" s="23"/>
      <c r="B426" s="24"/>
      <c r="C426" s="25"/>
      <c r="D426" s="25"/>
      <c r="E426" s="24"/>
      <c r="F426" s="24"/>
      <c r="G426" s="25"/>
      <c r="H426" s="25"/>
      <c r="I426" s="25"/>
      <c r="J426" s="25"/>
      <c r="K426" s="25"/>
      <c r="L426" s="25"/>
      <c r="M426" s="25" t="str">
        <f>IF(AND(A426="",B426="",E426=""),"",IF(OR(A426="",B426="",C426="",D426="",E426="",J426="",AND(A426="client",COUNTIF(الزبائن!$A$6:$A$505,B426)=0),AND(A426="proposed_name",COUNTIF('أسماء مقترحة'!$A$6:$A$505,B426)=0),AND(D426="mobile",J426&lt;&gt;"invalid",NOT(OR(AND(LEN(E426&amp;"")=10,LEFT(E426&amp;"",2)="09"),AND(LEN(E426&amp;"")=9,LEFT(E426&amp;"",1)="9")))),COUNTIFS($A$6:$A$505,A426,$B$6:$B$505,B426,$E$6:$E$505,E426)&gt;1),"REVIEW","READY"))</f>
        <v/>
      </c>
      <c r="N426" s="27" t="str">
        <f>IF(M426="","",IF(M426="READY","",TRIM(IF(A426="","missing entity_type; ","")&amp;IF(B426="","missing entity_key; ","")&amp;IF(C426="","missing contact_order; ","")&amp;IF(D426="","missing contact_type; ","")&amp;IF(E426="","missing number; ","")&amp;IF(J426="","missing status; ","")&amp;IF(AND(A426="client",COUNTIF(الزبائن!$A$6:$A$505,B426)=0),"client key not found; ","")&amp;IF(AND(A426="proposed_name",COUNTIF('أسماء مقترحة'!$A$6:$A$505,B426)=0),"proposed_name key not found; ","")&amp;IF(AND(D426="mobile",J426&lt;&gt;"invalid",NOT(OR(AND(LEN(E426&amp;"")=10,LEFT(E426&amp;"",2)="09"),AND(LEN(E426&amp;"")=9,LEFT(E426&amp;"",1)="9")))),"mobile must be 09XXXXXXXX or status invalid; ","")&amp;IF(COUNTIFS($A$6:$A$505,A426,$B$6:$B$505,B426,$E$6:$E$505,E426)&gt;1,"duplicate number for same entity; ",""))))</f>
        <v/>
      </c>
    </row>
    <row r="427" spans="1:14">
      <c r="A427" s="23"/>
      <c r="B427" s="24"/>
      <c r="C427" s="25"/>
      <c r="D427" s="25"/>
      <c r="E427" s="24"/>
      <c r="F427" s="24"/>
      <c r="G427" s="25"/>
      <c r="H427" s="25"/>
      <c r="I427" s="25"/>
      <c r="J427" s="25"/>
      <c r="K427" s="25"/>
      <c r="L427" s="25"/>
      <c r="M427" s="25" t="str">
        <f>IF(AND(A427="",B427="",E427=""),"",IF(OR(A427="",B427="",C427="",D427="",E427="",J427="",AND(A427="client",COUNTIF(الزبائن!$A$6:$A$505,B427)=0),AND(A427="proposed_name",COUNTIF('أسماء مقترحة'!$A$6:$A$505,B427)=0),AND(D427="mobile",J427&lt;&gt;"invalid",NOT(OR(AND(LEN(E427&amp;"")=10,LEFT(E427&amp;"",2)="09"),AND(LEN(E427&amp;"")=9,LEFT(E427&amp;"",1)="9")))),COUNTIFS($A$6:$A$505,A427,$B$6:$B$505,B427,$E$6:$E$505,E427)&gt;1),"REVIEW","READY"))</f>
        <v/>
      </c>
      <c r="N427" s="27" t="str">
        <f>IF(M427="","",IF(M427="READY","",TRIM(IF(A427="","missing entity_type; ","")&amp;IF(B427="","missing entity_key; ","")&amp;IF(C427="","missing contact_order; ","")&amp;IF(D427="","missing contact_type; ","")&amp;IF(E427="","missing number; ","")&amp;IF(J427="","missing status; ","")&amp;IF(AND(A427="client",COUNTIF(الزبائن!$A$6:$A$505,B427)=0),"client key not found; ","")&amp;IF(AND(A427="proposed_name",COUNTIF('أسماء مقترحة'!$A$6:$A$505,B427)=0),"proposed_name key not found; ","")&amp;IF(AND(D427="mobile",J427&lt;&gt;"invalid",NOT(OR(AND(LEN(E427&amp;"")=10,LEFT(E427&amp;"",2)="09"),AND(LEN(E427&amp;"")=9,LEFT(E427&amp;"",1)="9")))),"mobile must be 09XXXXXXXX or status invalid; ","")&amp;IF(COUNTIFS($A$6:$A$505,A427,$B$6:$B$505,B427,$E$6:$E$505,E427)&gt;1,"duplicate number for same entity; ",""))))</f>
        <v/>
      </c>
    </row>
    <row r="428" spans="1:14">
      <c r="A428" s="23"/>
      <c r="B428" s="24"/>
      <c r="C428" s="25"/>
      <c r="D428" s="25"/>
      <c r="E428" s="24"/>
      <c r="F428" s="24"/>
      <c r="G428" s="25"/>
      <c r="H428" s="25"/>
      <c r="I428" s="25"/>
      <c r="J428" s="25"/>
      <c r="K428" s="25"/>
      <c r="L428" s="25"/>
      <c r="M428" s="25" t="str">
        <f>IF(AND(A428="",B428="",E428=""),"",IF(OR(A428="",B428="",C428="",D428="",E428="",J428="",AND(A428="client",COUNTIF(الزبائن!$A$6:$A$505,B428)=0),AND(A428="proposed_name",COUNTIF('أسماء مقترحة'!$A$6:$A$505,B428)=0),AND(D428="mobile",J428&lt;&gt;"invalid",NOT(OR(AND(LEN(E428&amp;"")=10,LEFT(E428&amp;"",2)="09"),AND(LEN(E428&amp;"")=9,LEFT(E428&amp;"",1)="9")))),COUNTIFS($A$6:$A$505,A428,$B$6:$B$505,B428,$E$6:$E$505,E428)&gt;1),"REVIEW","READY"))</f>
        <v/>
      </c>
      <c r="N428" s="27" t="str">
        <f>IF(M428="","",IF(M428="READY","",TRIM(IF(A428="","missing entity_type; ","")&amp;IF(B428="","missing entity_key; ","")&amp;IF(C428="","missing contact_order; ","")&amp;IF(D428="","missing contact_type; ","")&amp;IF(E428="","missing number; ","")&amp;IF(J428="","missing status; ","")&amp;IF(AND(A428="client",COUNTIF(الزبائن!$A$6:$A$505,B428)=0),"client key not found; ","")&amp;IF(AND(A428="proposed_name",COUNTIF('أسماء مقترحة'!$A$6:$A$505,B428)=0),"proposed_name key not found; ","")&amp;IF(AND(D428="mobile",J428&lt;&gt;"invalid",NOT(OR(AND(LEN(E428&amp;"")=10,LEFT(E428&amp;"",2)="09"),AND(LEN(E428&amp;"")=9,LEFT(E428&amp;"",1)="9")))),"mobile must be 09XXXXXXXX or status invalid; ","")&amp;IF(COUNTIFS($A$6:$A$505,A428,$B$6:$B$505,B428,$E$6:$E$505,E428)&gt;1,"duplicate number for same entity; ",""))))</f>
        <v/>
      </c>
    </row>
    <row r="429" spans="1:14">
      <c r="A429" s="23"/>
      <c r="B429" s="24"/>
      <c r="C429" s="25"/>
      <c r="D429" s="25"/>
      <c r="E429" s="24"/>
      <c r="F429" s="24"/>
      <c r="G429" s="25"/>
      <c r="H429" s="25"/>
      <c r="I429" s="25"/>
      <c r="J429" s="25"/>
      <c r="K429" s="25"/>
      <c r="L429" s="25"/>
      <c r="M429" s="25" t="str">
        <f>IF(AND(A429="",B429="",E429=""),"",IF(OR(A429="",B429="",C429="",D429="",E429="",J429="",AND(A429="client",COUNTIF(الزبائن!$A$6:$A$505,B429)=0),AND(A429="proposed_name",COUNTIF('أسماء مقترحة'!$A$6:$A$505,B429)=0),AND(D429="mobile",J429&lt;&gt;"invalid",NOT(OR(AND(LEN(E429&amp;"")=10,LEFT(E429&amp;"",2)="09"),AND(LEN(E429&amp;"")=9,LEFT(E429&amp;"",1)="9")))),COUNTIFS($A$6:$A$505,A429,$B$6:$B$505,B429,$E$6:$E$505,E429)&gt;1),"REVIEW","READY"))</f>
        <v/>
      </c>
      <c r="N429" s="27" t="str">
        <f>IF(M429="","",IF(M429="READY","",TRIM(IF(A429="","missing entity_type; ","")&amp;IF(B429="","missing entity_key; ","")&amp;IF(C429="","missing contact_order; ","")&amp;IF(D429="","missing contact_type; ","")&amp;IF(E429="","missing number; ","")&amp;IF(J429="","missing status; ","")&amp;IF(AND(A429="client",COUNTIF(الزبائن!$A$6:$A$505,B429)=0),"client key not found; ","")&amp;IF(AND(A429="proposed_name",COUNTIF('أسماء مقترحة'!$A$6:$A$505,B429)=0),"proposed_name key not found; ","")&amp;IF(AND(D429="mobile",J429&lt;&gt;"invalid",NOT(OR(AND(LEN(E429&amp;"")=10,LEFT(E429&amp;"",2)="09"),AND(LEN(E429&amp;"")=9,LEFT(E429&amp;"",1)="9")))),"mobile must be 09XXXXXXXX or status invalid; ","")&amp;IF(COUNTIFS($A$6:$A$505,A429,$B$6:$B$505,B429,$E$6:$E$505,E429)&gt;1,"duplicate number for same entity; ",""))))</f>
        <v/>
      </c>
    </row>
    <row r="430" spans="1:14">
      <c r="A430" s="23"/>
      <c r="B430" s="24"/>
      <c r="C430" s="25"/>
      <c r="D430" s="25"/>
      <c r="E430" s="24"/>
      <c r="F430" s="24"/>
      <c r="G430" s="25"/>
      <c r="H430" s="25"/>
      <c r="I430" s="25"/>
      <c r="J430" s="25"/>
      <c r="K430" s="25"/>
      <c r="L430" s="25"/>
      <c r="M430" s="25" t="str">
        <f>IF(AND(A430="",B430="",E430=""),"",IF(OR(A430="",B430="",C430="",D430="",E430="",J430="",AND(A430="client",COUNTIF(الزبائن!$A$6:$A$505,B430)=0),AND(A430="proposed_name",COUNTIF('أسماء مقترحة'!$A$6:$A$505,B430)=0),AND(D430="mobile",J430&lt;&gt;"invalid",NOT(OR(AND(LEN(E430&amp;"")=10,LEFT(E430&amp;"",2)="09"),AND(LEN(E430&amp;"")=9,LEFT(E430&amp;"",1)="9")))),COUNTIFS($A$6:$A$505,A430,$B$6:$B$505,B430,$E$6:$E$505,E430)&gt;1),"REVIEW","READY"))</f>
        <v/>
      </c>
      <c r="N430" s="27" t="str">
        <f>IF(M430="","",IF(M430="READY","",TRIM(IF(A430="","missing entity_type; ","")&amp;IF(B430="","missing entity_key; ","")&amp;IF(C430="","missing contact_order; ","")&amp;IF(D430="","missing contact_type; ","")&amp;IF(E430="","missing number; ","")&amp;IF(J430="","missing status; ","")&amp;IF(AND(A430="client",COUNTIF(الزبائن!$A$6:$A$505,B430)=0),"client key not found; ","")&amp;IF(AND(A430="proposed_name",COUNTIF('أسماء مقترحة'!$A$6:$A$505,B430)=0),"proposed_name key not found; ","")&amp;IF(AND(D430="mobile",J430&lt;&gt;"invalid",NOT(OR(AND(LEN(E430&amp;"")=10,LEFT(E430&amp;"",2)="09"),AND(LEN(E430&amp;"")=9,LEFT(E430&amp;"",1)="9")))),"mobile must be 09XXXXXXXX or status invalid; ","")&amp;IF(COUNTIFS($A$6:$A$505,A430,$B$6:$B$505,B430,$E$6:$E$505,E430)&gt;1,"duplicate number for same entity; ",""))))</f>
        <v/>
      </c>
    </row>
    <row r="431" spans="1:14">
      <c r="A431" s="23"/>
      <c r="B431" s="24"/>
      <c r="C431" s="25"/>
      <c r="D431" s="25"/>
      <c r="E431" s="24"/>
      <c r="F431" s="24"/>
      <c r="G431" s="25"/>
      <c r="H431" s="25"/>
      <c r="I431" s="25"/>
      <c r="J431" s="25"/>
      <c r="K431" s="25"/>
      <c r="L431" s="25"/>
      <c r="M431" s="25" t="str">
        <f>IF(AND(A431="",B431="",E431=""),"",IF(OR(A431="",B431="",C431="",D431="",E431="",J431="",AND(A431="client",COUNTIF(الزبائن!$A$6:$A$505,B431)=0),AND(A431="proposed_name",COUNTIF('أسماء مقترحة'!$A$6:$A$505,B431)=0),AND(D431="mobile",J431&lt;&gt;"invalid",NOT(OR(AND(LEN(E431&amp;"")=10,LEFT(E431&amp;"",2)="09"),AND(LEN(E431&amp;"")=9,LEFT(E431&amp;"",1)="9")))),COUNTIFS($A$6:$A$505,A431,$B$6:$B$505,B431,$E$6:$E$505,E431)&gt;1),"REVIEW","READY"))</f>
        <v/>
      </c>
      <c r="N431" s="27" t="str">
        <f>IF(M431="","",IF(M431="READY","",TRIM(IF(A431="","missing entity_type; ","")&amp;IF(B431="","missing entity_key; ","")&amp;IF(C431="","missing contact_order; ","")&amp;IF(D431="","missing contact_type; ","")&amp;IF(E431="","missing number; ","")&amp;IF(J431="","missing status; ","")&amp;IF(AND(A431="client",COUNTIF(الزبائن!$A$6:$A$505,B431)=0),"client key not found; ","")&amp;IF(AND(A431="proposed_name",COUNTIF('أسماء مقترحة'!$A$6:$A$505,B431)=0),"proposed_name key not found; ","")&amp;IF(AND(D431="mobile",J431&lt;&gt;"invalid",NOT(OR(AND(LEN(E431&amp;"")=10,LEFT(E431&amp;"",2)="09"),AND(LEN(E431&amp;"")=9,LEFT(E431&amp;"",1)="9")))),"mobile must be 09XXXXXXXX or status invalid; ","")&amp;IF(COUNTIFS($A$6:$A$505,A431,$B$6:$B$505,B431,$E$6:$E$505,E431)&gt;1,"duplicate number for same entity; ",""))))</f>
        <v/>
      </c>
    </row>
    <row r="432" spans="1:14">
      <c r="A432" s="23"/>
      <c r="B432" s="24"/>
      <c r="C432" s="25"/>
      <c r="D432" s="25"/>
      <c r="E432" s="24"/>
      <c r="F432" s="24"/>
      <c r="G432" s="25"/>
      <c r="H432" s="25"/>
      <c r="I432" s="25"/>
      <c r="J432" s="25"/>
      <c r="K432" s="25"/>
      <c r="L432" s="25"/>
      <c r="M432" s="25" t="str">
        <f>IF(AND(A432="",B432="",E432=""),"",IF(OR(A432="",B432="",C432="",D432="",E432="",J432="",AND(A432="client",COUNTIF(الزبائن!$A$6:$A$505,B432)=0),AND(A432="proposed_name",COUNTIF('أسماء مقترحة'!$A$6:$A$505,B432)=0),AND(D432="mobile",J432&lt;&gt;"invalid",NOT(OR(AND(LEN(E432&amp;"")=10,LEFT(E432&amp;"",2)="09"),AND(LEN(E432&amp;"")=9,LEFT(E432&amp;"",1)="9")))),COUNTIFS($A$6:$A$505,A432,$B$6:$B$505,B432,$E$6:$E$505,E432)&gt;1),"REVIEW","READY"))</f>
        <v/>
      </c>
      <c r="N432" s="27" t="str">
        <f>IF(M432="","",IF(M432="READY","",TRIM(IF(A432="","missing entity_type; ","")&amp;IF(B432="","missing entity_key; ","")&amp;IF(C432="","missing contact_order; ","")&amp;IF(D432="","missing contact_type; ","")&amp;IF(E432="","missing number; ","")&amp;IF(J432="","missing status; ","")&amp;IF(AND(A432="client",COUNTIF(الزبائن!$A$6:$A$505,B432)=0),"client key not found; ","")&amp;IF(AND(A432="proposed_name",COUNTIF('أسماء مقترحة'!$A$6:$A$505,B432)=0),"proposed_name key not found; ","")&amp;IF(AND(D432="mobile",J432&lt;&gt;"invalid",NOT(OR(AND(LEN(E432&amp;"")=10,LEFT(E432&amp;"",2)="09"),AND(LEN(E432&amp;"")=9,LEFT(E432&amp;"",1)="9")))),"mobile must be 09XXXXXXXX or status invalid; ","")&amp;IF(COUNTIFS($A$6:$A$505,A432,$B$6:$B$505,B432,$E$6:$E$505,E432)&gt;1,"duplicate number for same entity; ",""))))</f>
        <v/>
      </c>
    </row>
    <row r="433" spans="1:14">
      <c r="A433" s="23"/>
      <c r="B433" s="24"/>
      <c r="C433" s="25"/>
      <c r="D433" s="25"/>
      <c r="E433" s="24"/>
      <c r="F433" s="24"/>
      <c r="G433" s="25"/>
      <c r="H433" s="25"/>
      <c r="I433" s="25"/>
      <c r="J433" s="25"/>
      <c r="K433" s="25"/>
      <c r="L433" s="25"/>
      <c r="M433" s="25" t="str">
        <f>IF(AND(A433="",B433="",E433=""),"",IF(OR(A433="",B433="",C433="",D433="",E433="",J433="",AND(A433="client",COUNTIF(الزبائن!$A$6:$A$505,B433)=0),AND(A433="proposed_name",COUNTIF('أسماء مقترحة'!$A$6:$A$505,B433)=0),AND(D433="mobile",J433&lt;&gt;"invalid",NOT(OR(AND(LEN(E433&amp;"")=10,LEFT(E433&amp;"",2)="09"),AND(LEN(E433&amp;"")=9,LEFT(E433&amp;"",1)="9")))),COUNTIFS($A$6:$A$505,A433,$B$6:$B$505,B433,$E$6:$E$505,E433)&gt;1),"REVIEW","READY"))</f>
        <v/>
      </c>
      <c r="N433" s="27" t="str">
        <f>IF(M433="","",IF(M433="READY","",TRIM(IF(A433="","missing entity_type; ","")&amp;IF(B433="","missing entity_key; ","")&amp;IF(C433="","missing contact_order; ","")&amp;IF(D433="","missing contact_type; ","")&amp;IF(E433="","missing number; ","")&amp;IF(J433="","missing status; ","")&amp;IF(AND(A433="client",COUNTIF(الزبائن!$A$6:$A$505,B433)=0),"client key not found; ","")&amp;IF(AND(A433="proposed_name",COUNTIF('أسماء مقترحة'!$A$6:$A$505,B433)=0),"proposed_name key not found; ","")&amp;IF(AND(D433="mobile",J433&lt;&gt;"invalid",NOT(OR(AND(LEN(E433&amp;"")=10,LEFT(E433&amp;"",2)="09"),AND(LEN(E433&amp;"")=9,LEFT(E433&amp;"",1)="9")))),"mobile must be 09XXXXXXXX or status invalid; ","")&amp;IF(COUNTIFS($A$6:$A$505,A433,$B$6:$B$505,B433,$E$6:$E$505,E433)&gt;1,"duplicate number for same entity; ",""))))</f>
        <v/>
      </c>
    </row>
    <row r="434" spans="1:14">
      <c r="A434" s="23"/>
      <c r="B434" s="24"/>
      <c r="C434" s="25"/>
      <c r="D434" s="25"/>
      <c r="E434" s="24"/>
      <c r="F434" s="24"/>
      <c r="G434" s="25"/>
      <c r="H434" s="25"/>
      <c r="I434" s="25"/>
      <c r="J434" s="25"/>
      <c r="K434" s="25"/>
      <c r="L434" s="25"/>
      <c r="M434" s="25" t="str">
        <f>IF(AND(A434="",B434="",E434=""),"",IF(OR(A434="",B434="",C434="",D434="",E434="",J434="",AND(A434="client",COUNTIF(الزبائن!$A$6:$A$505,B434)=0),AND(A434="proposed_name",COUNTIF('أسماء مقترحة'!$A$6:$A$505,B434)=0),AND(D434="mobile",J434&lt;&gt;"invalid",NOT(OR(AND(LEN(E434&amp;"")=10,LEFT(E434&amp;"",2)="09"),AND(LEN(E434&amp;"")=9,LEFT(E434&amp;"",1)="9")))),COUNTIFS($A$6:$A$505,A434,$B$6:$B$505,B434,$E$6:$E$505,E434)&gt;1),"REVIEW","READY"))</f>
        <v/>
      </c>
      <c r="N434" s="27" t="str">
        <f>IF(M434="","",IF(M434="READY","",TRIM(IF(A434="","missing entity_type; ","")&amp;IF(B434="","missing entity_key; ","")&amp;IF(C434="","missing contact_order; ","")&amp;IF(D434="","missing contact_type; ","")&amp;IF(E434="","missing number; ","")&amp;IF(J434="","missing status; ","")&amp;IF(AND(A434="client",COUNTIF(الزبائن!$A$6:$A$505,B434)=0),"client key not found; ","")&amp;IF(AND(A434="proposed_name",COUNTIF('أسماء مقترحة'!$A$6:$A$505,B434)=0),"proposed_name key not found; ","")&amp;IF(AND(D434="mobile",J434&lt;&gt;"invalid",NOT(OR(AND(LEN(E434&amp;"")=10,LEFT(E434&amp;"",2)="09"),AND(LEN(E434&amp;"")=9,LEFT(E434&amp;"",1)="9")))),"mobile must be 09XXXXXXXX or status invalid; ","")&amp;IF(COUNTIFS($A$6:$A$505,A434,$B$6:$B$505,B434,$E$6:$E$505,E434)&gt;1,"duplicate number for same entity; ",""))))</f>
        <v/>
      </c>
    </row>
    <row r="435" spans="1:14">
      <c r="A435" s="23"/>
      <c r="B435" s="24"/>
      <c r="C435" s="25"/>
      <c r="D435" s="25"/>
      <c r="E435" s="24"/>
      <c r="F435" s="24"/>
      <c r="G435" s="25"/>
      <c r="H435" s="25"/>
      <c r="I435" s="25"/>
      <c r="J435" s="25"/>
      <c r="K435" s="25"/>
      <c r="L435" s="25"/>
      <c r="M435" s="25" t="str">
        <f>IF(AND(A435="",B435="",E435=""),"",IF(OR(A435="",B435="",C435="",D435="",E435="",J435="",AND(A435="client",COUNTIF(الزبائن!$A$6:$A$505,B435)=0),AND(A435="proposed_name",COUNTIF('أسماء مقترحة'!$A$6:$A$505,B435)=0),AND(D435="mobile",J435&lt;&gt;"invalid",NOT(OR(AND(LEN(E435&amp;"")=10,LEFT(E435&amp;"",2)="09"),AND(LEN(E435&amp;"")=9,LEFT(E435&amp;"",1)="9")))),COUNTIFS($A$6:$A$505,A435,$B$6:$B$505,B435,$E$6:$E$505,E435)&gt;1),"REVIEW","READY"))</f>
        <v/>
      </c>
      <c r="N435" s="27" t="str">
        <f>IF(M435="","",IF(M435="READY","",TRIM(IF(A435="","missing entity_type; ","")&amp;IF(B435="","missing entity_key; ","")&amp;IF(C435="","missing contact_order; ","")&amp;IF(D435="","missing contact_type; ","")&amp;IF(E435="","missing number; ","")&amp;IF(J435="","missing status; ","")&amp;IF(AND(A435="client",COUNTIF(الزبائن!$A$6:$A$505,B435)=0),"client key not found; ","")&amp;IF(AND(A435="proposed_name",COUNTIF('أسماء مقترحة'!$A$6:$A$505,B435)=0),"proposed_name key not found; ","")&amp;IF(AND(D435="mobile",J435&lt;&gt;"invalid",NOT(OR(AND(LEN(E435&amp;"")=10,LEFT(E435&amp;"",2)="09"),AND(LEN(E435&amp;"")=9,LEFT(E435&amp;"",1)="9")))),"mobile must be 09XXXXXXXX or status invalid; ","")&amp;IF(COUNTIFS($A$6:$A$505,A435,$B$6:$B$505,B435,$E$6:$E$505,E435)&gt;1,"duplicate number for same entity; ",""))))</f>
        <v/>
      </c>
    </row>
    <row r="436" spans="1:14">
      <c r="A436" s="23"/>
      <c r="B436" s="24"/>
      <c r="C436" s="25"/>
      <c r="D436" s="25"/>
      <c r="E436" s="24"/>
      <c r="F436" s="24"/>
      <c r="G436" s="25"/>
      <c r="H436" s="25"/>
      <c r="I436" s="25"/>
      <c r="J436" s="25"/>
      <c r="K436" s="25"/>
      <c r="L436" s="25"/>
      <c r="M436" s="25" t="str">
        <f>IF(AND(A436="",B436="",E436=""),"",IF(OR(A436="",B436="",C436="",D436="",E436="",J436="",AND(A436="client",COUNTIF(الزبائن!$A$6:$A$505,B436)=0),AND(A436="proposed_name",COUNTIF('أسماء مقترحة'!$A$6:$A$505,B436)=0),AND(D436="mobile",J436&lt;&gt;"invalid",NOT(OR(AND(LEN(E436&amp;"")=10,LEFT(E436&amp;"",2)="09"),AND(LEN(E436&amp;"")=9,LEFT(E436&amp;"",1)="9")))),COUNTIFS($A$6:$A$505,A436,$B$6:$B$505,B436,$E$6:$E$505,E436)&gt;1),"REVIEW","READY"))</f>
        <v/>
      </c>
      <c r="N436" s="27" t="str">
        <f>IF(M436="","",IF(M436="READY","",TRIM(IF(A436="","missing entity_type; ","")&amp;IF(B436="","missing entity_key; ","")&amp;IF(C436="","missing contact_order; ","")&amp;IF(D436="","missing contact_type; ","")&amp;IF(E436="","missing number; ","")&amp;IF(J436="","missing status; ","")&amp;IF(AND(A436="client",COUNTIF(الزبائن!$A$6:$A$505,B436)=0),"client key not found; ","")&amp;IF(AND(A436="proposed_name",COUNTIF('أسماء مقترحة'!$A$6:$A$505,B436)=0),"proposed_name key not found; ","")&amp;IF(AND(D436="mobile",J436&lt;&gt;"invalid",NOT(OR(AND(LEN(E436&amp;"")=10,LEFT(E436&amp;"",2)="09"),AND(LEN(E436&amp;"")=9,LEFT(E436&amp;"",1)="9")))),"mobile must be 09XXXXXXXX or status invalid; ","")&amp;IF(COUNTIFS($A$6:$A$505,A436,$B$6:$B$505,B436,$E$6:$E$505,E436)&gt;1,"duplicate number for same entity; ",""))))</f>
        <v/>
      </c>
    </row>
    <row r="437" spans="1:14">
      <c r="A437" s="23"/>
      <c r="B437" s="24"/>
      <c r="C437" s="25"/>
      <c r="D437" s="25"/>
      <c r="E437" s="24"/>
      <c r="F437" s="24"/>
      <c r="G437" s="25"/>
      <c r="H437" s="25"/>
      <c r="I437" s="25"/>
      <c r="J437" s="25"/>
      <c r="K437" s="25"/>
      <c r="L437" s="25"/>
      <c r="M437" s="25" t="str">
        <f>IF(AND(A437="",B437="",E437=""),"",IF(OR(A437="",B437="",C437="",D437="",E437="",J437="",AND(A437="client",COUNTIF(الزبائن!$A$6:$A$505,B437)=0),AND(A437="proposed_name",COUNTIF('أسماء مقترحة'!$A$6:$A$505,B437)=0),AND(D437="mobile",J437&lt;&gt;"invalid",NOT(OR(AND(LEN(E437&amp;"")=10,LEFT(E437&amp;"",2)="09"),AND(LEN(E437&amp;"")=9,LEFT(E437&amp;"",1)="9")))),COUNTIFS($A$6:$A$505,A437,$B$6:$B$505,B437,$E$6:$E$505,E437)&gt;1),"REVIEW","READY"))</f>
        <v/>
      </c>
      <c r="N437" s="27" t="str">
        <f>IF(M437="","",IF(M437="READY","",TRIM(IF(A437="","missing entity_type; ","")&amp;IF(B437="","missing entity_key; ","")&amp;IF(C437="","missing contact_order; ","")&amp;IF(D437="","missing contact_type; ","")&amp;IF(E437="","missing number; ","")&amp;IF(J437="","missing status; ","")&amp;IF(AND(A437="client",COUNTIF(الزبائن!$A$6:$A$505,B437)=0),"client key not found; ","")&amp;IF(AND(A437="proposed_name",COUNTIF('أسماء مقترحة'!$A$6:$A$505,B437)=0),"proposed_name key not found; ","")&amp;IF(AND(D437="mobile",J437&lt;&gt;"invalid",NOT(OR(AND(LEN(E437&amp;"")=10,LEFT(E437&amp;"",2)="09"),AND(LEN(E437&amp;"")=9,LEFT(E437&amp;"",1)="9")))),"mobile must be 09XXXXXXXX or status invalid; ","")&amp;IF(COUNTIFS($A$6:$A$505,A437,$B$6:$B$505,B437,$E$6:$E$505,E437)&gt;1,"duplicate number for same entity; ",""))))</f>
        <v/>
      </c>
    </row>
    <row r="438" spans="1:14">
      <c r="A438" s="23"/>
      <c r="B438" s="24"/>
      <c r="C438" s="25"/>
      <c r="D438" s="25"/>
      <c r="E438" s="24"/>
      <c r="F438" s="24"/>
      <c r="G438" s="25"/>
      <c r="H438" s="25"/>
      <c r="I438" s="25"/>
      <c r="J438" s="25"/>
      <c r="K438" s="25"/>
      <c r="L438" s="25"/>
      <c r="M438" s="25" t="str">
        <f>IF(AND(A438="",B438="",E438=""),"",IF(OR(A438="",B438="",C438="",D438="",E438="",J438="",AND(A438="client",COUNTIF(الزبائن!$A$6:$A$505,B438)=0),AND(A438="proposed_name",COUNTIF('أسماء مقترحة'!$A$6:$A$505,B438)=0),AND(D438="mobile",J438&lt;&gt;"invalid",NOT(OR(AND(LEN(E438&amp;"")=10,LEFT(E438&amp;"",2)="09"),AND(LEN(E438&amp;"")=9,LEFT(E438&amp;"",1)="9")))),COUNTIFS($A$6:$A$505,A438,$B$6:$B$505,B438,$E$6:$E$505,E438)&gt;1),"REVIEW","READY"))</f>
        <v/>
      </c>
      <c r="N438" s="27" t="str">
        <f>IF(M438="","",IF(M438="READY","",TRIM(IF(A438="","missing entity_type; ","")&amp;IF(B438="","missing entity_key; ","")&amp;IF(C438="","missing contact_order; ","")&amp;IF(D438="","missing contact_type; ","")&amp;IF(E438="","missing number; ","")&amp;IF(J438="","missing status; ","")&amp;IF(AND(A438="client",COUNTIF(الزبائن!$A$6:$A$505,B438)=0),"client key not found; ","")&amp;IF(AND(A438="proposed_name",COUNTIF('أسماء مقترحة'!$A$6:$A$505,B438)=0),"proposed_name key not found; ","")&amp;IF(AND(D438="mobile",J438&lt;&gt;"invalid",NOT(OR(AND(LEN(E438&amp;"")=10,LEFT(E438&amp;"",2)="09"),AND(LEN(E438&amp;"")=9,LEFT(E438&amp;"",1)="9")))),"mobile must be 09XXXXXXXX or status invalid; ","")&amp;IF(COUNTIFS($A$6:$A$505,A438,$B$6:$B$505,B438,$E$6:$E$505,E438)&gt;1,"duplicate number for same entity; ",""))))</f>
        <v/>
      </c>
    </row>
    <row r="439" spans="1:14">
      <c r="A439" s="23"/>
      <c r="B439" s="24"/>
      <c r="C439" s="25"/>
      <c r="D439" s="25"/>
      <c r="E439" s="24"/>
      <c r="F439" s="24"/>
      <c r="G439" s="25"/>
      <c r="H439" s="25"/>
      <c r="I439" s="25"/>
      <c r="J439" s="25"/>
      <c r="K439" s="25"/>
      <c r="L439" s="25"/>
      <c r="M439" s="25" t="str">
        <f>IF(AND(A439="",B439="",E439=""),"",IF(OR(A439="",B439="",C439="",D439="",E439="",J439="",AND(A439="client",COUNTIF(الزبائن!$A$6:$A$505,B439)=0),AND(A439="proposed_name",COUNTIF('أسماء مقترحة'!$A$6:$A$505,B439)=0),AND(D439="mobile",J439&lt;&gt;"invalid",NOT(OR(AND(LEN(E439&amp;"")=10,LEFT(E439&amp;"",2)="09"),AND(LEN(E439&amp;"")=9,LEFT(E439&amp;"",1)="9")))),COUNTIFS($A$6:$A$505,A439,$B$6:$B$505,B439,$E$6:$E$505,E439)&gt;1),"REVIEW","READY"))</f>
        <v/>
      </c>
      <c r="N439" s="27" t="str">
        <f>IF(M439="","",IF(M439="READY","",TRIM(IF(A439="","missing entity_type; ","")&amp;IF(B439="","missing entity_key; ","")&amp;IF(C439="","missing contact_order; ","")&amp;IF(D439="","missing contact_type; ","")&amp;IF(E439="","missing number; ","")&amp;IF(J439="","missing status; ","")&amp;IF(AND(A439="client",COUNTIF(الزبائن!$A$6:$A$505,B439)=0),"client key not found; ","")&amp;IF(AND(A439="proposed_name",COUNTIF('أسماء مقترحة'!$A$6:$A$505,B439)=0),"proposed_name key not found; ","")&amp;IF(AND(D439="mobile",J439&lt;&gt;"invalid",NOT(OR(AND(LEN(E439&amp;"")=10,LEFT(E439&amp;"",2)="09"),AND(LEN(E439&amp;"")=9,LEFT(E439&amp;"",1)="9")))),"mobile must be 09XXXXXXXX or status invalid; ","")&amp;IF(COUNTIFS($A$6:$A$505,A439,$B$6:$B$505,B439,$E$6:$E$505,E439)&gt;1,"duplicate number for same entity; ",""))))</f>
        <v/>
      </c>
    </row>
    <row r="440" spans="1:14">
      <c r="A440" s="23"/>
      <c r="B440" s="24"/>
      <c r="C440" s="25"/>
      <c r="D440" s="25"/>
      <c r="E440" s="24"/>
      <c r="F440" s="24"/>
      <c r="G440" s="25"/>
      <c r="H440" s="25"/>
      <c r="I440" s="25"/>
      <c r="J440" s="25"/>
      <c r="K440" s="25"/>
      <c r="L440" s="25"/>
      <c r="M440" s="25" t="str">
        <f>IF(AND(A440="",B440="",E440=""),"",IF(OR(A440="",B440="",C440="",D440="",E440="",J440="",AND(A440="client",COUNTIF(الزبائن!$A$6:$A$505,B440)=0),AND(A440="proposed_name",COUNTIF('أسماء مقترحة'!$A$6:$A$505,B440)=0),AND(D440="mobile",J440&lt;&gt;"invalid",NOT(OR(AND(LEN(E440&amp;"")=10,LEFT(E440&amp;"",2)="09"),AND(LEN(E440&amp;"")=9,LEFT(E440&amp;"",1)="9")))),COUNTIFS($A$6:$A$505,A440,$B$6:$B$505,B440,$E$6:$E$505,E440)&gt;1),"REVIEW","READY"))</f>
        <v/>
      </c>
      <c r="N440" s="27" t="str">
        <f>IF(M440="","",IF(M440="READY","",TRIM(IF(A440="","missing entity_type; ","")&amp;IF(B440="","missing entity_key; ","")&amp;IF(C440="","missing contact_order; ","")&amp;IF(D440="","missing contact_type; ","")&amp;IF(E440="","missing number; ","")&amp;IF(J440="","missing status; ","")&amp;IF(AND(A440="client",COUNTIF(الزبائن!$A$6:$A$505,B440)=0),"client key not found; ","")&amp;IF(AND(A440="proposed_name",COUNTIF('أسماء مقترحة'!$A$6:$A$505,B440)=0),"proposed_name key not found; ","")&amp;IF(AND(D440="mobile",J440&lt;&gt;"invalid",NOT(OR(AND(LEN(E440&amp;"")=10,LEFT(E440&amp;"",2)="09"),AND(LEN(E440&amp;"")=9,LEFT(E440&amp;"",1)="9")))),"mobile must be 09XXXXXXXX or status invalid; ","")&amp;IF(COUNTIFS($A$6:$A$505,A440,$B$6:$B$505,B440,$E$6:$E$505,E440)&gt;1,"duplicate number for same entity; ",""))))</f>
        <v/>
      </c>
    </row>
    <row r="441" spans="1:14">
      <c r="A441" s="23"/>
      <c r="B441" s="24"/>
      <c r="C441" s="25"/>
      <c r="D441" s="25"/>
      <c r="E441" s="24"/>
      <c r="F441" s="24"/>
      <c r="G441" s="25"/>
      <c r="H441" s="25"/>
      <c r="I441" s="25"/>
      <c r="J441" s="25"/>
      <c r="K441" s="25"/>
      <c r="L441" s="25"/>
      <c r="M441" s="25" t="str">
        <f>IF(AND(A441="",B441="",E441=""),"",IF(OR(A441="",B441="",C441="",D441="",E441="",J441="",AND(A441="client",COUNTIF(الزبائن!$A$6:$A$505,B441)=0),AND(A441="proposed_name",COUNTIF('أسماء مقترحة'!$A$6:$A$505,B441)=0),AND(D441="mobile",J441&lt;&gt;"invalid",NOT(OR(AND(LEN(E441&amp;"")=10,LEFT(E441&amp;"",2)="09"),AND(LEN(E441&amp;"")=9,LEFT(E441&amp;"",1)="9")))),COUNTIFS($A$6:$A$505,A441,$B$6:$B$505,B441,$E$6:$E$505,E441)&gt;1),"REVIEW","READY"))</f>
        <v/>
      </c>
      <c r="N441" s="27" t="str">
        <f>IF(M441="","",IF(M441="READY","",TRIM(IF(A441="","missing entity_type; ","")&amp;IF(B441="","missing entity_key; ","")&amp;IF(C441="","missing contact_order; ","")&amp;IF(D441="","missing contact_type; ","")&amp;IF(E441="","missing number; ","")&amp;IF(J441="","missing status; ","")&amp;IF(AND(A441="client",COUNTIF(الزبائن!$A$6:$A$505,B441)=0),"client key not found; ","")&amp;IF(AND(A441="proposed_name",COUNTIF('أسماء مقترحة'!$A$6:$A$505,B441)=0),"proposed_name key not found; ","")&amp;IF(AND(D441="mobile",J441&lt;&gt;"invalid",NOT(OR(AND(LEN(E441&amp;"")=10,LEFT(E441&amp;"",2)="09"),AND(LEN(E441&amp;"")=9,LEFT(E441&amp;"",1)="9")))),"mobile must be 09XXXXXXXX or status invalid; ","")&amp;IF(COUNTIFS($A$6:$A$505,A441,$B$6:$B$505,B441,$E$6:$E$505,E441)&gt;1,"duplicate number for same entity; ",""))))</f>
        <v/>
      </c>
    </row>
    <row r="442" spans="1:14">
      <c r="A442" s="23"/>
      <c r="B442" s="24"/>
      <c r="C442" s="25"/>
      <c r="D442" s="25"/>
      <c r="E442" s="24"/>
      <c r="F442" s="24"/>
      <c r="G442" s="25"/>
      <c r="H442" s="25"/>
      <c r="I442" s="25"/>
      <c r="J442" s="25"/>
      <c r="K442" s="25"/>
      <c r="L442" s="25"/>
      <c r="M442" s="25" t="str">
        <f>IF(AND(A442="",B442="",E442=""),"",IF(OR(A442="",B442="",C442="",D442="",E442="",J442="",AND(A442="client",COUNTIF(الزبائن!$A$6:$A$505,B442)=0),AND(A442="proposed_name",COUNTIF('أسماء مقترحة'!$A$6:$A$505,B442)=0),AND(D442="mobile",J442&lt;&gt;"invalid",NOT(OR(AND(LEN(E442&amp;"")=10,LEFT(E442&amp;"",2)="09"),AND(LEN(E442&amp;"")=9,LEFT(E442&amp;"",1)="9")))),COUNTIFS($A$6:$A$505,A442,$B$6:$B$505,B442,$E$6:$E$505,E442)&gt;1),"REVIEW","READY"))</f>
        <v/>
      </c>
      <c r="N442" s="27" t="str">
        <f>IF(M442="","",IF(M442="READY","",TRIM(IF(A442="","missing entity_type; ","")&amp;IF(B442="","missing entity_key; ","")&amp;IF(C442="","missing contact_order; ","")&amp;IF(D442="","missing contact_type; ","")&amp;IF(E442="","missing number; ","")&amp;IF(J442="","missing status; ","")&amp;IF(AND(A442="client",COUNTIF(الزبائن!$A$6:$A$505,B442)=0),"client key not found; ","")&amp;IF(AND(A442="proposed_name",COUNTIF('أسماء مقترحة'!$A$6:$A$505,B442)=0),"proposed_name key not found; ","")&amp;IF(AND(D442="mobile",J442&lt;&gt;"invalid",NOT(OR(AND(LEN(E442&amp;"")=10,LEFT(E442&amp;"",2)="09"),AND(LEN(E442&amp;"")=9,LEFT(E442&amp;"",1)="9")))),"mobile must be 09XXXXXXXX or status invalid; ","")&amp;IF(COUNTIFS($A$6:$A$505,A442,$B$6:$B$505,B442,$E$6:$E$505,E442)&gt;1,"duplicate number for same entity; ",""))))</f>
        <v/>
      </c>
    </row>
    <row r="443" spans="1:14">
      <c r="A443" s="23"/>
      <c r="B443" s="24"/>
      <c r="C443" s="25"/>
      <c r="D443" s="25"/>
      <c r="E443" s="24"/>
      <c r="F443" s="24"/>
      <c r="G443" s="25"/>
      <c r="H443" s="25"/>
      <c r="I443" s="25"/>
      <c r="J443" s="25"/>
      <c r="K443" s="25"/>
      <c r="L443" s="25"/>
      <c r="M443" s="25" t="str">
        <f>IF(AND(A443="",B443="",E443=""),"",IF(OR(A443="",B443="",C443="",D443="",E443="",J443="",AND(A443="client",COUNTIF(الزبائن!$A$6:$A$505,B443)=0),AND(A443="proposed_name",COUNTIF('أسماء مقترحة'!$A$6:$A$505,B443)=0),AND(D443="mobile",J443&lt;&gt;"invalid",NOT(OR(AND(LEN(E443&amp;"")=10,LEFT(E443&amp;"",2)="09"),AND(LEN(E443&amp;"")=9,LEFT(E443&amp;"",1)="9")))),COUNTIFS($A$6:$A$505,A443,$B$6:$B$505,B443,$E$6:$E$505,E443)&gt;1),"REVIEW","READY"))</f>
        <v/>
      </c>
      <c r="N443" s="27" t="str">
        <f>IF(M443="","",IF(M443="READY","",TRIM(IF(A443="","missing entity_type; ","")&amp;IF(B443="","missing entity_key; ","")&amp;IF(C443="","missing contact_order; ","")&amp;IF(D443="","missing contact_type; ","")&amp;IF(E443="","missing number; ","")&amp;IF(J443="","missing status; ","")&amp;IF(AND(A443="client",COUNTIF(الزبائن!$A$6:$A$505,B443)=0),"client key not found; ","")&amp;IF(AND(A443="proposed_name",COUNTIF('أسماء مقترحة'!$A$6:$A$505,B443)=0),"proposed_name key not found; ","")&amp;IF(AND(D443="mobile",J443&lt;&gt;"invalid",NOT(OR(AND(LEN(E443&amp;"")=10,LEFT(E443&amp;"",2)="09"),AND(LEN(E443&amp;"")=9,LEFT(E443&amp;"",1)="9")))),"mobile must be 09XXXXXXXX or status invalid; ","")&amp;IF(COUNTIFS($A$6:$A$505,A443,$B$6:$B$505,B443,$E$6:$E$505,E443)&gt;1,"duplicate number for same entity; ",""))))</f>
        <v/>
      </c>
    </row>
    <row r="444" spans="1:14">
      <c r="A444" s="23"/>
      <c r="B444" s="24"/>
      <c r="C444" s="25"/>
      <c r="D444" s="25"/>
      <c r="E444" s="24"/>
      <c r="F444" s="24"/>
      <c r="G444" s="25"/>
      <c r="H444" s="25"/>
      <c r="I444" s="25"/>
      <c r="J444" s="25"/>
      <c r="K444" s="25"/>
      <c r="L444" s="25"/>
      <c r="M444" s="25" t="str">
        <f>IF(AND(A444="",B444="",E444=""),"",IF(OR(A444="",B444="",C444="",D444="",E444="",J444="",AND(A444="client",COUNTIF(الزبائن!$A$6:$A$505,B444)=0),AND(A444="proposed_name",COUNTIF('أسماء مقترحة'!$A$6:$A$505,B444)=0),AND(D444="mobile",J444&lt;&gt;"invalid",NOT(OR(AND(LEN(E444&amp;"")=10,LEFT(E444&amp;"",2)="09"),AND(LEN(E444&amp;"")=9,LEFT(E444&amp;"",1)="9")))),COUNTIFS($A$6:$A$505,A444,$B$6:$B$505,B444,$E$6:$E$505,E444)&gt;1),"REVIEW","READY"))</f>
        <v/>
      </c>
      <c r="N444" s="27" t="str">
        <f>IF(M444="","",IF(M444="READY","",TRIM(IF(A444="","missing entity_type; ","")&amp;IF(B444="","missing entity_key; ","")&amp;IF(C444="","missing contact_order; ","")&amp;IF(D444="","missing contact_type; ","")&amp;IF(E444="","missing number; ","")&amp;IF(J444="","missing status; ","")&amp;IF(AND(A444="client",COUNTIF(الزبائن!$A$6:$A$505,B444)=0),"client key not found; ","")&amp;IF(AND(A444="proposed_name",COUNTIF('أسماء مقترحة'!$A$6:$A$505,B444)=0),"proposed_name key not found; ","")&amp;IF(AND(D444="mobile",J444&lt;&gt;"invalid",NOT(OR(AND(LEN(E444&amp;"")=10,LEFT(E444&amp;"",2)="09"),AND(LEN(E444&amp;"")=9,LEFT(E444&amp;"",1)="9")))),"mobile must be 09XXXXXXXX or status invalid; ","")&amp;IF(COUNTIFS($A$6:$A$505,A444,$B$6:$B$505,B444,$E$6:$E$505,E444)&gt;1,"duplicate number for same entity; ",""))))</f>
        <v/>
      </c>
    </row>
    <row r="445" spans="1:14">
      <c r="A445" s="23"/>
      <c r="B445" s="24"/>
      <c r="C445" s="25"/>
      <c r="D445" s="25"/>
      <c r="E445" s="24"/>
      <c r="F445" s="24"/>
      <c r="G445" s="25"/>
      <c r="H445" s="25"/>
      <c r="I445" s="25"/>
      <c r="J445" s="25"/>
      <c r="K445" s="25"/>
      <c r="L445" s="25"/>
      <c r="M445" s="25" t="str">
        <f>IF(AND(A445="",B445="",E445=""),"",IF(OR(A445="",B445="",C445="",D445="",E445="",J445="",AND(A445="client",COUNTIF(الزبائن!$A$6:$A$505,B445)=0),AND(A445="proposed_name",COUNTIF('أسماء مقترحة'!$A$6:$A$505,B445)=0),AND(D445="mobile",J445&lt;&gt;"invalid",NOT(OR(AND(LEN(E445&amp;"")=10,LEFT(E445&amp;"",2)="09"),AND(LEN(E445&amp;"")=9,LEFT(E445&amp;"",1)="9")))),COUNTIFS($A$6:$A$505,A445,$B$6:$B$505,B445,$E$6:$E$505,E445)&gt;1),"REVIEW","READY"))</f>
        <v/>
      </c>
      <c r="N445" s="27" t="str">
        <f>IF(M445="","",IF(M445="READY","",TRIM(IF(A445="","missing entity_type; ","")&amp;IF(B445="","missing entity_key; ","")&amp;IF(C445="","missing contact_order; ","")&amp;IF(D445="","missing contact_type; ","")&amp;IF(E445="","missing number; ","")&amp;IF(J445="","missing status; ","")&amp;IF(AND(A445="client",COUNTIF(الزبائن!$A$6:$A$505,B445)=0),"client key not found; ","")&amp;IF(AND(A445="proposed_name",COUNTIF('أسماء مقترحة'!$A$6:$A$505,B445)=0),"proposed_name key not found; ","")&amp;IF(AND(D445="mobile",J445&lt;&gt;"invalid",NOT(OR(AND(LEN(E445&amp;"")=10,LEFT(E445&amp;"",2)="09"),AND(LEN(E445&amp;"")=9,LEFT(E445&amp;"",1)="9")))),"mobile must be 09XXXXXXXX or status invalid; ","")&amp;IF(COUNTIFS($A$6:$A$505,A445,$B$6:$B$505,B445,$E$6:$E$505,E445)&gt;1,"duplicate number for same entity; ",""))))</f>
        <v/>
      </c>
    </row>
    <row r="446" spans="1:14">
      <c r="A446" s="23"/>
      <c r="B446" s="24"/>
      <c r="C446" s="25"/>
      <c r="D446" s="25"/>
      <c r="E446" s="24"/>
      <c r="F446" s="24"/>
      <c r="G446" s="25"/>
      <c r="H446" s="25"/>
      <c r="I446" s="25"/>
      <c r="J446" s="25"/>
      <c r="K446" s="25"/>
      <c r="L446" s="25"/>
      <c r="M446" s="25" t="str">
        <f>IF(AND(A446="",B446="",E446=""),"",IF(OR(A446="",B446="",C446="",D446="",E446="",J446="",AND(A446="client",COUNTIF(الزبائن!$A$6:$A$505,B446)=0),AND(A446="proposed_name",COUNTIF('أسماء مقترحة'!$A$6:$A$505,B446)=0),AND(D446="mobile",J446&lt;&gt;"invalid",NOT(OR(AND(LEN(E446&amp;"")=10,LEFT(E446&amp;"",2)="09"),AND(LEN(E446&amp;"")=9,LEFT(E446&amp;"",1)="9")))),COUNTIFS($A$6:$A$505,A446,$B$6:$B$505,B446,$E$6:$E$505,E446)&gt;1),"REVIEW","READY"))</f>
        <v/>
      </c>
      <c r="N446" s="27" t="str">
        <f>IF(M446="","",IF(M446="READY","",TRIM(IF(A446="","missing entity_type; ","")&amp;IF(B446="","missing entity_key; ","")&amp;IF(C446="","missing contact_order; ","")&amp;IF(D446="","missing contact_type; ","")&amp;IF(E446="","missing number; ","")&amp;IF(J446="","missing status; ","")&amp;IF(AND(A446="client",COUNTIF(الزبائن!$A$6:$A$505,B446)=0),"client key not found; ","")&amp;IF(AND(A446="proposed_name",COUNTIF('أسماء مقترحة'!$A$6:$A$505,B446)=0),"proposed_name key not found; ","")&amp;IF(AND(D446="mobile",J446&lt;&gt;"invalid",NOT(OR(AND(LEN(E446&amp;"")=10,LEFT(E446&amp;"",2)="09"),AND(LEN(E446&amp;"")=9,LEFT(E446&amp;"",1)="9")))),"mobile must be 09XXXXXXXX or status invalid; ","")&amp;IF(COUNTIFS($A$6:$A$505,A446,$B$6:$B$505,B446,$E$6:$E$505,E446)&gt;1,"duplicate number for same entity; ",""))))</f>
        <v/>
      </c>
    </row>
    <row r="447" spans="1:14">
      <c r="A447" s="23"/>
      <c r="B447" s="24"/>
      <c r="C447" s="25"/>
      <c r="D447" s="25"/>
      <c r="E447" s="24"/>
      <c r="F447" s="24"/>
      <c r="G447" s="25"/>
      <c r="H447" s="25"/>
      <c r="I447" s="25"/>
      <c r="J447" s="25"/>
      <c r="K447" s="25"/>
      <c r="L447" s="25"/>
      <c r="M447" s="25" t="str">
        <f>IF(AND(A447="",B447="",E447=""),"",IF(OR(A447="",B447="",C447="",D447="",E447="",J447="",AND(A447="client",COUNTIF(الزبائن!$A$6:$A$505,B447)=0),AND(A447="proposed_name",COUNTIF('أسماء مقترحة'!$A$6:$A$505,B447)=0),AND(D447="mobile",J447&lt;&gt;"invalid",NOT(OR(AND(LEN(E447&amp;"")=10,LEFT(E447&amp;"",2)="09"),AND(LEN(E447&amp;"")=9,LEFT(E447&amp;"",1)="9")))),COUNTIFS($A$6:$A$505,A447,$B$6:$B$505,B447,$E$6:$E$505,E447)&gt;1),"REVIEW","READY"))</f>
        <v/>
      </c>
      <c r="N447" s="27" t="str">
        <f>IF(M447="","",IF(M447="READY","",TRIM(IF(A447="","missing entity_type; ","")&amp;IF(B447="","missing entity_key; ","")&amp;IF(C447="","missing contact_order; ","")&amp;IF(D447="","missing contact_type; ","")&amp;IF(E447="","missing number; ","")&amp;IF(J447="","missing status; ","")&amp;IF(AND(A447="client",COUNTIF(الزبائن!$A$6:$A$505,B447)=0),"client key not found; ","")&amp;IF(AND(A447="proposed_name",COUNTIF('أسماء مقترحة'!$A$6:$A$505,B447)=0),"proposed_name key not found; ","")&amp;IF(AND(D447="mobile",J447&lt;&gt;"invalid",NOT(OR(AND(LEN(E447&amp;"")=10,LEFT(E447&amp;"",2)="09"),AND(LEN(E447&amp;"")=9,LEFT(E447&amp;"",1)="9")))),"mobile must be 09XXXXXXXX or status invalid; ","")&amp;IF(COUNTIFS($A$6:$A$505,A447,$B$6:$B$505,B447,$E$6:$E$505,E447)&gt;1,"duplicate number for same entity; ",""))))</f>
        <v/>
      </c>
    </row>
    <row r="448" spans="1:14">
      <c r="A448" s="23"/>
      <c r="B448" s="24"/>
      <c r="C448" s="25"/>
      <c r="D448" s="25"/>
      <c r="E448" s="24"/>
      <c r="F448" s="24"/>
      <c r="G448" s="25"/>
      <c r="H448" s="25"/>
      <c r="I448" s="25"/>
      <c r="J448" s="25"/>
      <c r="K448" s="25"/>
      <c r="L448" s="25"/>
      <c r="M448" s="25" t="str">
        <f>IF(AND(A448="",B448="",E448=""),"",IF(OR(A448="",B448="",C448="",D448="",E448="",J448="",AND(A448="client",COUNTIF(الزبائن!$A$6:$A$505,B448)=0),AND(A448="proposed_name",COUNTIF('أسماء مقترحة'!$A$6:$A$505,B448)=0),AND(D448="mobile",J448&lt;&gt;"invalid",NOT(OR(AND(LEN(E448&amp;"")=10,LEFT(E448&amp;"",2)="09"),AND(LEN(E448&amp;"")=9,LEFT(E448&amp;"",1)="9")))),COUNTIFS($A$6:$A$505,A448,$B$6:$B$505,B448,$E$6:$E$505,E448)&gt;1),"REVIEW","READY"))</f>
        <v/>
      </c>
      <c r="N448" s="27" t="str">
        <f>IF(M448="","",IF(M448="READY","",TRIM(IF(A448="","missing entity_type; ","")&amp;IF(B448="","missing entity_key; ","")&amp;IF(C448="","missing contact_order; ","")&amp;IF(D448="","missing contact_type; ","")&amp;IF(E448="","missing number; ","")&amp;IF(J448="","missing status; ","")&amp;IF(AND(A448="client",COUNTIF(الزبائن!$A$6:$A$505,B448)=0),"client key not found; ","")&amp;IF(AND(A448="proposed_name",COUNTIF('أسماء مقترحة'!$A$6:$A$505,B448)=0),"proposed_name key not found; ","")&amp;IF(AND(D448="mobile",J448&lt;&gt;"invalid",NOT(OR(AND(LEN(E448&amp;"")=10,LEFT(E448&amp;"",2)="09"),AND(LEN(E448&amp;"")=9,LEFT(E448&amp;"",1)="9")))),"mobile must be 09XXXXXXXX or status invalid; ","")&amp;IF(COUNTIFS($A$6:$A$505,A448,$B$6:$B$505,B448,$E$6:$E$505,E448)&gt;1,"duplicate number for same entity; ",""))))</f>
        <v/>
      </c>
    </row>
    <row r="449" spans="1:14">
      <c r="A449" s="23"/>
      <c r="B449" s="24"/>
      <c r="C449" s="25"/>
      <c r="D449" s="25"/>
      <c r="E449" s="24"/>
      <c r="F449" s="24"/>
      <c r="G449" s="25"/>
      <c r="H449" s="25"/>
      <c r="I449" s="25"/>
      <c r="J449" s="25"/>
      <c r="K449" s="25"/>
      <c r="L449" s="25"/>
      <c r="M449" s="25" t="str">
        <f>IF(AND(A449="",B449="",E449=""),"",IF(OR(A449="",B449="",C449="",D449="",E449="",J449="",AND(A449="client",COUNTIF(الزبائن!$A$6:$A$505,B449)=0),AND(A449="proposed_name",COUNTIF('أسماء مقترحة'!$A$6:$A$505,B449)=0),AND(D449="mobile",J449&lt;&gt;"invalid",NOT(OR(AND(LEN(E449&amp;"")=10,LEFT(E449&amp;"",2)="09"),AND(LEN(E449&amp;"")=9,LEFT(E449&amp;"",1)="9")))),COUNTIFS($A$6:$A$505,A449,$B$6:$B$505,B449,$E$6:$E$505,E449)&gt;1),"REVIEW","READY"))</f>
        <v/>
      </c>
      <c r="N449" s="27" t="str">
        <f>IF(M449="","",IF(M449="READY","",TRIM(IF(A449="","missing entity_type; ","")&amp;IF(B449="","missing entity_key; ","")&amp;IF(C449="","missing contact_order; ","")&amp;IF(D449="","missing contact_type; ","")&amp;IF(E449="","missing number; ","")&amp;IF(J449="","missing status; ","")&amp;IF(AND(A449="client",COUNTIF(الزبائن!$A$6:$A$505,B449)=0),"client key not found; ","")&amp;IF(AND(A449="proposed_name",COUNTIF('أسماء مقترحة'!$A$6:$A$505,B449)=0),"proposed_name key not found; ","")&amp;IF(AND(D449="mobile",J449&lt;&gt;"invalid",NOT(OR(AND(LEN(E449&amp;"")=10,LEFT(E449&amp;"",2)="09"),AND(LEN(E449&amp;"")=9,LEFT(E449&amp;"",1)="9")))),"mobile must be 09XXXXXXXX or status invalid; ","")&amp;IF(COUNTIFS($A$6:$A$505,A449,$B$6:$B$505,B449,$E$6:$E$505,E449)&gt;1,"duplicate number for same entity; ",""))))</f>
        <v/>
      </c>
    </row>
    <row r="450" spans="1:14">
      <c r="A450" s="23"/>
      <c r="B450" s="24"/>
      <c r="C450" s="25"/>
      <c r="D450" s="25"/>
      <c r="E450" s="24"/>
      <c r="F450" s="24"/>
      <c r="G450" s="25"/>
      <c r="H450" s="25"/>
      <c r="I450" s="25"/>
      <c r="J450" s="25"/>
      <c r="K450" s="25"/>
      <c r="L450" s="25"/>
      <c r="M450" s="25" t="str">
        <f>IF(AND(A450="",B450="",E450=""),"",IF(OR(A450="",B450="",C450="",D450="",E450="",J450="",AND(A450="client",COUNTIF(الزبائن!$A$6:$A$505,B450)=0),AND(A450="proposed_name",COUNTIF('أسماء مقترحة'!$A$6:$A$505,B450)=0),AND(D450="mobile",J450&lt;&gt;"invalid",NOT(OR(AND(LEN(E450&amp;"")=10,LEFT(E450&amp;"",2)="09"),AND(LEN(E450&amp;"")=9,LEFT(E450&amp;"",1)="9")))),COUNTIFS($A$6:$A$505,A450,$B$6:$B$505,B450,$E$6:$E$505,E450)&gt;1),"REVIEW","READY"))</f>
        <v/>
      </c>
      <c r="N450" s="27" t="str">
        <f>IF(M450="","",IF(M450="READY","",TRIM(IF(A450="","missing entity_type; ","")&amp;IF(B450="","missing entity_key; ","")&amp;IF(C450="","missing contact_order; ","")&amp;IF(D450="","missing contact_type; ","")&amp;IF(E450="","missing number; ","")&amp;IF(J450="","missing status; ","")&amp;IF(AND(A450="client",COUNTIF(الزبائن!$A$6:$A$505,B450)=0),"client key not found; ","")&amp;IF(AND(A450="proposed_name",COUNTIF('أسماء مقترحة'!$A$6:$A$505,B450)=0),"proposed_name key not found; ","")&amp;IF(AND(D450="mobile",J450&lt;&gt;"invalid",NOT(OR(AND(LEN(E450&amp;"")=10,LEFT(E450&amp;"",2)="09"),AND(LEN(E450&amp;"")=9,LEFT(E450&amp;"",1)="9")))),"mobile must be 09XXXXXXXX or status invalid; ","")&amp;IF(COUNTIFS($A$6:$A$505,A450,$B$6:$B$505,B450,$E$6:$E$505,E450)&gt;1,"duplicate number for same entity; ",""))))</f>
        <v/>
      </c>
    </row>
    <row r="451" spans="1:14">
      <c r="A451" s="23"/>
      <c r="B451" s="24"/>
      <c r="C451" s="25"/>
      <c r="D451" s="25"/>
      <c r="E451" s="24"/>
      <c r="F451" s="24"/>
      <c r="G451" s="25"/>
      <c r="H451" s="25"/>
      <c r="I451" s="25"/>
      <c r="J451" s="25"/>
      <c r="K451" s="25"/>
      <c r="L451" s="25"/>
      <c r="M451" s="25" t="str">
        <f>IF(AND(A451="",B451="",E451=""),"",IF(OR(A451="",B451="",C451="",D451="",E451="",J451="",AND(A451="client",COUNTIF(الزبائن!$A$6:$A$505,B451)=0),AND(A451="proposed_name",COUNTIF('أسماء مقترحة'!$A$6:$A$505,B451)=0),AND(D451="mobile",J451&lt;&gt;"invalid",NOT(OR(AND(LEN(E451&amp;"")=10,LEFT(E451&amp;"",2)="09"),AND(LEN(E451&amp;"")=9,LEFT(E451&amp;"",1)="9")))),COUNTIFS($A$6:$A$505,A451,$B$6:$B$505,B451,$E$6:$E$505,E451)&gt;1),"REVIEW","READY"))</f>
        <v/>
      </c>
      <c r="N451" s="27" t="str">
        <f>IF(M451="","",IF(M451="READY","",TRIM(IF(A451="","missing entity_type; ","")&amp;IF(B451="","missing entity_key; ","")&amp;IF(C451="","missing contact_order; ","")&amp;IF(D451="","missing contact_type; ","")&amp;IF(E451="","missing number; ","")&amp;IF(J451="","missing status; ","")&amp;IF(AND(A451="client",COUNTIF(الزبائن!$A$6:$A$505,B451)=0),"client key not found; ","")&amp;IF(AND(A451="proposed_name",COUNTIF('أسماء مقترحة'!$A$6:$A$505,B451)=0),"proposed_name key not found; ","")&amp;IF(AND(D451="mobile",J451&lt;&gt;"invalid",NOT(OR(AND(LEN(E451&amp;"")=10,LEFT(E451&amp;"",2)="09"),AND(LEN(E451&amp;"")=9,LEFT(E451&amp;"",1)="9")))),"mobile must be 09XXXXXXXX or status invalid; ","")&amp;IF(COUNTIFS($A$6:$A$505,A451,$B$6:$B$505,B451,$E$6:$E$505,E451)&gt;1,"duplicate number for same entity; ",""))))</f>
        <v/>
      </c>
    </row>
    <row r="452" spans="1:14">
      <c r="A452" s="23"/>
      <c r="B452" s="24"/>
      <c r="C452" s="25"/>
      <c r="D452" s="25"/>
      <c r="E452" s="24"/>
      <c r="F452" s="24"/>
      <c r="G452" s="25"/>
      <c r="H452" s="25"/>
      <c r="I452" s="25"/>
      <c r="J452" s="25"/>
      <c r="K452" s="25"/>
      <c r="L452" s="25"/>
      <c r="M452" s="25" t="str">
        <f>IF(AND(A452="",B452="",E452=""),"",IF(OR(A452="",B452="",C452="",D452="",E452="",J452="",AND(A452="client",COUNTIF(الزبائن!$A$6:$A$505,B452)=0),AND(A452="proposed_name",COUNTIF('أسماء مقترحة'!$A$6:$A$505,B452)=0),AND(D452="mobile",J452&lt;&gt;"invalid",NOT(OR(AND(LEN(E452&amp;"")=10,LEFT(E452&amp;"",2)="09"),AND(LEN(E452&amp;"")=9,LEFT(E452&amp;"",1)="9")))),COUNTIFS($A$6:$A$505,A452,$B$6:$B$505,B452,$E$6:$E$505,E452)&gt;1),"REVIEW","READY"))</f>
        <v/>
      </c>
      <c r="N452" s="27" t="str">
        <f>IF(M452="","",IF(M452="READY","",TRIM(IF(A452="","missing entity_type; ","")&amp;IF(B452="","missing entity_key; ","")&amp;IF(C452="","missing contact_order; ","")&amp;IF(D452="","missing contact_type; ","")&amp;IF(E452="","missing number; ","")&amp;IF(J452="","missing status; ","")&amp;IF(AND(A452="client",COUNTIF(الزبائن!$A$6:$A$505,B452)=0),"client key not found; ","")&amp;IF(AND(A452="proposed_name",COUNTIF('أسماء مقترحة'!$A$6:$A$505,B452)=0),"proposed_name key not found; ","")&amp;IF(AND(D452="mobile",J452&lt;&gt;"invalid",NOT(OR(AND(LEN(E452&amp;"")=10,LEFT(E452&amp;"",2)="09"),AND(LEN(E452&amp;"")=9,LEFT(E452&amp;"",1)="9")))),"mobile must be 09XXXXXXXX or status invalid; ","")&amp;IF(COUNTIFS($A$6:$A$505,A452,$B$6:$B$505,B452,$E$6:$E$505,E452)&gt;1,"duplicate number for same entity; ",""))))</f>
        <v/>
      </c>
    </row>
    <row r="453" spans="1:14">
      <c r="A453" s="23"/>
      <c r="B453" s="24"/>
      <c r="C453" s="25"/>
      <c r="D453" s="25"/>
      <c r="E453" s="24"/>
      <c r="F453" s="24"/>
      <c r="G453" s="25"/>
      <c r="H453" s="25"/>
      <c r="I453" s="25"/>
      <c r="J453" s="25"/>
      <c r="K453" s="25"/>
      <c r="L453" s="25"/>
      <c r="M453" s="25" t="str">
        <f>IF(AND(A453="",B453="",E453=""),"",IF(OR(A453="",B453="",C453="",D453="",E453="",J453="",AND(A453="client",COUNTIF(الزبائن!$A$6:$A$505,B453)=0),AND(A453="proposed_name",COUNTIF('أسماء مقترحة'!$A$6:$A$505,B453)=0),AND(D453="mobile",J453&lt;&gt;"invalid",NOT(OR(AND(LEN(E453&amp;"")=10,LEFT(E453&amp;"",2)="09"),AND(LEN(E453&amp;"")=9,LEFT(E453&amp;"",1)="9")))),COUNTIFS($A$6:$A$505,A453,$B$6:$B$505,B453,$E$6:$E$505,E453)&gt;1),"REVIEW","READY"))</f>
        <v/>
      </c>
      <c r="N453" s="27" t="str">
        <f>IF(M453="","",IF(M453="READY","",TRIM(IF(A453="","missing entity_type; ","")&amp;IF(B453="","missing entity_key; ","")&amp;IF(C453="","missing contact_order; ","")&amp;IF(D453="","missing contact_type; ","")&amp;IF(E453="","missing number; ","")&amp;IF(J453="","missing status; ","")&amp;IF(AND(A453="client",COUNTIF(الزبائن!$A$6:$A$505,B453)=0),"client key not found; ","")&amp;IF(AND(A453="proposed_name",COUNTIF('أسماء مقترحة'!$A$6:$A$505,B453)=0),"proposed_name key not found; ","")&amp;IF(AND(D453="mobile",J453&lt;&gt;"invalid",NOT(OR(AND(LEN(E453&amp;"")=10,LEFT(E453&amp;"",2)="09"),AND(LEN(E453&amp;"")=9,LEFT(E453&amp;"",1)="9")))),"mobile must be 09XXXXXXXX or status invalid; ","")&amp;IF(COUNTIFS($A$6:$A$505,A453,$B$6:$B$505,B453,$E$6:$E$505,E453)&gt;1,"duplicate number for same entity; ",""))))</f>
        <v/>
      </c>
    </row>
    <row r="454" spans="1:14">
      <c r="A454" s="23"/>
      <c r="B454" s="24"/>
      <c r="C454" s="25"/>
      <c r="D454" s="25"/>
      <c r="E454" s="24"/>
      <c r="F454" s="24"/>
      <c r="G454" s="25"/>
      <c r="H454" s="25"/>
      <c r="I454" s="25"/>
      <c r="J454" s="25"/>
      <c r="K454" s="25"/>
      <c r="L454" s="25"/>
      <c r="M454" s="25" t="str">
        <f>IF(AND(A454="",B454="",E454=""),"",IF(OR(A454="",B454="",C454="",D454="",E454="",J454="",AND(A454="client",COUNTIF(الزبائن!$A$6:$A$505,B454)=0),AND(A454="proposed_name",COUNTIF('أسماء مقترحة'!$A$6:$A$505,B454)=0),AND(D454="mobile",J454&lt;&gt;"invalid",NOT(OR(AND(LEN(E454&amp;"")=10,LEFT(E454&amp;"",2)="09"),AND(LEN(E454&amp;"")=9,LEFT(E454&amp;"",1)="9")))),COUNTIFS($A$6:$A$505,A454,$B$6:$B$505,B454,$E$6:$E$505,E454)&gt;1),"REVIEW","READY"))</f>
        <v/>
      </c>
      <c r="N454" s="27" t="str">
        <f>IF(M454="","",IF(M454="READY","",TRIM(IF(A454="","missing entity_type; ","")&amp;IF(B454="","missing entity_key; ","")&amp;IF(C454="","missing contact_order; ","")&amp;IF(D454="","missing contact_type; ","")&amp;IF(E454="","missing number; ","")&amp;IF(J454="","missing status; ","")&amp;IF(AND(A454="client",COUNTIF(الزبائن!$A$6:$A$505,B454)=0),"client key not found; ","")&amp;IF(AND(A454="proposed_name",COUNTIF('أسماء مقترحة'!$A$6:$A$505,B454)=0),"proposed_name key not found; ","")&amp;IF(AND(D454="mobile",J454&lt;&gt;"invalid",NOT(OR(AND(LEN(E454&amp;"")=10,LEFT(E454&amp;"",2)="09"),AND(LEN(E454&amp;"")=9,LEFT(E454&amp;"",1)="9")))),"mobile must be 09XXXXXXXX or status invalid; ","")&amp;IF(COUNTIFS($A$6:$A$505,A454,$B$6:$B$505,B454,$E$6:$E$505,E454)&gt;1,"duplicate number for same entity; ",""))))</f>
        <v/>
      </c>
    </row>
    <row r="455" spans="1:14">
      <c r="A455" s="23"/>
      <c r="B455" s="24"/>
      <c r="C455" s="25"/>
      <c r="D455" s="25"/>
      <c r="E455" s="24"/>
      <c r="F455" s="24"/>
      <c r="G455" s="25"/>
      <c r="H455" s="25"/>
      <c r="I455" s="25"/>
      <c r="J455" s="25"/>
      <c r="K455" s="25"/>
      <c r="L455" s="25"/>
      <c r="M455" s="25" t="str">
        <f>IF(AND(A455="",B455="",E455=""),"",IF(OR(A455="",B455="",C455="",D455="",E455="",J455="",AND(A455="client",COUNTIF(الزبائن!$A$6:$A$505,B455)=0),AND(A455="proposed_name",COUNTIF('أسماء مقترحة'!$A$6:$A$505,B455)=0),AND(D455="mobile",J455&lt;&gt;"invalid",NOT(OR(AND(LEN(E455&amp;"")=10,LEFT(E455&amp;"",2)="09"),AND(LEN(E455&amp;"")=9,LEFT(E455&amp;"",1)="9")))),COUNTIFS($A$6:$A$505,A455,$B$6:$B$505,B455,$E$6:$E$505,E455)&gt;1),"REVIEW","READY"))</f>
        <v/>
      </c>
      <c r="N455" s="27" t="str">
        <f>IF(M455="","",IF(M455="READY","",TRIM(IF(A455="","missing entity_type; ","")&amp;IF(B455="","missing entity_key; ","")&amp;IF(C455="","missing contact_order; ","")&amp;IF(D455="","missing contact_type; ","")&amp;IF(E455="","missing number; ","")&amp;IF(J455="","missing status; ","")&amp;IF(AND(A455="client",COUNTIF(الزبائن!$A$6:$A$505,B455)=0),"client key not found; ","")&amp;IF(AND(A455="proposed_name",COUNTIF('أسماء مقترحة'!$A$6:$A$505,B455)=0),"proposed_name key not found; ","")&amp;IF(AND(D455="mobile",J455&lt;&gt;"invalid",NOT(OR(AND(LEN(E455&amp;"")=10,LEFT(E455&amp;"",2)="09"),AND(LEN(E455&amp;"")=9,LEFT(E455&amp;"",1)="9")))),"mobile must be 09XXXXXXXX or status invalid; ","")&amp;IF(COUNTIFS($A$6:$A$505,A455,$B$6:$B$505,B455,$E$6:$E$505,E455)&gt;1,"duplicate number for same entity; ",""))))</f>
        <v/>
      </c>
    </row>
    <row r="456" spans="1:14">
      <c r="A456" s="23"/>
      <c r="B456" s="24"/>
      <c r="C456" s="25"/>
      <c r="D456" s="25"/>
      <c r="E456" s="24"/>
      <c r="F456" s="24"/>
      <c r="G456" s="25"/>
      <c r="H456" s="25"/>
      <c r="I456" s="25"/>
      <c r="J456" s="25"/>
      <c r="K456" s="25"/>
      <c r="L456" s="25"/>
      <c r="M456" s="25" t="str">
        <f>IF(AND(A456="",B456="",E456=""),"",IF(OR(A456="",B456="",C456="",D456="",E456="",J456="",AND(A456="client",COUNTIF(الزبائن!$A$6:$A$505,B456)=0),AND(A456="proposed_name",COUNTIF('أسماء مقترحة'!$A$6:$A$505,B456)=0),AND(D456="mobile",J456&lt;&gt;"invalid",NOT(OR(AND(LEN(E456&amp;"")=10,LEFT(E456&amp;"",2)="09"),AND(LEN(E456&amp;"")=9,LEFT(E456&amp;"",1)="9")))),COUNTIFS($A$6:$A$505,A456,$B$6:$B$505,B456,$E$6:$E$505,E456)&gt;1),"REVIEW","READY"))</f>
        <v/>
      </c>
      <c r="N456" s="27" t="str">
        <f>IF(M456="","",IF(M456="READY","",TRIM(IF(A456="","missing entity_type; ","")&amp;IF(B456="","missing entity_key; ","")&amp;IF(C456="","missing contact_order; ","")&amp;IF(D456="","missing contact_type; ","")&amp;IF(E456="","missing number; ","")&amp;IF(J456="","missing status; ","")&amp;IF(AND(A456="client",COUNTIF(الزبائن!$A$6:$A$505,B456)=0),"client key not found; ","")&amp;IF(AND(A456="proposed_name",COUNTIF('أسماء مقترحة'!$A$6:$A$505,B456)=0),"proposed_name key not found; ","")&amp;IF(AND(D456="mobile",J456&lt;&gt;"invalid",NOT(OR(AND(LEN(E456&amp;"")=10,LEFT(E456&amp;"",2)="09"),AND(LEN(E456&amp;"")=9,LEFT(E456&amp;"",1)="9")))),"mobile must be 09XXXXXXXX or status invalid; ","")&amp;IF(COUNTIFS($A$6:$A$505,A456,$B$6:$B$505,B456,$E$6:$E$505,E456)&gt;1,"duplicate number for same entity; ",""))))</f>
        <v/>
      </c>
    </row>
    <row r="457" spans="1:14">
      <c r="A457" s="23"/>
      <c r="B457" s="24"/>
      <c r="C457" s="25"/>
      <c r="D457" s="25"/>
      <c r="E457" s="24"/>
      <c r="F457" s="24"/>
      <c r="G457" s="25"/>
      <c r="H457" s="25"/>
      <c r="I457" s="25"/>
      <c r="J457" s="25"/>
      <c r="K457" s="25"/>
      <c r="L457" s="25"/>
      <c r="M457" s="25" t="str">
        <f>IF(AND(A457="",B457="",E457=""),"",IF(OR(A457="",B457="",C457="",D457="",E457="",J457="",AND(A457="client",COUNTIF(الزبائن!$A$6:$A$505,B457)=0),AND(A457="proposed_name",COUNTIF('أسماء مقترحة'!$A$6:$A$505,B457)=0),AND(D457="mobile",J457&lt;&gt;"invalid",NOT(OR(AND(LEN(E457&amp;"")=10,LEFT(E457&amp;"",2)="09"),AND(LEN(E457&amp;"")=9,LEFT(E457&amp;"",1)="9")))),COUNTIFS($A$6:$A$505,A457,$B$6:$B$505,B457,$E$6:$E$505,E457)&gt;1),"REVIEW","READY"))</f>
        <v/>
      </c>
      <c r="N457" s="27" t="str">
        <f>IF(M457="","",IF(M457="READY","",TRIM(IF(A457="","missing entity_type; ","")&amp;IF(B457="","missing entity_key; ","")&amp;IF(C457="","missing contact_order; ","")&amp;IF(D457="","missing contact_type; ","")&amp;IF(E457="","missing number; ","")&amp;IF(J457="","missing status; ","")&amp;IF(AND(A457="client",COUNTIF(الزبائن!$A$6:$A$505,B457)=0),"client key not found; ","")&amp;IF(AND(A457="proposed_name",COUNTIF('أسماء مقترحة'!$A$6:$A$505,B457)=0),"proposed_name key not found; ","")&amp;IF(AND(D457="mobile",J457&lt;&gt;"invalid",NOT(OR(AND(LEN(E457&amp;"")=10,LEFT(E457&amp;"",2)="09"),AND(LEN(E457&amp;"")=9,LEFT(E457&amp;"",1)="9")))),"mobile must be 09XXXXXXXX or status invalid; ","")&amp;IF(COUNTIFS($A$6:$A$505,A457,$B$6:$B$505,B457,$E$6:$E$505,E457)&gt;1,"duplicate number for same entity; ",""))))</f>
        <v/>
      </c>
    </row>
    <row r="458" spans="1:14">
      <c r="A458" s="23"/>
      <c r="B458" s="24"/>
      <c r="C458" s="25"/>
      <c r="D458" s="25"/>
      <c r="E458" s="24"/>
      <c r="F458" s="24"/>
      <c r="G458" s="25"/>
      <c r="H458" s="25"/>
      <c r="I458" s="25"/>
      <c r="J458" s="25"/>
      <c r="K458" s="25"/>
      <c r="L458" s="25"/>
      <c r="M458" s="25" t="str">
        <f>IF(AND(A458="",B458="",E458=""),"",IF(OR(A458="",B458="",C458="",D458="",E458="",J458="",AND(A458="client",COUNTIF(الزبائن!$A$6:$A$505,B458)=0),AND(A458="proposed_name",COUNTIF('أسماء مقترحة'!$A$6:$A$505,B458)=0),AND(D458="mobile",J458&lt;&gt;"invalid",NOT(OR(AND(LEN(E458&amp;"")=10,LEFT(E458&amp;"",2)="09"),AND(LEN(E458&amp;"")=9,LEFT(E458&amp;"",1)="9")))),COUNTIFS($A$6:$A$505,A458,$B$6:$B$505,B458,$E$6:$E$505,E458)&gt;1),"REVIEW","READY"))</f>
        <v/>
      </c>
      <c r="N458" s="27" t="str">
        <f>IF(M458="","",IF(M458="READY","",TRIM(IF(A458="","missing entity_type; ","")&amp;IF(B458="","missing entity_key; ","")&amp;IF(C458="","missing contact_order; ","")&amp;IF(D458="","missing contact_type; ","")&amp;IF(E458="","missing number; ","")&amp;IF(J458="","missing status; ","")&amp;IF(AND(A458="client",COUNTIF(الزبائن!$A$6:$A$505,B458)=0),"client key not found; ","")&amp;IF(AND(A458="proposed_name",COUNTIF('أسماء مقترحة'!$A$6:$A$505,B458)=0),"proposed_name key not found; ","")&amp;IF(AND(D458="mobile",J458&lt;&gt;"invalid",NOT(OR(AND(LEN(E458&amp;"")=10,LEFT(E458&amp;"",2)="09"),AND(LEN(E458&amp;"")=9,LEFT(E458&amp;"",1)="9")))),"mobile must be 09XXXXXXXX or status invalid; ","")&amp;IF(COUNTIFS($A$6:$A$505,A458,$B$6:$B$505,B458,$E$6:$E$505,E458)&gt;1,"duplicate number for same entity; ",""))))</f>
        <v/>
      </c>
    </row>
    <row r="459" spans="1:14">
      <c r="A459" s="23"/>
      <c r="B459" s="24"/>
      <c r="C459" s="25"/>
      <c r="D459" s="25"/>
      <c r="E459" s="24"/>
      <c r="F459" s="24"/>
      <c r="G459" s="25"/>
      <c r="H459" s="25"/>
      <c r="I459" s="25"/>
      <c r="J459" s="25"/>
      <c r="K459" s="25"/>
      <c r="L459" s="25"/>
      <c r="M459" s="25" t="str">
        <f>IF(AND(A459="",B459="",E459=""),"",IF(OR(A459="",B459="",C459="",D459="",E459="",J459="",AND(A459="client",COUNTIF(الزبائن!$A$6:$A$505,B459)=0),AND(A459="proposed_name",COUNTIF('أسماء مقترحة'!$A$6:$A$505,B459)=0),AND(D459="mobile",J459&lt;&gt;"invalid",NOT(OR(AND(LEN(E459&amp;"")=10,LEFT(E459&amp;"",2)="09"),AND(LEN(E459&amp;"")=9,LEFT(E459&amp;"",1)="9")))),COUNTIFS($A$6:$A$505,A459,$B$6:$B$505,B459,$E$6:$E$505,E459)&gt;1),"REVIEW","READY"))</f>
        <v/>
      </c>
      <c r="N459" s="27" t="str">
        <f>IF(M459="","",IF(M459="READY","",TRIM(IF(A459="","missing entity_type; ","")&amp;IF(B459="","missing entity_key; ","")&amp;IF(C459="","missing contact_order; ","")&amp;IF(D459="","missing contact_type; ","")&amp;IF(E459="","missing number; ","")&amp;IF(J459="","missing status; ","")&amp;IF(AND(A459="client",COUNTIF(الزبائن!$A$6:$A$505,B459)=0),"client key not found; ","")&amp;IF(AND(A459="proposed_name",COUNTIF('أسماء مقترحة'!$A$6:$A$505,B459)=0),"proposed_name key not found; ","")&amp;IF(AND(D459="mobile",J459&lt;&gt;"invalid",NOT(OR(AND(LEN(E459&amp;"")=10,LEFT(E459&amp;"",2)="09"),AND(LEN(E459&amp;"")=9,LEFT(E459&amp;"",1)="9")))),"mobile must be 09XXXXXXXX or status invalid; ","")&amp;IF(COUNTIFS($A$6:$A$505,A459,$B$6:$B$505,B459,$E$6:$E$505,E459)&gt;1,"duplicate number for same entity; ",""))))</f>
        <v/>
      </c>
    </row>
    <row r="460" spans="1:14">
      <c r="A460" s="23"/>
      <c r="B460" s="24"/>
      <c r="C460" s="25"/>
      <c r="D460" s="25"/>
      <c r="E460" s="24"/>
      <c r="F460" s="24"/>
      <c r="G460" s="25"/>
      <c r="H460" s="25"/>
      <c r="I460" s="25"/>
      <c r="J460" s="25"/>
      <c r="K460" s="25"/>
      <c r="L460" s="25"/>
      <c r="M460" s="25" t="str">
        <f>IF(AND(A460="",B460="",E460=""),"",IF(OR(A460="",B460="",C460="",D460="",E460="",J460="",AND(A460="client",COUNTIF(الزبائن!$A$6:$A$505,B460)=0),AND(A460="proposed_name",COUNTIF('أسماء مقترحة'!$A$6:$A$505,B460)=0),AND(D460="mobile",J460&lt;&gt;"invalid",NOT(OR(AND(LEN(E460&amp;"")=10,LEFT(E460&amp;"",2)="09"),AND(LEN(E460&amp;"")=9,LEFT(E460&amp;"",1)="9")))),COUNTIFS($A$6:$A$505,A460,$B$6:$B$505,B460,$E$6:$E$505,E460)&gt;1),"REVIEW","READY"))</f>
        <v/>
      </c>
      <c r="N460" s="27" t="str">
        <f>IF(M460="","",IF(M460="READY","",TRIM(IF(A460="","missing entity_type; ","")&amp;IF(B460="","missing entity_key; ","")&amp;IF(C460="","missing contact_order; ","")&amp;IF(D460="","missing contact_type; ","")&amp;IF(E460="","missing number; ","")&amp;IF(J460="","missing status; ","")&amp;IF(AND(A460="client",COUNTIF(الزبائن!$A$6:$A$505,B460)=0),"client key not found; ","")&amp;IF(AND(A460="proposed_name",COUNTIF('أسماء مقترحة'!$A$6:$A$505,B460)=0),"proposed_name key not found; ","")&amp;IF(AND(D460="mobile",J460&lt;&gt;"invalid",NOT(OR(AND(LEN(E460&amp;"")=10,LEFT(E460&amp;"",2)="09"),AND(LEN(E460&amp;"")=9,LEFT(E460&amp;"",1)="9")))),"mobile must be 09XXXXXXXX or status invalid; ","")&amp;IF(COUNTIFS($A$6:$A$505,A460,$B$6:$B$505,B460,$E$6:$E$505,E460)&gt;1,"duplicate number for same entity; ",""))))</f>
        <v/>
      </c>
    </row>
    <row r="461" spans="1:14">
      <c r="A461" s="23"/>
      <c r="B461" s="24"/>
      <c r="C461" s="25"/>
      <c r="D461" s="25"/>
      <c r="E461" s="24"/>
      <c r="F461" s="24"/>
      <c r="G461" s="25"/>
      <c r="H461" s="25"/>
      <c r="I461" s="25"/>
      <c r="J461" s="25"/>
      <c r="K461" s="25"/>
      <c r="L461" s="25"/>
      <c r="M461" s="25" t="str">
        <f>IF(AND(A461="",B461="",E461=""),"",IF(OR(A461="",B461="",C461="",D461="",E461="",J461="",AND(A461="client",COUNTIF(الزبائن!$A$6:$A$505,B461)=0),AND(A461="proposed_name",COUNTIF('أسماء مقترحة'!$A$6:$A$505,B461)=0),AND(D461="mobile",J461&lt;&gt;"invalid",NOT(OR(AND(LEN(E461&amp;"")=10,LEFT(E461&amp;"",2)="09"),AND(LEN(E461&amp;"")=9,LEFT(E461&amp;"",1)="9")))),COUNTIFS($A$6:$A$505,A461,$B$6:$B$505,B461,$E$6:$E$505,E461)&gt;1),"REVIEW","READY"))</f>
        <v/>
      </c>
      <c r="N461" s="27" t="str">
        <f>IF(M461="","",IF(M461="READY","",TRIM(IF(A461="","missing entity_type; ","")&amp;IF(B461="","missing entity_key; ","")&amp;IF(C461="","missing contact_order; ","")&amp;IF(D461="","missing contact_type; ","")&amp;IF(E461="","missing number; ","")&amp;IF(J461="","missing status; ","")&amp;IF(AND(A461="client",COUNTIF(الزبائن!$A$6:$A$505,B461)=0),"client key not found; ","")&amp;IF(AND(A461="proposed_name",COUNTIF('أسماء مقترحة'!$A$6:$A$505,B461)=0),"proposed_name key not found; ","")&amp;IF(AND(D461="mobile",J461&lt;&gt;"invalid",NOT(OR(AND(LEN(E461&amp;"")=10,LEFT(E461&amp;"",2)="09"),AND(LEN(E461&amp;"")=9,LEFT(E461&amp;"",1)="9")))),"mobile must be 09XXXXXXXX or status invalid; ","")&amp;IF(COUNTIFS($A$6:$A$505,A461,$B$6:$B$505,B461,$E$6:$E$505,E461)&gt;1,"duplicate number for same entity; ",""))))</f>
        <v/>
      </c>
    </row>
    <row r="462" spans="1:14">
      <c r="A462" s="23"/>
      <c r="B462" s="24"/>
      <c r="C462" s="25"/>
      <c r="D462" s="25"/>
      <c r="E462" s="24"/>
      <c r="F462" s="24"/>
      <c r="G462" s="25"/>
      <c r="H462" s="25"/>
      <c r="I462" s="25"/>
      <c r="J462" s="25"/>
      <c r="K462" s="25"/>
      <c r="L462" s="25"/>
      <c r="M462" s="25" t="str">
        <f>IF(AND(A462="",B462="",E462=""),"",IF(OR(A462="",B462="",C462="",D462="",E462="",J462="",AND(A462="client",COUNTIF(الزبائن!$A$6:$A$505,B462)=0),AND(A462="proposed_name",COUNTIF('أسماء مقترحة'!$A$6:$A$505,B462)=0),AND(D462="mobile",J462&lt;&gt;"invalid",NOT(OR(AND(LEN(E462&amp;"")=10,LEFT(E462&amp;"",2)="09"),AND(LEN(E462&amp;"")=9,LEFT(E462&amp;"",1)="9")))),COUNTIFS($A$6:$A$505,A462,$B$6:$B$505,B462,$E$6:$E$505,E462)&gt;1),"REVIEW","READY"))</f>
        <v/>
      </c>
      <c r="N462" s="27" t="str">
        <f>IF(M462="","",IF(M462="READY","",TRIM(IF(A462="","missing entity_type; ","")&amp;IF(B462="","missing entity_key; ","")&amp;IF(C462="","missing contact_order; ","")&amp;IF(D462="","missing contact_type; ","")&amp;IF(E462="","missing number; ","")&amp;IF(J462="","missing status; ","")&amp;IF(AND(A462="client",COUNTIF(الزبائن!$A$6:$A$505,B462)=0),"client key not found; ","")&amp;IF(AND(A462="proposed_name",COUNTIF('أسماء مقترحة'!$A$6:$A$505,B462)=0),"proposed_name key not found; ","")&amp;IF(AND(D462="mobile",J462&lt;&gt;"invalid",NOT(OR(AND(LEN(E462&amp;"")=10,LEFT(E462&amp;"",2)="09"),AND(LEN(E462&amp;"")=9,LEFT(E462&amp;"",1)="9")))),"mobile must be 09XXXXXXXX or status invalid; ","")&amp;IF(COUNTIFS($A$6:$A$505,A462,$B$6:$B$505,B462,$E$6:$E$505,E462)&gt;1,"duplicate number for same entity; ",""))))</f>
        <v/>
      </c>
    </row>
    <row r="463" spans="1:14">
      <c r="A463" s="23"/>
      <c r="B463" s="24"/>
      <c r="C463" s="25"/>
      <c r="D463" s="25"/>
      <c r="E463" s="24"/>
      <c r="F463" s="24"/>
      <c r="G463" s="25"/>
      <c r="H463" s="25"/>
      <c r="I463" s="25"/>
      <c r="J463" s="25"/>
      <c r="K463" s="25"/>
      <c r="L463" s="25"/>
      <c r="M463" s="25" t="str">
        <f>IF(AND(A463="",B463="",E463=""),"",IF(OR(A463="",B463="",C463="",D463="",E463="",J463="",AND(A463="client",COUNTIF(الزبائن!$A$6:$A$505,B463)=0),AND(A463="proposed_name",COUNTIF('أسماء مقترحة'!$A$6:$A$505,B463)=0),AND(D463="mobile",J463&lt;&gt;"invalid",NOT(OR(AND(LEN(E463&amp;"")=10,LEFT(E463&amp;"",2)="09"),AND(LEN(E463&amp;"")=9,LEFT(E463&amp;"",1)="9")))),COUNTIFS($A$6:$A$505,A463,$B$6:$B$505,B463,$E$6:$E$505,E463)&gt;1),"REVIEW","READY"))</f>
        <v/>
      </c>
      <c r="N463" s="27" t="str">
        <f>IF(M463="","",IF(M463="READY","",TRIM(IF(A463="","missing entity_type; ","")&amp;IF(B463="","missing entity_key; ","")&amp;IF(C463="","missing contact_order; ","")&amp;IF(D463="","missing contact_type; ","")&amp;IF(E463="","missing number; ","")&amp;IF(J463="","missing status; ","")&amp;IF(AND(A463="client",COUNTIF(الزبائن!$A$6:$A$505,B463)=0),"client key not found; ","")&amp;IF(AND(A463="proposed_name",COUNTIF('أسماء مقترحة'!$A$6:$A$505,B463)=0),"proposed_name key not found; ","")&amp;IF(AND(D463="mobile",J463&lt;&gt;"invalid",NOT(OR(AND(LEN(E463&amp;"")=10,LEFT(E463&amp;"",2)="09"),AND(LEN(E463&amp;"")=9,LEFT(E463&amp;"",1)="9")))),"mobile must be 09XXXXXXXX or status invalid; ","")&amp;IF(COUNTIFS($A$6:$A$505,A463,$B$6:$B$505,B463,$E$6:$E$505,E463)&gt;1,"duplicate number for same entity; ",""))))</f>
        <v/>
      </c>
    </row>
    <row r="464" spans="1:14">
      <c r="A464" s="23"/>
      <c r="B464" s="24"/>
      <c r="C464" s="25"/>
      <c r="D464" s="25"/>
      <c r="E464" s="24"/>
      <c r="F464" s="24"/>
      <c r="G464" s="25"/>
      <c r="H464" s="25"/>
      <c r="I464" s="25"/>
      <c r="J464" s="25"/>
      <c r="K464" s="25"/>
      <c r="L464" s="25"/>
      <c r="M464" s="25" t="str">
        <f>IF(AND(A464="",B464="",E464=""),"",IF(OR(A464="",B464="",C464="",D464="",E464="",J464="",AND(A464="client",COUNTIF(الزبائن!$A$6:$A$505,B464)=0),AND(A464="proposed_name",COUNTIF('أسماء مقترحة'!$A$6:$A$505,B464)=0),AND(D464="mobile",J464&lt;&gt;"invalid",NOT(OR(AND(LEN(E464&amp;"")=10,LEFT(E464&amp;"",2)="09"),AND(LEN(E464&amp;"")=9,LEFT(E464&amp;"",1)="9")))),COUNTIFS($A$6:$A$505,A464,$B$6:$B$505,B464,$E$6:$E$505,E464)&gt;1),"REVIEW","READY"))</f>
        <v/>
      </c>
      <c r="N464" s="27" t="str">
        <f>IF(M464="","",IF(M464="READY","",TRIM(IF(A464="","missing entity_type; ","")&amp;IF(B464="","missing entity_key; ","")&amp;IF(C464="","missing contact_order; ","")&amp;IF(D464="","missing contact_type; ","")&amp;IF(E464="","missing number; ","")&amp;IF(J464="","missing status; ","")&amp;IF(AND(A464="client",COUNTIF(الزبائن!$A$6:$A$505,B464)=0),"client key not found; ","")&amp;IF(AND(A464="proposed_name",COUNTIF('أسماء مقترحة'!$A$6:$A$505,B464)=0),"proposed_name key not found; ","")&amp;IF(AND(D464="mobile",J464&lt;&gt;"invalid",NOT(OR(AND(LEN(E464&amp;"")=10,LEFT(E464&amp;"",2)="09"),AND(LEN(E464&amp;"")=9,LEFT(E464&amp;"",1)="9")))),"mobile must be 09XXXXXXXX or status invalid; ","")&amp;IF(COUNTIFS($A$6:$A$505,A464,$B$6:$B$505,B464,$E$6:$E$505,E464)&gt;1,"duplicate number for same entity; ",""))))</f>
        <v/>
      </c>
    </row>
    <row r="465" spans="1:14">
      <c r="A465" s="23"/>
      <c r="B465" s="24"/>
      <c r="C465" s="25"/>
      <c r="D465" s="25"/>
      <c r="E465" s="24"/>
      <c r="F465" s="24"/>
      <c r="G465" s="25"/>
      <c r="H465" s="25"/>
      <c r="I465" s="25"/>
      <c r="J465" s="25"/>
      <c r="K465" s="25"/>
      <c r="L465" s="25"/>
      <c r="M465" s="25" t="str">
        <f>IF(AND(A465="",B465="",E465=""),"",IF(OR(A465="",B465="",C465="",D465="",E465="",J465="",AND(A465="client",COUNTIF(الزبائن!$A$6:$A$505,B465)=0),AND(A465="proposed_name",COUNTIF('أسماء مقترحة'!$A$6:$A$505,B465)=0),AND(D465="mobile",J465&lt;&gt;"invalid",NOT(OR(AND(LEN(E465&amp;"")=10,LEFT(E465&amp;"",2)="09"),AND(LEN(E465&amp;"")=9,LEFT(E465&amp;"",1)="9")))),COUNTIFS($A$6:$A$505,A465,$B$6:$B$505,B465,$E$6:$E$505,E465)&gt;1),"REVIEW","READY"))</f>
        <v/>
      </c>
      <c r="N465" s="27" t="str">
        <f>IF(M465="","",IF(M465="READY","",TRIM(IF(A465="","missing entity_type; ","")&amp;IF(B465="","missing entity_key; ","")&amp;IF(C465="","missing contact_order; ","")&amp;IF(D465="","missing contact_type; ","")&amp;IF(E465="","missing number; ","")&amp;IF(J465="","missing status; ","")&amp;IF(AND(A465="client",COUNTIF(الزبائن!$A$6:$A$505,B465)=0),"client key not found; ","")&amp;IF(AND(A465="proposed_name",COUNTIF('أسماء مقترحة'!$A$6:$A$505,B465)=0),"proposed_name key not found; ","")&amp;IF(AND(D465="mobile",J465&lt;&gt;"invalid",NOT(OR(AND(LEN(E465&amp;"")=10,LEFT(E465&amp;"",2)="09"),AND(LEN(E465&amp;"")=9,LEFT(E465&amp;"",1)="9")))),"mobile must be 09XXXXXXXX or status invalid; ","")&amp;IF(COUNTIFS($A$6:$A$505,A465,$B$6:$B$505,B465,$E$6:$E$505,E465)&gt;1,"duplicate number for same entity; ",""))))</f>
        <v/>
      </c>
    </row>
    <row r="466" spans="1:14">
      <c r="A466" s="23"/>
      <c r="B466" s="24"/>
      <c r="C466" s="25"/>
      <c r="D466" s="25"/>
      <c r="E466" s="24"/>
      <c r="F466" s="24"/>
      <c r="G466" s="25"/>
      <c r="H466" s="25"/>
      <c r="I466" s="25"/>
      <c r="J466" s="25"/>
      <c r="K466" s="25"/>
      <c r="L466" s="25"/>
      <c r="M466" s="25" t="str">
        <f>IF(AND(A466="",B466="",E466=""),"",IF(OR(A466="",B466="",C466="",D466="",E466="",J466="",AND(A466="client",COUNTIF(الزبائن!$A$6:$A$505,B466)=0),AND(A466="proposed_name",COUNTIF('أسماء مقترحة'!$A$6:$A$505,B466)=0),AND(D466="mobile",J466&lt;&gt;"invalid",NOT(OR(AND(LEN(E466&amp;"")=10,LEFT(E466&amp;"",2)="09"),AND(LEN(E466&amp;"")=9,LEFT(E466&amp;"",1)="9")))),COUNTIFS($A$6:$A$505,A466,$B$6:$B$505,B466,$E$6:$E$505,E466)&gt;1),"REVIEW","READY"))</f>
        <v/>
      </c>
      <c r="N466" s="27" t="str">
        <f>IF(M466="","",IF(M466="READY","",TRIM(IF(A466="","missing entity_type; ","")&amp;IF(B466="","missing entity_key; ","")&amp;IF(C466="","missing contact_order; ","")&amp;IF(D466="","missing contact_type; ","")&amp;IF(E466="","missing number; ","")&amp;IF(J466="","missing status; ","")&amp;IF(AND(A466="client",COUNTIF(الزبائن!$A$6:$A$505,B466)=0),"client key not found; ","")&amp;IF(AND(A466="proposed_name",COUNTIF('أسماء مقترحة'!$A$6:$A$505,B466)=0),"proposed_name key not found; ","")&amp;IF(AND(D466="mobile",J466&lt;&gt;"invalid",NOT(OR(AND(LEN(E466&amp;"")=10,LEFT(E466&amp;"",2)="09"),AND(LEN(E466&amp;"")=9,LEFT(E466&amp;"",1)="9")))),"mobile must be 09XXXXXXXX or status invalid; ","")&amp;IF(COUNTIFS($A$6:$A$505,A466,$B$6:$B$505,B466,$E$6:$E$505,E466)&gt;1,"duplicate number for same entity; ",""))))</f>
        <v/>
      </c>
    </row>
    <row r="467" spans="1:14">
      <c r="A467" s="23"/>
      <c r="B467" s="24"/>
      <c r="C467" s="25"/>
      <c r="D467" s="25"/>
      <c r="E467" s="24"/>
      <c r="F467" s="24"/>
      <c r="G467" s="25"/>
      <c r="H467" s="25"/>
      <c r="I467" s="25"/>
      <c r="J467" s="25"/>
      <c r="K467" s="25"/>
      <c r="L467" s="25"/>
      <c r="M467" s="25" t="str">
        <f>IF(AND(A467="",B467="",E467=""),"",IF(OR(A467="",B467="",C467="",D467="",E467="",J467="",AND(A467="client",COUNTIF(الزبائن!$A$6:$A$505,B467)=0),AND(A467="proposed_name",COUNTIF('أسماء مقترحة'!$A$6:$A$505,B467)=0),AND(D467="mobile",J467&lt;&gt;"invalid",NOT(OR(AND(LEN(E467&amp;"")=10,LEFT(E467&amp;"",2)="09"),AND(LEN(E467&amp;"")=9,LEFT(E467&amp;"",1)="9")))),COUNTIFS($A$6:$A$505,A467,$B$6:$B$505,B467,$E$6:$E$505,E467)&gt;1),"REVIEW","READY"))</f>
        <v/>
      </c>
      <c r="N467" s="27" t="str">
        <f>IF(M467="","",IF(M467="READY","",TRIM(IF(A467="","missing entity_type; ","")&amp;IF(B467="","missing entity_key; ","")&amp;IF(C467="","missing contact_order; ","")&amp;IF(D467="","missing contact_type; ","")&amp;IF(E467="","missing number; ","")&amp;IF(J467="","missing status; ","")&amp;IF(AND(A467="client",COUNTIF(الزبائن!$A$6:$A$505,B467)=0),"client key not found; ","")&amp;IF(AND(A467="proposed_name",COUNTIF('أسماء مقترحة'!$A$6:$A$505,B467)=0),"proposed_name key not found; ","")&amp;IF(AND(D467="mobile",J467&lt;&gt;"invalid",NOT(OR(AND(LEN(E467&amp;"")=10,LEFT(E467&amp;"",2)="09"),AND(LEN(E467&amp;"")=9,LEFT(E467&amp;"",1)="9")))),"mobile must be 09XXXXXXXX or status invalid; ","")&amp;IF(COUNTIFS($A$6:$A$505,A467,$B$6:$B$505,B467,$E$6:$E$505,E467)&gt;1,"duplicate number for same entity; ",""))))</f>
        <v/>
      </c>
    </row>
    <row r="468" spans="1:14">
      <c r="A468" s="23"/>
      <c r="B468" s="24"/>
      <c r="C468" s="25"/>
      <c r="D468" s="25"/>
      <c r="E468" s="24"/>
      <c r="F468" s="24"/>
      <c r="G468" s="25"/>
      <c r="H468" s="25"/>
      <c r="I468" s="25"/>
      <c r="J468" s="25"/>
      <c r="K468" s="25"/>
      <c r="L468" s="25"/>
      <c r="M468" s="25" t="str">
        <f>IF(AND(A468="",B468="",E468=""),"",IF(OR(A468="",B468="",C468="",D468="",E468="",J468="",AND(A468="client",COUNTIF(الزبائن!$A$6:$A$505,B468)=0),AND(A468="proposed_name",COUNTIF('أسماء مقترحة'!$A$6:$A$505,B468)=0),AND(D468="mobile",J468&lt;&gt;"invalid",NOT(OR(AND(LEN(E468&amp;"")=10,LEFT(E468&amp;"",2)="09"),AND(LEN(E468&amp;"")=9,LEFT(E468&amp;"",1)="9")))),COUNTIFS($A$6:$A$505,A468,$B$6:$B$505,B468,$E$6:$E$505,E468)&gt;1),"REVIEW","READY"))</f>
        <v/>
      </c>
      <c r="N468" s="27" t="str">
        <f>IF(M468="","",IF(M468="READY","",TRIM(IF(A468="","missing entity_type; ","")&amp;IF(B468="","missing entity_key; ","")&amp;IF(C468="","missing contact_order; ","")&amp;IF(D468="","missing contact_type; ","")&amp;IF(E468="","missing number; ","")&amp;IF(J468="","missing status; ","")&amp;IF(AND(A468="client",COUNTIF(الزبائن!$A$6:$A$505,B468)=0),"client key not found; ","")&amp;IF(AND(A468="proposed_name",COUNTIF('أسماء مقترحة'!$A$6:$A$505,B468)=0),"proposed_name key not found; ","")&amp;IF(AND(D468="mobile",J468&lt;&gt;"invalid",NOT(OR(AND(LEN(E468&amp;"")=10,LEFT(E468&amp;"",2)="09"),AND(LEN(E468&amp;"")=9,LEFT(E468&amp;"",1)="9")))),"mobile must be 09XXXXXXXX or status invalid; ","")&amp;IF(COUNTIFS($A$6:$A$505,A468,$B$6:$B$505,B468,$E$6:$E$505,E468)&gt;1,"duplicate number for same entity; ",""))))</f>
        <v/>
      </c>
    </row>
    <row r="469" spans="1:14">
      <c r="A469" s="23"/>
      <c r="B469" s="24"/>
      <c r="C469" s="25"/>
      <c r="D469" s="25"/>
      <c r="E469" s="24"/>
      <c r="F469" s="24"/>
      <c r="G469" s="25"/>
      <c r="H469" s="25"/>
      <c r="I469" s="25"/>
      <c r="J469" s="25"/>
      <c r="K469" s="25"/>
      <c r="L469" s="25"/>
      <c r="M469" s="25" t="str">
        <f>IF(AND(A469="",B469="",E469=""),"",IF(OR(A469="",B469="",C469="",D469="",E469="",J469="",AND(A469="client",COUNTIF(الزبائن!$A$6:$A$505,B469)=0),AND(A469="proposed_name",COUNTIF('أسماء مقترحة'!$A$6:$A$505,B469)=0),AND(D469="mobile",J469&lt;&gt;"invalid",NOT(OR(AND(LEN(E469&amp;"")=10,LEFT(E469&amp;"",2)="09"),AND(LEN(E469&amp;"")=9,LEFT(E469&amp;"",1)="9")))),COUNTIFS($A$6:$A$505,A469,$B$6:$B$505,B469,$E$6:$E$505,E469)&gt;1),"REVIEW","READY"))</f>
        <v/>
      </c>
      <c r="N469" s="27" t="str">
        <f>IF(M469="","",IF(M469="READY","",TRIM(IF(A469="","missing entity_type; ","")&amp;IF(B469="","missing entity_key; ","")&amp;IF(C469="","missing contact_order; ","")&amp;IF(D469="","missing contact_type; ","")&amp;IF(E469="","missing number; ","")&amp;IF(J469="","missing status; ","")&amp;IF(AND(A469="client",COUNTIF(الزبائن!$A$6:$A$505,B469)=0),"client key not found; ","")&amp;IF(AND(A469="proposed_name",COUNTIF('أسماء مقترحة'!$A$6:$A$505,B469)=0),"proposed_name key not found; ","")&amp;IF(AND(D469="mobile",J469&lt;&gt;"invalid",NOT(OR(AND(LEN(E469&amp;"")=10,LEFT(E469&amp;"",2)="09"),AND(LEN(E469&amp;"")=9,LEFT(E469&amp;"",1)="9")))),"mobile must be 09XXXXXXXX or status invalid; ","")&amp;IF(COUNTIFS($A$6:$A$505,A469,$B$6:$B$505,B469,$E$6:$E$505,E469)&gt;1,"duplicate number for same entity; ",""))))</f>
        <v/>
      </c>
    </row>
    <row r="470" spans="1:14">
      <c r="A470" s="23"/>
      <c r="B470" s="24"/>
      <c r="C470" s="25"/>
      <c r="D470" s="25"/>
      <c r="E470" s="24"/>
      <c r="F470" s="24"/>
      <c r="G470" s="25"/>
      <c r="H470" s="25"/>
      <c r="I470" s="25"/>
      <c r="J470" s="25"/>
      <c r="K470" s="25"/>
      <c r="L470" s="25"/>
      <c r="M470" s="25" t="str">
        <f>IF(AND(A470="",B470="",E470=""),"",IF(OR(A470="",B470="",C470="",D470="",E470="",J470="",AND(A470="client",COUNTIF(الزبائن!$A$6:$A$505,B470)=0),AND(A470="proposed_name",COUNTIF('أسماء مقترحة'!$A$6:$A$505,B470)=0),AND(D470="mobile",J470&lt;&gt;"invalid",NOT(OR(AND(LEN(E470&amp;"")=10,LEFT(E470&amp;"",2)="09"),AND(LEN(E470&amp;"")=9,LEFT(E470&amp;"",1)="9")))),COUNTIFS($A$6:$A$505,A470,$B$6:$B$505,B470,$E$6:$E$505,E470)&gt;1),"REVIEW","READY"))</f>
        <v/>
      </c>
      <c r="N470" s="27" t="str">
        <f>IF(M470="","",IF(M470="READY","",TRIM(IF(A470="","missing entity_type; ","")&amp;IF(B470="","missing entity_key; ","")&amp;IF(C470="","missing contact_order; ","")&amp;IF(D470="","missing contact_type; ","")&amp;IF(E470="","missing number; ","")&amp;IF(J470="","missing status; ","")&amp;IF(AND(A470="client",COUNTIF(الزبائن!$A$6:$A$505,B470)=0),"client key not found; ","")&amp;IF(AND(A470="proposed_name",COUNTIF('أسماء مقترحة'!$A$6:$A$505,B470)=0),"proposed_name key not found; ","")&amp;IF(AND(D470="mobile",J470&lt;&gt;"invalid",NOT(OR(AND(LEN(E470&amp;"")=10,LEFT(E470&amp;"",2)="09"),AND(LEN(E470&amp;"")=9,LEFT(E470&amp;"",1)="9")))),"mobile must be 09XXXXXXXX or status invalid; ","")&amp;IF(COUNTIFS($A$6:$A$505,A470,$B$6:$B$505,B470,$E$6:$E$505,E470)&gt;1,"duplicate number for same entity; ",""))))</f>
        <v/>
      </c>
    </row>
    <row r="471" spans="1:14">
      <c r="A471" s="23"/>
      <c r="B471" s="24"/>
      <c r="C471" s="25"/>
      <c r="D471" s="25"/>
      <c r="E471" s="24"/>
      <c r="F471" s="24"/>
      <c r="G471" s="25"/>
      <c r="H471" s="25"/>
      <c r="I471" s="25"/>
      <c r="J471" s="25"/>
      <c r="K471" s="25"/>
      <c r="L471" s="25"/>
      <c r="M471" s="25" t="str">
        <f>IF(AND(A471="",B471="",E471=""),"",IF(OR(A471="",B471="",C471="",D471="",E471="",J471="",AND(A471="client",COUNTIF(الزبائن!$A$6:$A$505,B471)=0),AND(A471="proposed_name",COUNTIF('أسماء مقترحة'!$A$6:$A$505,B471)=0),AND(D471="mobile",J471&lt;&gt;"invalid",NOT(OR(AND(LEN(E471&amp;"")=10,LEFT(E471&amp;"",2)="09"),AND(LEN(E471&amp;"")=9,LEFT(E471&amp;"",1)="9")))),COUNTIFS($A$6:$A$505,A471,$B$6:$B$505,B471,$E$6:$E$505,E471)&gt;1),"REVIEW","READY"))</f>
        <v/>
      </c>
      <c r="N471" s="27" t="str">
        <f>IF(M471="","",IF(M471="READY","",TRIM(IF(A471="","missing entity_type; ","")&amp;IF(B471="","missing entity_key; ","")&amp;IF(C471="","missing contact_order; ","")&amp;IF(D471="","missing contact_type; ","")&amp;IF(E471="","missing number; ","")&amp;IF(J471="","missing status; ","")&amp;IF(AND(A471="client",COUNTIF(الزبائن!$A$6:$A$505,B471)=0),"client key not found; ","")&amp;IF(AND(A471="proposed_name",COUNTIF('أسماء مقترحة'!$A$6:$A$505,B471)=0),"proposed_name key not found; ","")&amp;IF(AND(D471="mobile",J471&lt;&gt;"invalid",NOT(OR(AND(LEN(E471&amp;"")=10,LEFT(E471&amp;"",2)="09"),AND(LEN(E471&amp;"")=9,LEFT(E471&amp;"",1)="9")))),"mobile must be 09XXXXXXXX or status invalid; ","")&amp;IF(COUNTIFS($A$6:$A$505,A471,$B$6:$B$505,B471,$E$6:$E$505,E471)&gt;1,"duplicate number for same entity; ",""))))</f>
        <v/>
      </c>
    </row>
    <row r="472" spans="1:14">
      <c r="A472" s="23"/>
      <c r="B472" s="24"/>
      <c r="C472" s="25"/>
      <c r="D472" s="25"/>
      <c r="E472" s="24"/>
      <c r="F472" s="24"/>
      <c r="G472" s="25"/>
      <c r="H472" s="25"/>
      <c r="I472" s="25"/>
      <c r="J472" s="25"/>
      <c r="K472" s="25"/>
      <c r="L472" s="25"/>
      <c r="M472" s="25" t="str">
        <f>IF(AND(A472="",B472="",E472=""),"",IF(OR(A472="",B472="",C472="",D472="",E472="",J472="",AND(A472="client",COUNTIF(الزبائن!$A$6:$A$505,B472)=0),AND(A472="proposed_name",COUNTIF('أسماء مقترحة'!$A$6:$A$505,B472)=0),AND(D472="mobile",J472&lt;&gt;"invalid",NOT(OR(AND(LEN(E472&amp;"")=10,LEFT(E472&amp;"",2)="09"),AND(LEN(E472&amp;"")=9,LEFT(E472&amp;"",1)="9")))),COUNTIFS($A$6:$A$505,A472,$B$6:$B$505,B472,$E$6:$E$505,E472)&gt;1),"REVIEW","READY"))</f>
        <v/>
      </c>
      <c r="N472" s="27" t="str">
        <f>IF(M472="","",IF(M472="READY","",TRIM(IF(A472="","missing entity_type; ","")&amp;IF(B472="","missing entity_key; ","")&amp;IF(C472="","missing contact_order; ","")&amp;IF(D472="","missing contact_type; ","")&amp;IF(E472="","missing number; ","")&amp;IF(J472="","missing status; ","")&amp;IF(AND(A472="client",COUNTIF(الزبائن!$A$6:$A$505,B472)=0),"client key not found; ","")&amp;IF(AND(A472="proposed_name",COUNTIF('أسماء مقترحة'!$A$6:$A$505,B472)=0),"proposed_name key not found; ","")&amp;IF(AND(D472="mobile",J472&lt;&gt;"invalid",NOT(OR(AND(LEN(E472&amp;"")=10,LEFT(E472&amp;"",2)="09"),AND(LEN(E472&amp;"")=9,LEFT(E472&amp;"",1)="9")))),"mobile must be 09XXXXXXXX or status invalid; ","")&amp;IF(COUNTIFS($A$6:$A$505,A472,$B$6:$B$505,B472,$E$6:$E$505,E472)&gt;1,"duplicate number for same entity; ",""))))</f>
        <v/>
      </c>
    </row>
    <row r="473" spans="1:14">
      <c r="A473" s="23"/>
      <c r="B473" s="24"/>
      <c r="C473" s="25"/>
      <c r="D473" s="25"/>
      <c r="E473" s="24"/>
      <c r="F473" s="24"/>
      <c r="G473" s="25"/>
      <c r="H473" s="25"/>
      <c r="I473" s="25"/>
      <c r="J473" s="25"/>
      <c r="K473" s="25"/>
      <c r="L473" s="25"/>
      <c r="M473" s="25" t="str">
        <f>IF(AND(A473="",B473="",E473=""),"",IF(OR(A473="",B473="",C473="",D473="",E473="",J473="",AND(A473="client",COUNTIF(الزبائن!$A$6:$A$505,B473)=0),AND(A473="proposed_name",COUNTIF('أسماء مقترحة'!$A$6:$A$505,B473)=0),AND(D473="mobile",J473&lt;&gt;"invalid",NOT(OR(AND(LEN(E473&amp;"")=10,LEFT(E473&amp;"",2)="09"),AND(LEN(E473&amp;"")=9,LEFT(E473&amp;"",1)="9")))),COUNTIFS($A$6:$A$505,A473,$B$6:$B$505,B473,$E$6:$E$505,E473)&gt;1),"REVIEW","READY"))</f>
        <v/>
      </c>
      <c r="N473" s="27" t="str">
        <f>IF(M473="","",IF(M473="READY","",TRIM(IF(A473="","missing entity_type; ","")&amp;IF(B473="","missing entity_key; ","")&amp;IF(C473="","missing contact_order; ","")&amp;IF(D473="","missing contact_type; ","")&amp;IF(E473="","missing number; ","")&amp;IF(J473="","missing status; ","")&amp;IF(AND(A473="client",COUNTIF(الزبائن!$A$6:$A$505,B473)=0),"client key not found; ","")&amp;IF(AND(A473="proposed_name",COUNTIF('أسماء مقترحة'!$A$6:$A$505,B473)=0),"proposed_name key not found; ","")&amp;IF(AND(D473="mobile",J473&lt;&gt;"invalid",NOT(OR(AND(LEN(E473&amp;"")=10,LEFT(E473&amp;"",2)="09"),AND(LEN(E473&amp;"")=9,LEFT(E473&amp;"",1)="9")))),"mobile must be 09XXXXXXXX or status invalid; ","")&amp;IF(COUNTIFS($A$6:$A$505,A473,$B$6:$B$505,B473,$E$6:$E$505,E473)&gt;1,"duplicate number for same entity; ",""))))</f>
        <v/>
      </c>
    </row>
    <row r="474" spans="1:14">
      <c r="A474" s="23"/>
      <c r="B474" s="24"/>
      <c r="C474" s="25"/>
      <c r="D474" s="25"/>
      <c r="E474" s="24"/>
      <c r="F474" s="24"/>
      <c r="G474" s="25"/>
      <c r="H474" s="25"/>
      <c r="I474" s="25"/>
      <c r="J474" s="25"/>
      <c r="K474" s="25"/>
      <c r="L474" s="25"/>
      <c r="M474" s="25" t="str">
        <f>IF(AND(A474="",B474="",E474=""),"",IF(OR(A474="",B474="",C474="",D474="",E474="",J474="",AND(A474="client",COUNTIF(الزبائن!$A$6:$A$505,B474)=0),AND(A474="proposed_name",COUNTIF('أسماء مقترحة'!$A$6:$A$505,B474)=0),AND(D474="mobile",J474&lt;&gt;"invalid",NOT(OR(AND(LEN(E474&amp;"")=10,LEFT(E474&amp;"",2)="09"),AND(LEN(E474&amp;"")=9,LEFT(E474&amp;"",1)="9")))),COUNTIFS($A$6:$A$505,A474,$B$6:$B$505,B474,$E$6:$E$505,E474)&gt;1),"REVIEW","READY"))</f>
        <v/>
      </c>
      <c r="N474" s="27" t="str">
        <f>IF(M474="","",IF(M474="READY","",TRIM(IF(A474="","missing entity_type; ","")&amp;IF(B474="","missing entity_key; ","")&amp;IF(C474="","missing contact_order; ","")&amp;IF(D474="","missing contact_type; ","")&amp;IF(E474="","missing number; ","")&amp;IF(J474="","missing status; ","")&amp;IF(AND(A474="client",COUNTIF(الزبائن!$A$6:$A$505,B474)=0),"client key not found; ","")&amp;IF(AND(A474="proposed_name",COUNTIF('أسماء مقترحة'!$A$6:$A$505,B474)=0),"proposed_name key not found; ","")&amp;IF(AND(D474="mobile",J474&lt;&gt;"invalid",NOT(OR(AND(LEN(E474&amp;"")=10,LEFT(E474&amp;"",2)="09"),AND(LEN(E474&amp;"")=9,LEFT(E474&amp;"",1)="9")))),"mobile must be 09XXXXXXXX or status invalid; ","")&amp;IF(COUNTIFS($A$6:$A$505,A474,$B$6:$B$505,B474,$E$6:$E$505,E474)&gt;1,"duplicate number for same entity; ",""))))</f>
        <v/>
      </c>
    </row>
    <row r="475" spans="1:14">
      <c r="A475" s="23"/>
      <c r="B475" s="24"/>
      <c r="C475" s="25"/>
      <c r="D475" s="25"/>
      <c r="E475" s="24"/>
      <c r="F475" s="24"/>
      <c r="G475" s="25"/>
      <c r="H475" s="25"/>
      <c r="I475" s="25"/>
      <c r="J475" s="25"/>
      <c r="K475" s="25"/>
      <c r="L475" s="25"/>
      <c r="M475" s="25" t="str">
        <f>IF(AND(A475="",B475="",E475=""),"",IF(OR(A475="",B475="",C475="",D475="",E475="",J475="",AND(A475="client",COUNTIF(الزبائن!$A$6:$A$505,B475)=0),AND(A475="proposed_name",COUNTIF('أسماء مقترحة'!$A$6:$A$505,B475)=0),AND(D475="mobile",J475&lt;&gt;"invalid",NOT(OR(AND(LEN(E475&amp;"")=10,LEFT(E475&amp;"",2)="09"),AND(LEN(E475&amp;"")=9,LEFT(E475&amp;"",1)="9")))),COUNTIFS($A$6:$A$505,A475,$B$6:$B$505,B475,$E$6:$E$505,E475)&gt;1),"REVIEW","READY"))</f>
        <v/>
      </c>
      <c r="N475" s="27" t="str">
        <f>IF(M475="","",IF(M475="READY","",TRIM(IF(A475="","missing entity_type; ","")&amp;IF(B475="","missing entity_key; ","")&amp;IF(C475="","missing contact_order; ","")&amp;IF(D475="","missing contact_type; ","")&amp;IF(E475="","missing number; ","")&amp;IF(J475="","missing status; ","")&amp;IF(AND(A475="client",COUNTIF(الزبائن!$A$6:$A$505,B475)=0),"client key not found; ","")&amp;IF(AND(A475="proposed_name",COUNTIF('أسماء مقترحة'!$A$6:$A$505,B475)=0),"proposed_name key not found; ","")&amp;IF(AND(D475="mobile",J475&lt;&gt;"invalid",NOT(OR(AND(LEN(E475&amp;"")=10,LEFT(E475&amp;"",2)="09"),AND(LEN(E475&amp;"")=9,LEFT(E475&amp;"",1)="9")))),"mobile must be 09XXXXXXXX or status invalid; ","")&amp;IF(COUNTIFS($A$6:$A$505,A475,$B$6:$B$505,B475,$E$6:$E$505,E475)&gt;1,"duplicate number for same entity; ",""))))</f>
        <v/>
      </c>
    </row>
    <row r="476" spans="1:14">
      <c r="A476" s="23"/>
      <c r="B476" s="24"/>
      <c r="C476" s="25"/>
      <c r="D476" s="25"/>
      <c r="E476" s="24"/>
      <c r="F476" s="24"/>
      <c r="G476" s="25"/>
      <c r="H476" s="25"/>
      <c r="I476" s="25"/>
      <c r="J476" s="25"/>
      <c r="K476" s="25"/>
      <c r="L476" s="25"/>
      <c r="M476" s="25" t="str">
        <f>IF(AND(A476="",B476="",E476=""),"",IF(OR(A476="",B476="",C476="",D476="",E476="",J476="",AND(A476="client",COUNTIF(الزبائن!$A$6:$A$505,B476)=0),AND(A476="proposed_name",COUNTIF('أسماء مقترحة'!$A$6:$A$505,B476)=0),AND(D476="mobile",J476&lt;&gt;"invalid",NOT(OR(AND(LEN(E476&amp;"")=10,LEFT(E476&amp;"",2)="09"),AND(LEN(E476&amp;"")=9,LEFT(E476&amp;"",1)="9")))),COUNTIFS($A$6:$A$505,A476,$B$6:$B$505,B476,$E$6:$E$505,E476)&gt;1),"REVIEW","READY"))</f>
        <v/>
      </c>
      <c r="N476" s="27" t="str">
        <f>IF(M476="","",IF(M476="READY","",TRIM(IF(A476="","missing entity_type; ","")&amp;IF(B476="","missing entity_key; ","")&amp;IF(C476="","missing contact_order; ","")&amp;IF(D476="","missing contact_type; ","")&amp;IF(E476="","missing number; ","")&amp;IF(J476="","missing status; ","")&amp;IF(AND(A476="client",COUNTIF(الزبائن!$A$6:$A$505,B476)=0),"client key not found; ","")&amp;IF(AND(A476="proposed_name",COUNTIF('أسماء مقترحة'!$A$6:$A$505,B476)=0),"proposed_name key not found; ","")&amp;IF(AND(D476="mobile",J476&lt;&gt;"invalid",NOT(OR(AND(LEN(E476&amp;"")=10,LEFT(E476&amp;"",2)="09"),AND(LEN(E476&amp;"")=9,LEFT(E476&amp;"",1)="9")))),"mobile must be 09XXXXXXXX or status invalid; ","")&amp;IF(COUNTIFS($A$6:$A$505,A476,$B$6:$B$505,B476,$E$6:$E$505,E476)&gt;1,"duplicate number for same entity; ",""))))</f>
        <v/>
      </c>
    </row>
    <row r="477" spans="1:14">
      <c r="A477" s="23"/>
      <c r="B477" s="24"/>
      <c r="C477" s="25"/>
      <c r="D477" s="25"/>
      <c r="E477" s="24"/>
      <c r="F477" s="24"/>
      <c r="G477" s="25"/>
      <c r="H477" s="25"/>
      <c r="I477" s="25"/>
      <c r="J477" s="25"/>
      <c r="K477" s="25"/>
      <c r="L477" s="25"/>
      <c r="M477" s="25" t="str">
        <f>IF(AND(A477="",B477="",E477=""),"",IF(OR(A477="",B477="",C477="",D477="",E477="",J477="",AND(A477="client",COUNTIF(الزبائن!$A$6:$A$505,B477)=0),AND(A477="proposed_name",COUNTIF('أسماء مقترحة'!$A$6:$A$505,B477)=0),AND(D477="mobile",J477&lt;&gt;"invalid",NOT(OR(AND(LEN(E477&amp;"")=10,LEFT(E477&amp;"",2)="09"),AND(LEN(E477&amp;"")=9,LEFT(E477&amp;"",1)="9")))),COUNTIFS($A$6:$A$505,A477,$B$6:$B$505,B477,$E$6:$E$505,E477)&gt;1),"REVIEW","READY"))</f>
        <v/>
      </c>
      <c r="N477" s="27" t="str">
        <f>IF(M477="","",IF(M477="READY","",TRIM(IF(A477="","missing entity_type; ","")&amp;IF(B477="","missing entity_key; ","")&amp;IF(C477="","missing contact_order; ","")&amp;IF(D477="","missing contact_type; ","")&amp;IF(E477="","missing number; ","")&amp;IF(J477="","missing status; ","")&amp;IF(AND(A477="client",COUNTIF(الزبائن!$A$6:$A$505,B477)=0),"client key not found; ","")&amp;IF(AND(A477="proposed_name",COUNTIF('أسماء مقترحة'!$A$6:$A$505,B477)=0),"proposed_name key not found; ","")&amp;IF(AND(D477="mobile",J477&lt;&gt;"invalid",NOT(OR(AND(LEN(E477&amp;"")=10,LEFT(E477&amp;"",2)="09"),AND(LEN(E477&amp;"")=9,LEFT(E477&amp;"",1)="9")))),"mobile must be 09XXXXXXXX or status invalid; ","")&amp;IF(COUNTIFS($A$6:$A$505,A477,$B$6:$B$505,B477,$E$6:$E$505,E477)&gt;1,"duplicate number for same entity; ",""))))</f>
        <v/>
      </c>
    </row>
    <row r="478" spans="1:14">
      <c r="A478" s="23"/>
      <c r="B478" s="24"/>
      <c r="C478" s="25"/>
      <c r="D478" s="25"/>
      <c r="E478" s="24"/>
      <c r="F478" s="24"/>
      <c r="G478" s="25"/>
      <c r="H478" s="25"/>
      <c r="I478" s="25"/>
      <c r="J478" s="25"/>
      <c r="K478" s="25"/>
      <c r="L478" s="25"/>
      <c r="M478" s="25" t="str">
        <f>IF(AND(A478="",B478="",E478=""),"",IF(OR(A478="",B478="",C478="",D478="",E478="",J478="",AND(A478="client",COUNTIF(الزبائن!$A$6:$A$505,B478)=0),AND(A478="proposed_name",COUNTIF('أسماء مقترحة'!$A$6:$A$505,B478)=0),AND(D478="mobile",J478&lt;&gt;"invalid",NOT(OR(AND(LEN(E478&amp;"")=10,LEFT(E478&amp;"",2)="09"),AND(LEN(E478&amp;"")=9,LEFT(E478&amp;"",1)="9")))),COUNTIFS($A$6:$A$505,A478,$B$6:$B$505,B478,$E$6:$E$505,E478)&gt;1),"REVIEW","READY"))</f>
        <v/>
      </c>
      <c r="N478" s="27" t="str">
        <f>IF(M478="","",IF(M478="READY","",TRIM(IF(A478="","missing entity_type; ","")&amp;IF(B478="","missing entity_key; ","")&amp;IF(C478="","missing contact_order; ","")&amp;IF(D478="","missing contact_type; ","")&amp;IF(E478="","missing number; ","")&amp;IF(J478="","missing status; ","")&amp;IF(AND(A478="client",COUNTIF(الزبائن!$A$6:$A$505,B478)=0),"client key not found; ","")&amp;IF(AND(A478="proposed_name",COUNTIF('أسماء مقترحة'!$A$6:$A$505,B478)=0),"proposed_name key not found; ","")&amp;IF(AND(D478="mobile",J478&lt;&gt;"invalid",NOT(OR(AND(LEN(E478&amp;"")=10,LEFT(E478&amp;"",2)="09"),AND(LEN(E478&amp;"")=9,LEFT(E478&amp;"",1)="9")))),"mobile must be 09XXXXXXXX or status invalid; ","")&amp;IF(COUNTIFS($A$6:$A$505,A478,$B$6:$B$505,B478,$E$6:$E$505,E478)&gt;1,"duplicate number for same entity; ",""))))</f>
        <v/>
      </c>
    </row>
    <row r="479" spans="1:14">
      <c r="A479" s="23"/>
      <c r="B479" s="24"/>
      <c r="C479" s="25"/>
      <c r="D479" s="25"/>
      <c r="E479" s="24"/>
      <c r="F479" s="24"/>
      <c r="G479" s="25"/>
      <c r="H479" s="25"/>
      <c r="I479" s="25"/>
      <c r="J479" s="25"/>
      <c r="K479" s="25"/>
      <c r="L479" s="25"/>
      <c r="M479" s="25" t="str">
        <f>IF(AND(A479="",B479="",E479=""),"",IF(OR(A479="",B479="",C479="",D479="",E479="",J479="",AND(A479="client",COUNTIF(الزبائن!$A$6:$A$505,B479)=0),AND(A479="proposed_name",COUNTIF('أسماء مقترحة'!$A$6:$A$505,B479)=0),AND(D479="mobile",J479&lt;&gt;"invalid",NOT(OR(AND(LEN(E479&amp;"")=10,LEFT(E479&amp;"",2)="09"),AND(LEN(E479&amp;"")=9,LEFT(E479&amp;"",1)="9")))),COUNTIFS($A$6:$A$505,A479,$B$6:$B$505,B479,$E$6:$E$505,E479)&gt;1),"REVIEW","READY"))</f>
        <v/>
      </c>
      <c r="N479" s="27" t="str">
        <f>IF(M479="","",IF(M479="READY","",TRIM(IF(A479="","missing entity_type; ","")&amp;IF(B479="","missing entity_key; ","")&amp;IF(C479="","missing contact_order; ","")&amp;IF(D479="","missing contact_type; ","")&amp;IF(E479="","missing number; ","")&amp;IF(J479="","missing status; ","")&amp;IF(AND(A479="client",COUNTIF(الزبائن!$A$6:$A$505,B479)=0),"client key not found; ","")&amp;IF(AND(A479="proposed_name",COUNTIF('أسماء مقترحة'!$A$6:$A$505,B479)=0),"proposed_name key not found; ","")&amp;IF(AND(D479="mobile",J479&lt;&gt;"invalid",NOT(OR(AND(LEN(E479&amp;"")=10,LEFT(E479&amp;"",2)="09"),AND(LEN(E479&amp;"")=9,LEFT(E479&amp;"",1)="9")))),"mobile must be 09XXXXXXXX or status invalid; ","")&amp;IF(COUNTIFS($A$6:$A$505,A479,$B$6:$B$505,B479,$E$6:$E$505,E479)&gt;1,"duplicate number for same entity; ",""))))</f>
        <v/>
      </c>
    </row>
    <row r="480" spans="1:14">
      <c r="A480" s="23"/>
      <c r="B480" s="24"/>
      <c r="C480" s="25"/>
      <c r="D480" s="25"/>
      <c r="E480" s="24"/>
      <c r="F480" s="24"/>
      <c r="G480" s="25"/>
      <c r="H480" s="25"/>
      <c r="I480" s="25"/>
      <c r="J480" s="25"/>
      <c r="K480" s="25"/>
      <c r="L480" s="25"/>
      <c r="M480" s="25" t="str">
        <f>IF(AND(A480="",B480="",E480=""),"",IF(OR(A480="",B480="",C480="",D480="",E480="",J480="",AND(A480="client",COUNTIF(الزبائن!$A$6:$A$505,B480)=0),AND(A480="proposed_name",COUNTIF('أسماء مقترحة'!$A$6:$A$505,B480)=0),AND(D480="mobile",J480&lt;&gt;"invalid",NOT(OR(AND(LEN(E480&amp;"")=10,LEFT(E480&amp;"",2)="09"),AND(LEN(E480&amp;"")=9,LEFT(E480&amp;"",1)="9")))),COUNTIFS($A$6:$A$505,A480,$B$6:$B$505,B480,$E$6:$E$505,E480)&gt;1),"REVIEW","READY"))</f>
        <v/>
      </c>
      <c r="N480" s="27" t="str">
        <f>IF(M480="","",IF(M480="READY","",TRIM(IF(A480="","missing entity_type; ","")&amp;IF(B480="","missing entity_key; ","")&amp;IF(C480="","missing contact_order; ","")&amp;IF(D480="","missing contact_type; ","")&amp;IF(E480="","missing number; ","")&amp;IF(J480="","missing status; ","")&amp;IF(AND(A480="client",COUNTIF(الزبائن!$A$6:$A$505,B480)=0),"client key not found; ","")&amp;IF(AND(A480="proposed_name",COUNTIF('أسماء مقترحة'!$A$6:$A$505,B480)=0),"proposed_name key not found; ","")&amp;IF(AND(D480="mobile",J480&lt;&gt;"invalid",NOT(OR(AND(LEN(E480&amp;"")=10,LEFT(E480&amp;"",2)="09"),AND(LEN(E480&amp;"")=9,LEFT(E480&amp;"",1)="9")))),"mobile must be 09XXXXXXXX or status invalid; ","")&amp;IF(COUNTIFS($A$6:$A$505,A480,$B$6:$B$505,B480,$E$6:$E$505,E480)&gt;1,"duplicate number for same entity; ",""))))</f>
        <v/>
      </c>
    </row>
    <row r="481" spans="1:14">
      <c r="A481" s="23"/>
      <c r="B481" s="24"/>
      <c r="C481" s="25"/>
      <c r="D481" s="25"/>
      <c r="E481" s="24"/>
      <c r="F481" s="24"/>
      <c r="G481" s="25"/>
      <c r="H481" s="25"/>
      <c r="I481" s="25"/>
      <c r="J481" s="25"/>
      <c r="K481" s="25"/>
      <c r="L481" s="25"/>
      <c r="M481" s="25" t="str">
        <f>IF(AND(A481="",B481="",E481=""),"",IF(OR(A481="",B481="",C481="",D481="",E481="",J481="",AND(A481="client",COUNTIF(الزبائن!$A$6:$A$505,B481)=0),AND(A481="proposed_name",COUNTIF('أسماء مقترحة'!$A$6:$A$505,B481)=0),AND(D481="mobile",J481&lt;&gt;"invalid",NOT(OR(AND(LEN(E481&amp;"")=10,LEFT(E481&amp;"",2)="09"),AND(LEN(E481&amp;"")=9,LEFT(E481&amp;"",1)="9")))),COUNTIFS($A$6:$A$505,A481,$B$6:$B$505,B481,$E$6:$E$505,E481)&gt;1),"REVIEW","READY"))</f>
        <v/>
      </c>
      <c r="N481" s="27" t="str">
        <f>IF(M481="","",IF(M481="READY","",TRIM(IF(A481="","missing entity_type; ","")&amp;IF(B481="","missing entity_key; ","")&amp;IF(C481="","missing contact_order; ","")&amp;IF(D481="","missing contact_type; ","")&amp;IF(E481="","missing number; ","")&amp;IF(J481="","missing status; ","")&amp;IF(AND(A481="client",COUNTIF(الزبائن!$A$6:$A$505,B481)=0),"client key not found; ","")&amp;IF(AND(A481="proposed_name",COUNTIF('أسماء مقترحة'!$A$6:$A$505,B481)=0),"proposed_name key not found; ","")&amp;IF(AND(D481="mobile",J481&lt;&gt;"invalid",NOT(OR(AND(LEN(E481&amp;"")=10,LEFT(E481&amp;"",2)="09"),AND(LEN(E481&amp;"")=9,LEFT(E481&amp;"",1)="9")))),"mobile must be 09XXXXXXXX or status invalid; ","")&amp;IF(COUNTIFS($A$6:$A$505,A481,$B$6:$B$505,B481,$E$6:$E$505,E481)&gt;1,"duplicate number for same entity; ",""))))</f>
        <v/>
      </c>
    </row>
    <row r="482" spans="1:14">
      <c r="A482" s="23"/>
      <c r="B482" s="24"/>
      <c r="C482" s="25"/>
      <c r="D482" s="25"/>
      <c r="E482" s="24"/>
      <c r="F482" s="24"/>
      <c r="G482" s="25"/>
      <c r="H482" s="25"/>
      <c r="I482" s="25"/>
      <c r="J482" s="25"/>
      <c r="K482" s="25"/>
      <c r="L482" s="25"/>
      <c r="M482" s="25" t="str">
        <f>IF(AND(A482="",B482="",E482=""),"",IF(OR(A482="",B482="",C482="",D482="",E482="",J482="",AND(A482="client",COUNTIF(الزبائن!$A$6:$A$505,B482)=0),AND(A482="proposed_name",COUNTIF('أسماء مقترحة'!$A$6:$A$505,B482)=0),AND(D482="mobile",J482&lt;&gt;"invalid",NOT(OR(AND(LEN(E482&amp;"")=10,LEFT(E482&amp;"",2)="09"),AND(LEN(E482&amp;"")=9,LEFT(E482&amp;"",1)="9")))),COUNTIFS($A$6:$A$505,A482,$B$6:$B$505,B482,$E$6:$E$505,E482)&gt;1),"REVIEW","READY"))</f>
        <v/>
      </c>
      <c r="N482" s="27" t="str">
        <f>IF(M482="","",IF(M482="READY","",TRIM(IF(A482="","missing entity_type; ","")&amp;IF(B482="","missing entity_key; ","")&amp;IF(C482="","missing contact_order; ","")&amp;IF(D482="","missing contact_type; ","")&amp;IF(E482="","missing number; ","")&amp;IF(J482="","missing status; ","")&amp;IF(AND(A482="client",COUNTIF(الزبائن!$A$6:$A$505,B482)=0),"client key not found; ","")&amp;IF(AND(A482="proposed_name",COUNTIF('أسماء مقترحة'!$A$6:$A$505,B482)=0),"proposed_name key not found; ","")&amp;IF(AND(D482="mobile",J482&lt;&gt;"invalid",NOT(OR(AND(LEN(E482&amp;"")=10,LEFT(E482&amp;"",2)="09"),AND(LEN(E482&amp;"")=9,LEFT(E482&amp;"",1)="9")))),"mobile must be 09XXXXXXXX or status invalid; ","")&amp;IF(COUNTIFS($A$6:$A$505,A482,$B$6:$B$505,B482,$E$6:$E$505,E482)&gt;1,"duplicate number for same entity; ",""))))</f>
        <v/>
      </c>
    </row>
    <row r="483" spans="1:14">
      <c r="A483" s="23"/>
      <c r="B483" s="24"/>
      <c r="C483" s="25"/>
      <c r="D483" s="25"/>
      <c r="E483" s="24"/>
      <c r="F483" s="24"/>
      <c r="G483" s="25"/>
      <c r="H483" s="25"/>
      <c r="I483" s="25"/>
      <c r="J483" s="25"/>
      <c r="K483" s="25"/>
      <c r="L483" s="25"/>
      <c r="M483" s="25" t="str">
        <f>IF(AND(A483="",B483="",E483=""),"",IF(OR(A483="",B483="",C483="",D483="",E483="",J483="",AND(A483="client",COUNTIF(الزبائن!$A$6:$A$505,B483)=0),AND(A483="proposed_name",COUNTIF('أسماء مقترحة'!$A$6:$A$505,B483)=0),AND(D483="mobile",J483&lt;&gt;"invalid",NOT(OR(AND(LEN(E483&amp;"")=10,LEFT(E483&amp;"",2)="09"),AND(LEN(E483&amp;"")=9,LEFT(E483&amp;"",1)="9")))),COUNTIFS($A$6:$A$505,A483,$B$6:$B$505,B483,$E$6:$E$505,E483)&gt;1),"REVIEW","READY"))</f>
        <v/>
      </c>
      <c r="N483" s="27" t="str">
        <f>IF(M483="","",IF(M483="READY","",TRIM(IF(A483="","missing entity_type; ","")&amp;IF(B483="","missing entity_key; ","")&amp;IF(C483="","missing contact_order; ","")&amp;IF(D483="","missing contact_type; ","")&amp;IF(E483="","missing number; ","")&amp;IF(J483="","missing status; ","")&amp;IF(AND(A483="client",COUNTIF(الزبائن!$A$6:$A$505,B483)=0),"client key not found; ","")&amp;IF(AND(A483="proposed_name",COUNTIF('أسماء مقترحة'!$A$6:$A$505,B483)=0),"proposed_name key not found; ","")&amp;IF(AND(D483="mobile",J483&lt;&gt;"invalid",NOT(OR(AND(LEN(E483&amp;"")=10,LEFT(E483&amp;"",2)="09"),AND(LEN(E483&amp;"")=9,LEFT(E483&amp;"",1)="9")))),"mobile must be 09XXXXXXXX or status invalid; ","")&amp;IF(COUNTIFS($A$6:$A$505,A483,$B$6:$B$505,B483,$E$6:$E$505,E483)&gt;1,"duplicate number for same entity; ",""))))</f>
        <v/>
      </c>
    </row>
    <row r="484" spans="1:14">
      <c r="A484" s="23"/>
      <c r="B484" s="24"/>
      <c r="C484" s="25"/>
      <c r="D484" s="25"/>
      <c r="E484" s="24"/>
      <c r="F484" s="24"/>
      <c r="G484" s="25"/>
      <c r="H484" s="25"/>
      <c r="I484" s="25"/>
      <c r="J484" s="25"/>
      <c r="K484" s="25"/>
      <c r="L484" s="25"/>
      <c r="M484" s="25" t="str">
        <f>IF(AND(A484="",B484="",E484=""),"",IF(OR(A484="",B484="",C484="",D484="",E484="",J484="",AND(A484="client",COUNTIF(الزبائن!$A$6:$A$505,B484)=0),AND(A484="proposed_name",COUNTIF('أسماء مقترحة'!$A$6:$A$505,B484)=0),AND(D484="mobile",J484&lt;&gt;"invalid",NOT(OR(AND(LEN(E484&amp;"")=10,LEFT(E484&amp;"",2)="09"),AND(LEN(E484&amp;"")=9,LEFT(E484&amp;"",1)="9")))),COUNTIFS($A$6:$A$505,A484,$B$6:$B$505,B484,$E$6:$E$505,E484)&gt;1),"REVIEW","READY"))</f>
        <v/>
      </c>
      <c r="N484" s="27" t="str">
        <f>IF(M484="","",IF(M484="READY","",TRIM(IF(A484="","missing entity_type; ","")&amp;IF(B484="","missing entity_key; ","")&amp;IF(C484="","missing contact_order; ","")&amp;IF(D484="","missing contact_type; ","")&amp;IF(E484="","missing number; ","")&amp;IF(J484="","missing status; ","")&amp;IF(AND(A484="client",COUNTIF(الزبائن!$A$6:$A$505,B484)=0),"client key not found; ","")&amp;IF(AND(A484="proposed_name",COUNTIF('أسماء مقترحة'!$A$6:$A$505,B484)=0),"proposed_name key not found; ","")&amp;IF(AND(D484="mobile",J484&lt;&gt;"invalid",NOT(OR(AND(LEN(E484&amp;"")=10,LEFT(E484&amp;"",2)="09"),AND(LEN(E484&amp;"")=9,LEFT(E484&amp;"",1)="9")))),"mobile must be 09XXXXXXXX or status invalid; ","")&amp;IF(COUNTIFS($A$6:$A$505,A484,$B$6:$B$505,B484,$E$6:$E$505,E484)&gt;1,"duplicate number for same entity; ",""))))</f>
        <v/>
      </c>
    </row>
    <row r="485" spans="1:14">
      <c r="A485" s="23"/>
      <c r="B485" s="24"/>
      <c r="C485" s="25"/>
      <c r="D485" s="25"/>
      <c r="E485" s="24"/>
      <c r="F485" s="24"/>
      <c r="G485" s="25"/>
      <c r="H485" s="25"/>
      <c r="I485" s="25"/>
      <c r="J485" s="25"/>
      <c r="K485" s="25"/>
      <c r="L485" s="25"/>
      <c r="M485" s="25" t="str">
        <f>IF(AND(A485="",B485="",E485=""),"",IF(OR(A485="",B485="",C485="",D485="",E485="",J485="",AND(A485="client",COUNTIF(الزبائن!$A$6:$A$505,B485)=0),AND(A485="proposed_name",COUNTIF('أسماء مقترحة'!$A$6:$A$505,B485)=0),AND(D485="mobile",J485&lt;&gt;"invalid",NOT(OR(AND(LEN(E485&amp;"")=10,LEFT(E485&amp;"",2)="09"),AND(LEN(E485&amp;"")=9,LEFT(E485&amp;"",1)="9")))),COUNTIFS($A$6:$A$505,A485,$B$6:$B$505,B485,$E$6:$E$505,E485)&gt;1),"REVIEW","READY"))</f>
        <v/>
      </c>
      <c r="N485" s="27" t="str">
        <f>IF(M485="","",IF(M485="READY","",TRIM(IF(A485="","missing entity_type; ","")&amp;IF(B485="","missing entity_key; ","")&amp;IF(C485="","missing contact_order; ","")&amp;IF(D485="","missing contact_type; ","")&amp;IF(E485="","missing number; ","")&amp;IF(J485="","missing status; ","")&amp;IF(AND(A485="client",COUNTIF(الزبائن!$A$6:$A$505,B485)=0),"client key not found; ","")&amp;IF(AND(A485="proposed_name",COUNTIF('أسماء مقترحة'!$A$6:$A$505,B485)=0),"proposed_name key not found; ","")&amp;IF(AND(D485="mobile",J485&lt;&gt;"invalid",NOT(OR(AND(LEN(E485&amp;"")=10,LEFT(E485&amp;"",2)="09"),AND(LEN(E485&amp;"")=9,LEFT(E485&amp;"",1)="9")))),"mobile must be 09XXXXXXXX or status invalid; ","")&amp;IF(COUNTIFS($A$6:$A$505,A485,$B$6:$B$505,B485,$E$6:$E$505,E485)&gt;1,"duplicate number for same entity; ",""))))</f>
        <v/>
      </c>
    </row>
    <row r="486" spans="1:14">
      <c r="A486" s="23"/>
      <c r="B486" s="24"/>
      <c r="C486" s="25"/>
      <c r="D486" s="25"/>
      <c r="E486" s="24"/>
      <c r="F486" s="24"/>
      <c r="G486" s="25"/>
      <c r="H486" s="25"/>
      <c r="I486" s="25"/>
      <c r="J486" s="25"/>
      <c r="K486" s="25"/>
      <c r="L486" s="25"/>
      <c r="M486" s="25" t="str">
        <f>IF(AND(A486="",B486="",E486=""),"",IF(OR(A486="",B486="",C486="",D486="",E486="",J486="",AND(A486="client",COUNTIF(الزبائن!$A$6:$A$505,B486)=0),AND(A486="proposed_name",COUNTIF('أسماء مقترحة'!$A$6:$A$505,B486)=0),AND(D486="mobile",J486&lt;&gt;"invalid",NOT(OR(AND(LEN(E486&amp;"")=10,LEFT(E486&amp;"",2)="09"),AND(LEN(E486&amp;"")=9,LEFT(E486&amp;"",1)="9")))),COUNTIFS($A$6:$A$505,A486,$B$6:$B$505,B486,$E$6:$E$505,E486)&gt;1),"REVIEW","READY"))</f>
        <v/>
      </c>
      <c r="N486" s="27" t="str">
        <f>IF(M486="","",IF(M486="READY","",TRIM(IF(A486="","missing entity_type; ","")&amp;IF(B486="","missing entity_key; ","")&amp;IF(C486="","missing contact_order; ","")&amp;IF(D486="","missing contact_type; ","")&amp;IF(E486="","missing number; ","")&amp;IF(J486="","missing status; ","")&amp;IF(AND(A486="client",COUNTIF(الزبائن!$A$6:$A$505,B486)=0),"client key not found; ","")&amp;IF(AND(A486="proposed_name",COUNTIF('أسماء مقترحة'!$A$6:$A$505,B486)=0),"proposed_name key not found; ","")&amp;IF(AND(D486="mobile",J486&lt;&gt;"invalid",NOT(OR(AND(LEN(E486&amp;"")=10,LEFT(E486&amp;"",2)="09"),AND(LEN(E486&amp;"")=9,LEFT(E486&amp;"",1)="9")))),"mobile must be 09XXXXXXXX or status invalid; ","")&amp;IF(COUNTIFS($A$6:$A$505,A486,$B$6:$B$505,B486,$E$6:$E$505,E486)&gt;1,"duplicate number for same entity; ",""))))</f>
        <v/>
      </c>
    </row>
    <row r="487" spans="1:14">
      <c r="A487" s="23"/>
      <c r="B487" s="24"/>
      <c r="C487" s="25"/>
      <c r="D487" s="25"/>
      <c r="E487" s="24"/>
      <c r="F487" s="24"/>
      <c r="G487" s="25"/>
      <c r="H487" s="25"/>
      <c r="I487" s="25"/>
      <c r="J487" s="25"/>
      <c r="K487" s="25"/>
      <c r="L487" s="25"/>
      <c r="M487" s="25" t="str">
        <f>IF(AND(A487="",B487="",E487=""),"",IF(OR(A487="",B487="",C487="",D487="",E487="",J487="",AND(A487="client",COUNTIF(الزبائن!$A$6:$A$505,B487)=0),AND(A487="proposed_name",COUNTIF('أسماء مقترحة'!$A$6:$A$505,B487)=0),AND(D487="mobile",J487&lt;&gt;"invalid",NOT(OR(AND(LEN(E487&amp;"")=10,LEFT(E487&amp;"",2)="09"),AND(LEN(E487&amp;"")=9,LEFT(E487&amp;"",1)="9")))),COUNTIFS($A$6:$A$505,A487,$B$6:$B$505,B487,$E$6:$E$505,E487)&gt;1),"REVIEW","READY"))</f>
        <v/>
      </c>
      <c r="N487" s="27" t="str">
        <f>IF(M487="","",IF(M487="READY","",TRIM(IF(A487="","missing entity_type; ","")&amp;IF(B487="","missing entity_key; ","")&amp;IF(C487="","missing contact_order; ","")&amp;IF(D487="","missing contact_type; ","")&amp;IF(E487="","missing number; ","")&amp;IF(J487="","missing status; ","")&amp;IF(AND(A487="client",COUNTIF(الزبائن!$A$6:$A$505,B487)=0),"client key not found; ","")&amp;IF(AND(A487="proposed_name",COUNTIF('أسماء مقترحة'!$A$6:$A$505,B487)=0),"proposed_name key not found; ","")&amp;IF(AND(D487="mobile",J487&lt;&gt;"invalid",NOT(OR(AND(LEN(E487&amp;"")=10,LEFT(E487&amp;"",2)="09"),AND(LEN(E487&amp;"")=9,LEFT(E487&amp;"",1)="9")))),"mobile must be 09XXXXXXXX or status invalid; ","")&amp;IF(COUNTIFS($A$6:$A$505,A487,$B$6:$B$505,B487,$E$6:$E$505,E487)&gt;1,"duplicate number for same entity; ",""))))</f>
        <v/>
      </c>
    </row>
    <row r="488" spans="1:14">
      <c r="A488" s="23"/>
      <c r="B488" s="24"/>
      <c r="C488" s="25"/>
      <c r="D488" s="25"/>
      <c r="E488" s="24"/>
      <c r="F488" s="24"/>
      <c r="G488" s="25"/>
      <c r="H488" s="25"/>
      <c r="I488" s="25"/>
      <c r="J488" s="25"/>
      <c r="K488" s="25"/>
      <c r="L488" s="25"/>
      <c r="M488" s="25" t="str">
        <f>IF(AND(A488="",B488="",E488=""),"",IF(OR(A488="",B488="",C488="",D488="",E488="",J488="",AND(A488="client",COUNTIF(الزبائن!$A$6:$A$505,B488)=0),AND(A488="proposed_name",COUNTIF('أسماء مقترحة'!$A$6:$A$505,B488)=0),AND(D488="mobile",J488&lt;&gt;"invalid",NOT(OR(AND(LEN(E488&amp;"")=10,LEFT(E488&amp;"",2)="09"),AND(LEN(E488&amp;"")=9,LEFT(E488&amp;"",1)="9")))),COUNTIFS($A$6:$A$505,A488,$B$6:$B$505,B488,$E$6:$E$505,E488)&gt;1),"REVIEW","READY"))</f>
        <v/>
      </c>
      <c r="N488" s="27" t="str">
        <f>IF(M488="","",IF(M488="READY","",TRIM(IF(A488="","missing entity_type; ","")&amp;IF(B488="","missing entity_key; ","")&amp;IF(C488="","missing contact_order; ","")&amp;IF(D488="","missing contact_type; ","")&amp;IF(E488="","missing number; ","")&amp;IF(J488="","missing status; ","")&amp;IF(AND(A488="client",COUNTIF(الزبائن!$A$6:$A$505,B488)=0),"client key not found; ","")&amp;IF(AND(A488="proposed_name",COUNTIF('أسماء مقترحة'!$A$6:$A$505,B488)=0),"proposed_name key not found; ","")&amp;IF(AND(D488="mobile",J488&lt;&gt;"invalid",NOT(OR(AND(LEN(E488&amp;"")=10,LEFT(E488&amp;"",2)="09"),AND(LEN(E488&amp;"")=9,LEFT(E488&amp;"",1)="9")))),"mobile must be 09XXXXXXXX or status invalid; ","")&amp;IF(COUNTIFS($A$6:$A$505,A488,$B$6:$B$505,B488,$E$6:$E$505,E488)&gt;1,"duplicate number for same entity; ",""))))</f>
        <v/>
      </c>
    </row>
    <row r="489" spans="1:14">
      <c r="A489" s="23"/>
      <c r="B489" s="24"/>
      <c r="C489" s="25"/>
      <c r="D489" s="25"/>
      <c r="E489" s="24"/>
      <c r="F489" s="24"/>
      <c r="G489" s="25"/>
      <c r="H489" s="25"/>
      <c r="I489" s="25"/>
      <c r="J489" s="25"/>
      <c r="K489" s="25"/>
      <c r="L489" s="25"/>
      <c r="M489" s="25" t="str">
        <f>IF(AND(A489="",B489="",E489=""),"",IF(OR(A489="",B489="",C489="",D489="",E489="",J489="",AND(A489="client",COUNTIF(الزبائن!$A$6:$A$505,B489)=0),AND(A489="proposed_name",COUNTIF('أسماء مقترحة'!$A$6:$A$505,B489)=0),AND(D489="mobile",J489&lt;&gt;"invalid",NOT(OR(AND(LEN(E489&amp;"")=10,LEFT(E489&amp;"",2)="09"),AND(LEN(E489&amp;"")=9,LEFT(E489&amp;"",1)="9")))),COUNTIFS($A$6:$A$505,A489,$B$6:$B$505,B489,$E$6:$E$505,E489)&gt;1),"REVIEW","READY"))</f>
        <v/>
      </c>
      <c r="N489" s="27" t="str">
        <f>IF(M489="","",IF(M489="READY","",TRIM(IF(A489="","missing entity_type; ","")&amp;IF(B489="","missing entity_key; ","")&amp;IF(C489="","missing contact_order; ","")&amp;IF(D489="","missing contact_type; ","")&amp;IF(E489="","missing number; ","")&amp;IF(J489="","missing status; ","")&amp;IF(AND(A489="client",COUNTIF(الزبائن!$A$6:$A$505,B489)=0),"client key not found; ","")&amp;IF(AND(A489="proposed_name",COUNTIF('أسماء مقترحة'!$A$6:$A$505,B489)=0),"proposed_name key not found; ","")&amp;IF(AND(D489="mobile",J489&lt;&gt;"invalid",NOT(OR(AND(LEN(E489&amp;"")=10,LEFT(E489&amp;"",2)="09"),AND(LEN(E489&amp;"")=9,LEFT(E489&amp;"",1)="9")))),"mobile must be 09XXXXXXXX or status invalid; ","")&amp;IF(COUNTIFS($A$6:$A$505,A489,$B$6:$B$505,B489,$E$6:$E$505,E489)&gt;1,"duplicate number for same entity; ",""))))</f>
        <v/>
      </c>
    </row>
    <row r="490" spans="1:14">
      <c r="A490" s="23"/>
      <c r="B490" s="24"/>
      <c r="C490" s="25"/>
      <c r="D490" s="25"/>
      <c r="E490" s="24"/>
      <c r="F490" s="24"/>
      <c r="G490" s="25"/>
      <c r="H490" s="25"/>
      <c r="I490" s="25"/>
      <c r="J490" s="25"/>
      <c r="K490" s="25"/>
      <c r="L490" s="25"/>
      <c r="M490" s="25" t="str">
        <f>IF(AND(A490="",B490="",E490=""),"",IF(OR(A490="",B490="",C490="",D490="",E490="",J490="",AND(A490="client",COUNTIF(الزبائن!$A$6:$A$505,B490)=0),AND(A490="proposed_name",COUNTIF('أسماء مقترحة'!$A$6:$A$505,B490)=0),AND(D490="mobile",J490&lt;&gt;"invalid",NOT(OR(AND(LEN(E490&amp;"")=10,LEFT(E490&amp;"",2)="09"),AND(LEN(E490&amp;"")=9,LEFT(E490&amp;"",1)="9")))),COUNTIFS($A$6:$A$505,A490,$B$6:$B$505,B490,$E$6:$E$505,E490)&gt;1),"REVIEW","READY"))</f>
        <v/>
      </c>
      <c r="N490" s="27" t="str">
        <f>IF(M490="","",IF(M490="READY","",TRIM(IF(A490="","missing entity_type; ","")&amp;IF(B490="","missing entity_key; ","")&amp;IF(C490="","missing contact_order; ","")&amp;IF(D490="","missing contact_type; ","")&amp;IF(E490="","missing number; ","")&amp;IF(J490="","missing status; ","")&amp;IF(AND(A490="client",COUNTIF(الزبائن!$A$6:$A$505,B490)=0),"client key not found; ","")&amp;IF(AND(A490="proposed_name",COUNTIF('أسماء مقترحة'!$A$6:$A$505,B490)=0),"proposed_name key not found; ","")&amp;IF(AND(D490="mobile",J490&lt;&gt;"invalid",NOT(OR(AND(LEN(E490&amp;"")=10,LEFT(E490&amp;"",2)="09"),AND(LEN(E490&amp;"")=9,LEFT(E490&amp;"",1)="9")))),"mobile must be 09XXXXXXXX or status invalid; ","")&amp;IF(COUNTIFS($A$6:$A$505,A490,$B$6:$B$505,B490,$E$6:$E$505,E490)&gt;1,"duplicate number for same entity; ",""))))</f>
        <v/>
      </c>
    </row>
    <row r="491" spans="1:14">
      <c r="A491" s="23"/>
      <c r="B491" s="24"/>
      <c r="C491" s="25"/>
      <c r="D491" s="25"/>
      <c r="E491" s="24"/>
      <c r="F491" s="24"/>
      <c r="G491" s="25"/>
      <c r="H491" s="25"/>
      <c r="I491" s="25"/>
      <c r="J491" s="25"/>
      <c r="K491" s="25"/>
      <c r="L491" s="25"/>
      <c r="M491" s="25" t="str">
        <f>IF(AND(A491="",B491="",E491=""),"",IF(OR(A491="",B491="",C491="",D491="",E491="",J491="",AND(A491="client",COUNTIF(الزبائن!$A$6:$A$505,B491)=0),AND(A491="proposed_name",COUNTIF('أسماء مقترحة'!$A$6:$A$505,B491)=0),AND(D491="mobile",J491&lt;&gt;"invalid",NOT(OR(AND(LEN(E491&amp;"")=10,LEFT(E491&amp;"",2)="09"),AND(LEN(E491&amp;"")=9,LEFT(E491&amp;"",1)="9")))),COUNTIFS($A$6:$A$505,A491,$B$6:$B$505,B491,$E$6:$E$505,E491)&gt;1),"REVIEW","READY"))</f>
        <v/>
      </c>
      <c r="N491" s="27" t="str">
        <f>IF(M491="","",IF(M491="READY","",TRIM(IF(A491="","missing entity_type; ","")&amp;IF(B491="","missing entity_key; ","")&amp;IF(C491="","missing contact_order; ","")&amp;IF(D491="","missing contact_type; ","")&amp;IF(E491="","missing number; ","")&amp;IF(J491="","missing status; ","")&amp;IF(AND(A491="client",COUNTIF(الزبائن!$A$6:$A$505,B491)=0),"client key not found; ","")&amp;IF(AND(A491="proposed_name",COUNTIF('أسماء مقترحة'!$A$6:$A$505,B491)=0),"proposed_name key not found; ","")&amp;IF(AND(D491="mobile",J491&lt;&gt;"invalid",NOT(OR(AND(LEN(E491&amp;"")=10,LEFT(E491&amp;"",2)="09"),AND(LEN(E491&amp;"")=9,LEFT(E491&amp;"",1)="9")))),"mobile must be 09XXXXXXXX or status invalid; ","")&amp;IF(COUNTIFS($A$6:$A$505,A491,$B$6:$B$505,B491,$E$6:$E$505,E491)&gt;1,"duplicate number for same entity; ",""))))</f>
        <v/>
      </c>
    </row>
    <row r="492" spans="1:14">
      <c r="A492" s="23"/>
      <c r="B492" s="24"/>
      <c r="C492" s="25"/>
      <c r="D492" s="25"/>
      <c r="E492" s="24"/>
      <c r="F492" s="24"/>
      <c r="G492" s="25"/>
      <c r="H492" s="25"/>
      <c r="I492" s="25"/>
      <c r="J492" s="25"/>
      <c r="K492" s="25"/>
      <c r="L492" s="25"/>
      <c r="M492" s="25" t="str">
        <f>IF(AND(A492="",B492="",E492=""),"",IF(OR(A492="",B492="",C492="",D492="",E492="",J492="",AND(A492="client",COUNTIF(الزبائن!$A$6:$A$505,B492)=0),AND(A492="proposed_name",COUNTIF('أسماء مقترحة'!$A$6:$A$505,B492)=0),AND(D492="mobile",J492&lt;&gt;"invalid",NOT(OR(AND(LEN(E492&amp;"")=10,LEFT(E492&amp;"",2)="09"),AND(LEN(E492&amp;"")=9,LEFT(E492&amp;"",1)="9")))),COUNTIFS($A$6:$A$505,A492,$B$6:$B$505,B492,$E$6:$E$505,E492)&gt;1),"REVIEW","READY"))</f>
        <v/>
      </c>
      <c r="N492" s="27" t="str">
        <f>IF(M492="","",IF(M492="READY","",TRIM(IF(A492="","missing entity_type; ","")&amp;IF(B492="","missing entity_key; ","")&amp;IF(C492="","missing contact_order; ","")&amp;IF(D492="","missing contact_type; ","")&amp;IF(E492="","missing number; ","")&amp;IF(J492="","missing status; ","")&amp;IF(AND(A492="client",COUNTIF(الزبائن!$A$6:$A$505,B492)=0),"client key not found; ","")&amp;IF(AND(A492="proposed_name",COUNTIF('أسماء مقترحة'!$A$6:$A$505,B492)=0),"proposed_name key not found; ","")&amp;IF(AND(D492="mobile",J492&lt;&gt;"invalid",NOT(OR(AND(LEN(E492&amp;"")=10,LEFT(E492&amp;"",2)="09"),AND(LEN(E492&amp;"")=9,LEFT(E492&amp;"",1)="9")))),"mobile must be 09XXXXXXXX or status invalid; ","")&amp;IF(COUNTIFS($A$6:$A$505,A492,$B$6:$B$505,B492,$E$6:$E$505,E492)&gt;1,"duplicate number for same entity; ",""))))</f>
        <v/>
      </c>
    </row>
    <row r="493" spans="1:14">
      <c r="A493" s="23"/>
      <c r="B493" s="24"/>
      <c r="C493" s="25"/>
      <c r="D493" s="25"/>
      <c r="E493" s="24"/>
      <c r="F493" s="24"/>
      <c r="G493" s="25"/>
      <c r="H493" s="25"/>
      <c r="I493" s="25"/>
      <c r="J493" s="25"/>
      <c r="K493" s="25"/>
      <c r="L493" s="25"/>
      <c r="M493" s="25" t="str">
        <f>IF(AND(A493="",B493="",E493=""),"",IF(OR(A493="",B493="",C493="",D493="",E493="",J493="",AND(A493="client",COUNTIF(الزبائن!$A$6:$A$505,B493)=0),AND(A493="proposed_name",COUNTIF('أسماء مقترحة'!$A$6:$A$505,B493)=0),AND(D493="mobile",J493&lt;&gt;"invalid",NOT(OR(AND(LEN(E493&amp;"")=10,LEFT(E493&amp;"",2)="09"),AND(LEN(E493&amp;"")=9,LEFT(E493&amp;"",1)="9")))),COUNTIFS($A$6:$A$505,A493,$B$6:$B$505,B493,$E$6:$E$505,E493)&gt;1),"REVIEW","READY"))</f>
        <v/>
      </c>
      <c r="N493" s="27" t="str">
        <f>IF(M493="","",IF(M493="READY","",TRIM(IF(A493="","missing entity_type; ","")&amp;IF(B493="","missing entity_key; ","")&amp;IF(C493="","missing contact_order; ","")&amp;IF(D493="","missing contact_type; ","")&amp;IF(E493="","missing number; ","")&amp;IF(J493="","missing status; ","")&amp;IF(AND(A493="client",COUNTIF(الزبائن!$A$6:$A$505,B493)=0),"client key not found; ","")&amp;IF(AND(A493="proposed_name",COUNTIF('أسماء مقترحة'!$A$6:$A$505,B493)=0),"proposed_name key not found; ","")&amp;IF(AND(D493="mobile",J493&lt;&gt;"invalid",NOT(OR(AND(LEN(E493&amp;"")=10,LEFT(E493&amp;"",2)="09"),AND(LEN(E493&amp;"")=9,LEFT(E493&amp;"",1)="9")))),"mobile must be 09XXXXXXXX or status invalid; ","")&amp;IF(COUNTIFS($A$6:$A$505,A493,$B$6:$B$505,B493,$E$6:$E$505,E493)&gt;1,"duplicate number for same entity; ",""))))</f>
        <v/>
      </c>
    </row>
    <row r="494" spans="1:14">
      <c r="A494" s="23"/>
      <c r="B494" s="24"/>
      <c r="C494" s="25"/>
      <c r="D494" s="25"/>
      <c r="E494" s="24"/>
      <c r="F494" s="24"/>
      <c r="G494" s="25"/>
      <c r="H494" s="25"/>
      <c r="I494" s="25"/>
      <c r="J494" s="25"/>
      <c r="K494" s="25"/>
      <c r="L494" s="25"/>
      <c r="M494" s="25" t="str">
        <f>IF(AND(A494="",B494="",E494=""),"",IF(OR(A494="",B494="",C494="",D494="",E494="",J494="",AND(A494="client",COUNTIF(الزبائن!$A$6:$A$505,B494)=0),AND(A494="proposed_name",COUNTIF('أسماء مقترحة'!$A$6:$A$505,B494)=0),AND(D494="mobile",J494&lt;&gt;"invalid",NOT(OR(AND(LEN(E494&amp;"")=10,LEFT(E494&amp;"",2)="09"),AND(LEN(E494&amp;"")=9,LEFT(E494&amp;"",1)="9")))),COUNTIFS($A$6:$A$505,A494,$B$6:$B$505,B494,$E$6:$E$505,E494)&gt;1),"REVIEW","READY"))</f>
        <v/>
      </c>
      <c r="N494" s="27" t="str">
        <f>IF(M494="","",IF(M494="READY","",TRIM(IF(A494="","missing entity_type; ","")&amp;IF(B494="","missing entity_key; ","")&amp;IF(C494="","missing contact_order; ","")&amp;IF(D494="","missing contact_type; ","")&amp;IF(E494="","missing number; ","")&amp;IF(J494="","missing status; ","")&amp;IF(AND(A494="client",COUNTIF(الزبائن!$A$6:$A$505,B494)=0),"client key not found; ","")&amp;IF(AND(A494="proposed_name",COUNTIF('أسماء مقترحة'!$A$6:$A$505,B494)=0),"proposed_name key not found; ","")&amp;IF(AND(D494="mobile",J494&lt;&gt;"invalid",NOT(OR(AND(LEN(E494&amp;"")=10,LEFT(E494&amp;"",2)="09"),AND(LEN(E494&amp;"")=9,LEFT(E494&amp;"",1)="9")))),"mobile must be 09XXXXXXXX or status invalid; ","")&amp;IF(COUNTIFS($A$6:$A$505,A494,$B$6:$B$505,B494,$E$6:$E$505,E494)&gt;1,"duplicate number for same entity; ",""))))</f>
        <v/>
      </c>
    </row>
    <row r="495" spans="1:14">
      <c r="A495" s="23"/>
      <c r="B495" s="24"/>
      <c r="C495" s="25"/>
      <c r="D495" s="25"/>
      <c r="E495" s="24"/>
      <c r="F495" s="24"/>
      <c r="G495" s="25"/>
      <c r="H495" s="25"/>
      <c r="I495" s="25"/>
      <c r="J495" s="25"/>
      <c r="K495" s="25"/>
      <c r="L495" s="25"/>
      <c r="M495" s="25" t="str">
        <f>IF(AND(A495="",B495="",E495=""),"",IF(OR(A495="",B495="",C495="",D495="",E495="",J495="",AND(A495="client",COUNTIF(الزبائن!$A$6:$A$505,B495)=0),AND(A495="proposed_name",COUNTIF('أسماء مقترحة'!$A$6:$A$505,B495)=0),AND(D495="mobile",J495&lt;&gt;"invalid",NOT(OR(AND(LEN(E495&amp;"")=10,LEFT(E495&amp;"",2)="09"),AND(LEN(E495&amp;"")=9,LEFT(E495&amp;"",1)="9")))),COUNTIFS($A$6:$A$505,A495,$B$6:$B$505,B495,$E$6:$E$505,E495)&gt;1),"REVIEW","READY"))</f>
        <v/>
      </c>
      <c r="N495" s="27" t="str">
        <f>IF(M495="","",IF(M495="READY","",TRIM(IF(A495="","missing entity_type; ","")&amp;IF(B495="","missing entity_key; ","")&amp;IF(C495="","missing contact_order; ","")&amp;IF(D495="","missing contact_type; ","")&amp;IF(E495="","missing number; ","")&amp;IF(J495="","missing status; ","")&amp;IF(AND(A495="client",COUNTIF(الزبائن!$A$6:$A$505,B495)=0),"client key not found; ","")&amp;IF(AND(A495="proposed_name",COUNTIF('أسماء مقترحة'!$A$6:$A$505,B495)=0),"proposed_name key not found; ","")&amp;IF(AND(D495="mobile",J495&lt;&gt;"invalid",NOT(OR(AND(LEN(E495&amp;"")=10,LEFT(E495&amp;"",2)="09"),AND(LEN(E495&amp;"")=9,LEFT(E495&amp;"",1)="9")))),"mobile must be 09XXXXXXXX or status invalid; ","")&amp;IF(COUNTIFS($A$6:$A$505,A495,$B$6:$B$505,B495,$E$6:$E$505,E495)&gt;1,"duplicate number for same entity; ",""))))</f>
        <v/>
      </c>
    </row>
    <row r="496" spans="1:14">
      <c r="A496" s="23"/>
      <c r="B496" s="24"/>
      <c r="C496" s="25"/>
      <c r="D496" s="25"/>
      <c r="E496" s="24"/>
      <c r="F496" s="24"/>
      <c r="G496" s="25"/>
      <c r="H496" s="25"/>
      <c r="I496" s="25"/>
      <c r="J496" s="25"/>
      <c r="K496" s="25"/>
      <c r="L496" s="25"/>
      <c r="M496" s="25" t="str">
        <f>IF(AND(A496="",B496="",E496=""),"",IF(OR(A496="",B496="",C496="",D496="",E496="",J496="",AND(A496="client",COUNTIF(الزبائن!$A$6:$A$505,B496)=0),AND(A496="proposed_name",COUNTIF('أسماء مقترحة'!$A$6:$A$505,B496)=0),AND(D496="mobile",J496&lt;&gt;"invalid",NOT(OR(AND(LEN(E496&amp;"")=10,LEFT(E496&amp;"",2)="09"),AND(LEN(E496&amp;"")=9,LEFT(E496&amp;"",1)="9")))),COUNTIFS($A$6:$A$505,A496,$B$6:$B$505,B496,$E$6:$E$505,E496)&gt;1),"REVIEW","READY"))</f>
        <v/>
      </c>
      <c r="N496" s="27" t="str">
        <f>IF(M496="","",IF(M496="READY","",TRIM(IF(A496="","missing entity_type; ","")&amp;IF(B496="","missing entity_key; ","")&amp;IF(C496="","missing contact_order; ","")&amp;IF(D496="","missing contact_type; ","")&amp;IF(E496="","missing number; ","")&amp;IF(J496="","missing status; ","")&amp;IF(AND(A496="client",COUNTIF(الزبائن!$A$6:$A$505,B496)=0),"client key not found; ","")&amp;IF(AND(A496="proposed_name",COUNTIF('أسماء مقترحة'!$A$6:$A$505,B496)=0),"proposed_name key not found; ","")&amp;IF(AND(D496="mobile",J496&lt;&gt;"invalid",NOT(OR(AND(LEN(E496&amp;"")=10,LEFT(E496&amp;"",2)="09"),AND(LEN(E496&amp;"")=9,LEFT(E496&amp;"",1)="9")))),"mobile must be 09XXXXXXXX or status invalid; ","")&amp;IF(COUNTIFS($A$6:$A$505,A496,$B$6:$B$505,B496,$E$6:$E$505,E496)&gt;1,"duplicate number for same entity; ",""))))</f>
        <v/>
      </c>
    </row>
    <row r="497" spans="1:14">
      <c r="A497" s="23"/>
      <c r="B497" s="24"/>
      <c r="C497" s="25"/>
      <c r="D497" s="25"/>
      <c r="E497" s="24"/>
      <c r="F497" s="24"/>
      <c r="G497" s="25"/>
      <c r="H497" s="25"/>
      <c r="I497" s="25"/>
      <c r="J497" s="25"/>
      <c r="K497" s="25"/>
      <c r="L497" s="25"/>
      <c r="M497" s="25" t="str">
        <f>IF(AND(A497="",B497="",E497=""),"",IF(OR(A497="",B497="",C497="",D497="",E497="",J497="",AND(A497="client",COUNTIF(الزبائن!$A$6:$A$505,B497)=0),AND(A497="proposed_name",COUNTIF('أسماء مقترحة'!$A$6:$A$505,B497)=0),AND(D497="mobile",J497&lt;&gt;"invalid",NOT(OR(AND(LEN(E497&amp;"")=10,LEFT(E497&amp;"",2)="09"),AND(LEN(E497&amp;"")=9,LEFT(E497&amp;"",1)="9")))),COUNTIFS($A$6:$A$505,A497,$B$6:$B$505,B497,$E$6:$E$505,E497)&gt;1),"REVIEW","READY"))</f>
        <v/>
      </c>
      <c r="N497" s="27" t="str">
        <f>IF(M497="","",IF(M497="READY","",TRIM(IF(A497="","missing entity_type; ","")&amp;IF(B497="","missing entity_key; ","")&amp;IF(C497="","missing contact_order; ","")&amp;IF(D497="","missing contact_type; ","")&amp;IF(E497="","missing number; ","")&amp;IF(J497="","missing status; ","")&amp;IF(AND(A497="client",COUNTIF(الزبائن!$A$6:$A$505,B497)=0),"client key not found; ","")&amp;IF(AND(A497="proposed_name",COUNTIF('أسماء مقترحة'!$A$6:$A$505,B497)=0),"proposed_name key not found; ","")&amp;IF(AND(D497="mobile",J497&lt;&gt;"invalid",NOT(OR(AND(LEN(E497&amp;"")=10,LEFT(E497&amp;"",2)="09"),AND(LEN(E497&amp;"")=9,LEFT(E497&amp;"",1)="9")))),"mobile must be 09XXXXXXXX or status invalid; ","")&amp;IF(COUNTIFS($A$6:$A$505,A497,$B$6:$B$505,B497,$E$6:$E$505,E497)&gt;1,"duplicate number for same entity; ",""))))</f>
        <v/>
      </c>
    </row>
    <row r="498" spans="1:14">
      <c r="A498" s="23"/>
      <c r="B498" s="24"/>
      <c r="C498" s="25"/>
      <c r="D498" s="25"/>
      <c r="E498" s="24"/>
      <c r="F498" s="24"/>
      <c r="G498" s="25"/>
      <c r="H498" s="25"/>
      <c r="I498" s="25"/>
      <c r="J498" s="25"/>
      <c r="K498" s="25"/>
      <c r="L498" s="25"/>
      <c r="M498" s="25" t="str">
        <f>IF(AND(A498="",B498="",E498=""),"",IF(OR(A498="",B498="",C498="",D498="",E498="",J498="",AND(A498="client",COUNTIF(الزبائن!$A$6:$A$505,B498)=0),AND(A498="proposed_name",COUNTIF('أسماء مقترحة'!$A$6:$A$505,B498)=0),AND(D498="mobile",J498&lt;&gt;"invalid",NOT(OR(AND(LEN(E498&amp;"")=10,LEFT(E498&amp;"",2)="09"),AND(LEN(E498&amp;"")=9,LEFT(E498&amp;"",1)="9")))),COUNTIFS($A$6:$A$505,A498,$B$6:$B$505,B498,$E$6:$E$505,E498)&gt;1),"REVIEW","READY"))</f>
        <v/>
      </c>
      <c r="N498" s="27" t="str">
        <f>IF(M498="","",IF(M498="READY","",TRIM(IF(A498="","missing entity_type; ","")&amp;IF(B498="","missing entity_key; ","")&amp;IF(C498="","missing contact_order; ","")&amp;IF(D498="","missing contact_type; ","")&amp;IF(E498="","missing number; ","")&amp;IF(J498="","missing status; ","")&amp;IF(AND(A498="client",COUNTIF(الزبائن!$A$6:$A$505,B498)=0),"client key not found; ","")&amp;IF(AND(A498="proposed_name",COUNTIF('أسماء مقترحة'!$A$6:$A$505,B498)=0),"proposed_name key not found; ","")&amp;IF(AND(D498="mobile",J498&lt;&gt;"invalid",NOT(OR(AND(LEN(E498&amp;"")=10,LEFT(E498&amp;"",2)="09"),AND(LEN(E498&amp;"")=9,LEFT(E498&amp;"",1)="9")))),"mobile must be 09XXXXXXXX or status invalid; ","")&amp;IF(COUNTIFS($A$6:$A$505,A498,$B$6:$B$505,B498,$E$6:$E$505,E498)&gt;1,"duplicate number for same entity; ",""))))</f>
        <v/>
      </c>
    </row>
    <row r="499" spans="1:14">
      <c r="A499" s="23"/>
      <c r="B499" s="24"/>
      <c r="C499" s="25"/>
      <c r="D499" s="25"/>
      <c r="E499" s="24"/>
      <c r="F499" s="24"/>
      <c r="G499" s="25"/>
      <c r="H499" s="25"/>
      <c r="I499" s="25"/>
      <c r="J499" s="25"/>
      <c r="K499" s="25"/>
      <c r="L499" s="25"/>
      <c r="M499" s="25" t="str">
        <f>IF(AND(A499="",B499="",E499=""),"",IF(OR(A499="",B499="",C499="",D499="",E499="",J499="",AND(A499="client",COUNTIF(الزبائن!$A$6:$A$505,B499)=0),AND(A499="proposed_name",COUNTIF('أسماء مقترحة'!$A$6:$A$505,B499)=0),AND(D499="mobile",J499&lt;&gt;"invalid",NOT(OR(AND(LEN(E499&amp;"")=10,LEFT(E499&amp;"",2)="09"),AND(LEN(E499&amp;"")=9,LEFT(E499&amp;"",1)="9")))),COUNTIFS($A$6:$A$505,A499,$B$6:$B$505,B499,$E$6:$E$505,E499)&gt;1),"REVIEW","READY"))</f>
        <v/>
      </c>
      <c r="N499" s="27" t="str">
        <f>IF(M499="","",IF(M499="READY","",TRIM(IF(A499="","missing entity_type; ","")&amp;IF(B499="","missing entity_key; ","")&amp;IF(C499="","missing contact_order; ","")&amp;IF(D499="","missing contact_type; ","")&amp;IF(E499="","missing number; ","")&amp;IF(J499="","missing status; ","")&amp;IF(AND(A499="client",COUNTIF(الزبائن!$A$6:$A$505,B499)=0),"client key not found; ","")&amp;IF(AND(A499="proposed_name",COUNTIF('أسماء مقترحة'!$A$6:$A$505,B499)=0),"proposed_name key not found; ","")&amp;IF(AND(D499="mobile",J499&lt;&gt;"invalid",NOT(OR(AND(LEN(E499&amp;"")=10,LEFT(E499&amp;"",2)="09"),AND(LEN(E499&amp;"")=9,LEFT(E499&amp;"",1)="9")))),"mobile must be 09XXXXXXXX or status invalid; ","")&amp;IF(COUNTIFS($A$6:$A$505,A499,$B$6:$B$505,B499,$E$6:$E$505,E499)&gt;1,"duplicate number for same entity; ",""))))</f>
        <v/>
      </c>
    </row>
    <row r="500" spans="1:14">
      <c r="A500" s="23"/>
      <c r="B500" s="24"/>
      <c r="C500" s="25"/>
      <c r="D500" s="25"/>
      <c r="E500" s="24"/>
      <c r="F500" s="24"/>
      <c r="G500" s="25"/>
      <c r="H500" s="25"/>
      <c r="I500" s="25"/>
      <c r="J500" s="25"/>
      <c r="K500" s="25"/>
      <c r="L500" s="25"/>
      <c r="M500" s="25" t="str">
        <f>IF(AND(A500="",B500="",E500=""),"",IF(OR(A500="",B500="",C500="",D500="",E500="",J500="",AND(A500="client",COUNTIF(الزبائن!$A$6:$A$505,B500)=0),AND(A500="proposed_name",COUNTIF('أسماء مقترحة'!$A$6:$A$505,B500)=0),AND(D500="mobile",J500&lt;&gt;"invalid",NOT(OR(AND(LEN(E500&amp;"")=10,LEFT(E500&amp;"",2)="09"),AND(LEN(E500&amp;"")=9,LEFT(E500&amp;"",1)="9")))),COUNTIFS($A$6:$A$505,A500,$B$6:$B$505,B500,$E$6:$E$505,E500)&gt;1),"REVIEW","READY"))</f>
        <v/>
      </c>
      <c r="N500" s="27" t="str">
        <f>IF(M500="","",IF(M500="READY","",TRIM(IF(A500="","missing entity_type; ","")&amp;IF(B500="","missing entity_key; ","")&amp;IF(C500="","missing contact_order; ","")&amp;IF(D500="","missing contact_type; ","")&amp;IF(E500="","missing number; ","")&amp;IF(J500="","missing status; ","")&amp;IF(AND(A500="client",COUNTIF(الزبائن!$A$6:$A$505,B500)=0),"client key not found; ","")&amp;IF(AND(A500="proposed_name",COUNTIF('أسماء مقترحة'!$A$6:$A$505,B500)=0),"proposed_name key not found; ","")&amp;IF(AND(D500="mobile",J500&lt;&gt;"invalid",NOT(OR(AND(LEN(E500&amp;"")=10,LEFT(E500&amp;"",2)="09"),AND(LEN(E500&amp;"")=9,LEFT(E500&amp;"",1)="9")))),"mobile must be 09XXXXXXXX or status invalid; ","")&amp;IF(COUNTIFS($A$6:$A$505,A500,$B$6:$B$505,B500,$E$6:$E$505,E500)&gt;1,"duplicate number for same entity; ",""))))</f>
        <v/>
      </c>
    </row>
    <row r="501" spans="1:14">
      <c r="A501" s="23"/>
      <c r="B501" s="24"/>
      <c r="C501" s="25"/>
      <c r="D501" s="25"/>
      <c r="E501" s="24"/>
      <c r="F501" s="24"/>
      <c r="G501" s="25"/>
      <c r="H501" s="25"/>
      <c r="I501" s="25"/>
      <c r="J501" s="25"/>
      <c r="K501" s="25"/>
      <c r="L501" s="25"/>
      <c r="M501" s="25" t="str">
        <f>IF(AND(A501="",B501="",E501=""),"",IF(OR(A501="",B501="",C501="",D501="",E501="",J501="",AND(A501="client",COUNTIF(الزبائن!$A$6:$A$505,B501)=0),AND(A501="proposed_name",COUNTIF('أسماء مقترحة'!$A$6:$A$505,B501)=0),AND(D501="mobile",J501&lt;&gt;"invalid",NOT(OR(AND(LEN(E501&amp;"")=10,LEFT(E501&amp;"",2)="09"),AND(LEN(E501&amp;"")=9,LEFT(E501&amp;"",1)="9")))),COUNTIFS($A$6:$A$505,A501,$B$6:$B$505,B501,$E$6:$E$505,E501)&gt;1),"REVIEW","READY"))</f>
        <v/>
      </c>
      <c r="N501" s="27" t="str">
        <f>IF(M501="","",IF(M501="READY","",TRIM(IF(A501="","missing entity_type; ","")&amp;IF(B501="","missing entity_key; ","")&amp;IF(C501="","missing contact_order; ","")&amp;IF(D501="","missing contact_type; ","")&amp;IF(E501="","missing number; ","")&amp;IF(J501="","missing status; ","")&amp;IF(AND(A501="client",COUNTIF(الزبائن!$A$6:$A$505,B501)=0),"client key not found; ","")&amp;IF(AND(A501="proposed_name",COUNTIF('أسماء مقترحة'!$A$6:$A$505,B501)=0),"proposed_name key not found; ","")&amp;IF(AND(D501="mobile",J501&lt;&gt;"invalid",NOT(OR(AND(LEN(E501&amp;"")=10,LEFT(E501&amp;"",2)="09"),AND(LEN(E501&amp;"")=9,LEFT(E501&amp;"",1)="9")))),"mobile must be 09XXXXXXXX or status invalid; ","")&amp;IF(COUNTIFS($A$6:$A$505,A501,$B$6:$B$505,B501,$E$6:$E$505,E501)&gt;1,"duplicate number for same entity; ",""))))</f>
        <v/>
      </c>
    </row>
    <row r="502" spans="1:14">
      <c r="A502" s="23"/>
      <c r="B502" s="24"/>
      <c r="C502" s="25"/>
      <c r="D502" s="25"/>
      <c r="E502" s="24"/>
      <c r="F502" s="24"/>
      <c r="G502" s="25"/>
      <c r="H502" s="25"/>
      <c r="I502" s="25"/>
      <c r="J502" s="25"/>
      <c r="K502" s="25"/>
      <c r="L502" s="25"/>
      <c r="M502" s="25" t="str">
        <f>IF(AND(A502="",B502="",E502=""),"",IF(OR(A502="",B502="",C502="",D502="",E502="",J502="",AND(A502="client",COUNTIF(الزبائن!$A$6:$A$505,B502)=0),AND(A502="proposed_name",COUNTIF('أسماء مقترحة'!$A$6:$A$505,B502)=0),AND(D502="mobile",J502&lt;&gt;"invalid",NOT(OR(AND(LEN(E502&amp;"")=10,LEFT(E502&amp;"",2)="09"),AND(LEN(E502&amp;"")=9,LEFT(E502&amp;"",1)="9")))),COUNTIFS($A$6:$A$505,A502,$B$6:$B$505,B502,$E$6:$E$505,E502)&gt;1),"REVIEW","READY"))</f>
        <v/>
      </c>
      <c r="N502" s="27" t="str">
        <f>IF(M502="","",IF(M502="READY","",TRIM(IF(A502="","missing entity_type; ","")&amp;IF(B502="","missing entity_key; ","")&amp;IF(C502="","missing contact_order; ","")&amp;IF(D502="","missing contact_type; ","")&amp;IF(E502="","missing number; ","")&amp;IF(J502="","missing status; ","")&amp;IF(AND(A502="client",COUNTIF(الزبائن!$A$6:$A$505,B502)=0),"client key not found; ","")&amp;IF(AND(A502="proposed_name",COUNTIF('أسماء مقترحة'!$A$6:$A$505,B502)=0),"proposed_name key not found; ","")&amp;IF(AND(D502="mobile",J502&lt;&gt;"invalid",NOT(OR(AND(LEN(E502&amp;"")=10,LEFT(E502&amp;"",2)="09"),AND(LEN(E502&amp;"")=9,LEFT(E502&amp;"",1)="9")))),"mobile must be 09XXXXXXXX or status invalid; ","")&amp;IF(COUNTIFS($A$6:$A$505,A502,$B$6:$B$505,B502,$E$6:$E$505,E502)&gt;1,"duplicate number for same entity; ",""))))</f>
        <v/>
      </c>
    </row>
    <row r="503" spans="1:14">
      <c r="A503" s="23"/>
      <c r="B503" s="24"/>
      <c r="C503" s="25"/>
      <c r="D503" s="25"/>
      <c r="E503" s="24"/>
      <c r="F503" s="24"/>
      <c r="G503" s="25"/>
      <c r="H503" s="25"/>
      <c r="I503" s="25"/>
      <c r="J503" s="25"/>
      <c r="K503" s="25"/>
      <c r="L503" s="25"/>
      <c r="M503" s="25" t="str">
        <f>IF(AND(A503="",B503="",E503=""),"",IF(OR(A503="",B503="",C503="",D503="",E503="",J503="",AND(A503="client",COUNTIF(الزبائن!$A$6:$A$505,B503)=0),AND(A503="proposed_name",COUNTIF('أسماء مقترحة'!$A$6:$A$505,B503)=0),AND(D503="mobile",J503&lt;&gt;"invalid",NOT(OR(AND(LEN(E503&amp;"")=10,LEFT(E503&amp;"",2)="09"),AND(LEN(E503&amp;"")=9,LEFT(E503&amp;"",1)="9")))),COUNTIFS($A$6:$A$505,A503,$B$6:$B$505,B503,$E$6:$E$505,E503)&gt;1),"REVIEW","READY"))</f>
        <v/>
      </c>
      <c r="N503" s="27" t="str">
        <f>IF(M503="","",IF(M503="READY","",TRIM(IF(A503="","missing entity_type; ","")&amp;IF(B503="","missing entity_key; ","")&amp;IF(C503="","missing contact_order; ","")&amp;IF(D503="","missing contact_type; ","")&amp;IF(E503="","missing number; ","")&amp;IF(J503="","missing status; ","")&amp;IF(AND(A503="client",COUNTIF(الزبائن!$A$6:$A$505,B503)=0),"client key not found; ","")&amp;IF(AND(A503="proposed_name",COUNTIF('أسماء مقترحة'!$A$6:$A$505,B503)=0),"proposed_name key not found; ","")&amp;IF(AND(D503="mobile",J503&lt;&gt;"invalid",NOT(OR(AND(LEN(E503&amp;"")=10,LEFT(E503&amp;"",2)="09"),AND(LEN(E503&amp;"")=9,LEFT(E503&amp;"",1)="9")))),"mobile must be 09XXXXXXXX or status invalid; ","")&amp;IF(COUNTIFS($A$6:$A$505,A503,$B$6:$B$505,B503,$E$6:$E$505,E503)&gt;1,"duplicate number for same entity; ",""))))</f>
        <v/>
      </c>
    </row>
    <row r="504" spans="1:14">
      <c r="A504" s="23"/>
      <c r="B504" s="24"/>
      <c r="C504" s="25"/>
      <c r="D504" s="25"/>
      <c r="E504" s="24"/>
      <c r="F504" s="24"/>
      <c r="G504" s="25"/>
      <c r="H504" s="25"/>
      <c r="I504" s="25"/>
      <c r="J504" s="25"/>
      <c r="K504" s="25"/>
      <c r="L504" s="25"/>
      <c r="M504" s="25" t="str">
        <f>IF(AND(A504="",B504="",E504=""),"",IF(OR(A504="",B504="",C504="",D504="",E504="",J504="",AND(A504="client",COUNTIF(الزبائن!$A$6:$A$505,B504)=0),AND(A504="proposed_name",COUNTIF('أسماء مقترحة'!$A$6:$A$505,B504)=0),AND(D504="mobile",J504&lt;&gt;"invalid",NOT(OR(AND(LEN(E504&amp;"")=10,LEFT(E504&amp;"",2)="09"),AND(LEN(E504&amp;"")=9,LEFT(E504&amp;"",1)="9")))),COUNTIFS($A$6:$A$505,A504,$B$6:$B$505,B504,$E$6:$E$505,E504)&gt;1),"REVIEW","READY"))</f>
        <v/>
      </c>
      <c r="N504" s="27" t="str">
        <f>IF(M504="","",IF(M504="READY","",TRIM(IF(A504="","missing entity_type; ","")&amp;IF(B504="","missing entity_key; ","")&amp;IF(C504="","missing contact_order; ","")&amp;IF(D504="","missing contact_type; ","")&amp;IF(E504="","missing number; ","")&amp;IF(J504="","missing status; ","")&amp;IF(AND(A504="client",COUNTIF(الزبائن!$A$6:$A$505,B504)=0),"client key not found; ","")&amp;IF(AND(A504="proposed_name",COUNTIF('أسماء مقترحة'!$A$6:$A$505,B504)=0),"proposed_name key not found; ","")&amp;IF(AND(D504="mobile",J504&lt;&gt;"invalid",NOT(OR(AND(LEN(E504&amp;"")=10,LEFT(E504&amp;"",2)="09"),AND(LEN(E504&amp;"")=9,LEFT(E504&amp;"",1)="9")))),"mobile must be 09XXXXXXXX or status invalid; ","")&amp;IF(COUNTIFS($A$6:$A$505,A504,$B$6:$B$505,B504,$E$6:$E$505,E504)&gt;1,"duplicate number for same entity; ",""))))</f>
        <v/>
      </c>
    </row>
    <row r="505" spans="1:14">
      <c r="A505" s="28"/>
      <c r="B505" s="29"/>
      <c r="C505" s="30"/>
      <c r="D505" s="30"/>
      <c r="E505" s="29"/>
      <c r="F505" s="29"/>
      <c r="G505" s="30"/>
      <c r="H505" s="30"/>
      <c r="I505" s="30"/>
      <c r="J505" s="30"/>
      <c r="K505" s="30"/>
      <c r="L505" s="30"/>
      <c r="M505" s="30" t="str">
        <f>IF(AND(A505="",B505="",E505=""),"",IF(OR(A505="",B505="",C505="",D505="",E505="",J505="",AND(A505="client",COUNTIF(الزبائن!$A$6:$A$505,B505)=0),AND(A505="proposed_name",COUNTIF('أسماء مقترحة'!$A$6:$A$505,B505)=0),AND(D505="mobile",J505&lt;&gt;"invalid",NOT(OR(AND(LEN(E505&amp;"")=10,LEFT(E505&amp;"",2)="09"),AND(LEN(E505&amp;"")=9,LEFT(E505&amp;"",1)="9")))),COUNTIFS($A$6:$A$505,A505,$B$6:$B$505,B505,$E$6:$E$505,E505)&gt;1),"REVIEW","READY"))</f>
        <v/>
      </c>
      <c r="N505" s="31" t="str">
        <f>IF(M505="","",IF(M505="READY","",TRIM(IF(A505="","missing entity_type; ","")&amp;IF(B505="","missing entity_key; ","")&amp;IF(C505="","missing contact_order; ","")&amp;IF(D505="","missing contact_type; ","")&amp;IF(E505="","missing number; ","")&amp;IF(J505="","missing status; ","")&amp;IF(AND(A505="client",COUNTIF(الزبائن!$A$6:$A$505,B505)=0),"client key not found; ","")&amp;IF(AND(A505="proposed_name",COUNTIF('أسماء مقترحة'!$A$6:$A$505,B505)=0),"proposed_name key not found; ","")&amp;IF(AND(D505="mobile",J505&lt;&gt;"invalid",NOT(OR(AND(LEN(E505&amp;"")=10,LEFT(E505&amp;"",2)="09"),AND(LEN(E505&amp;"")=9,LEFT(E505&amp;"",1)="9")))),"mobile must be 09XXXXXXXX or status invalid; ","")&amp;IF(COUNTIFS($A$6:$A$505,A505,$B$6:$B$505,B505,$E$6:$E$505,E505)&gt;1,"duplicate number for same entity; ",""))))</f>
        <v/>
      </c>
    </row>
  </sheetData>
  <mergeCells count="5">
    <mergeCell ref="A1:N1"/>
    <mergeCell ref="A2:N2"/>
    <mergeCell ref="A4:B4"/>
    <mergeCell ref="C4:J4"/>
    <mergeCell ref="K4:N4"/>
  </mergeCells>
  <conditionalFormatting sqref="M6:M505">
    <cfRule type="containsText" dxfId="11" priority="1" operator="containsText" text="READY"/>
    <cfRule type="containsText" dxfId="10" priority="2" operator="containsText" text="TO_PROPOSED"/>
    <cfRule type="containsText" dxfId="9" priority="3" operator="containsText" text="REVIEW"/>
    <cfRule type="containsText" dxfId="8" priority="4" operator="containsText" text="SKIP"/>
  </conditionalFormatting>
  <dataValidations count="6">
    <dataValidation type="list" sqref="A6:A505">
      <formula1>"client,proposed_name"</formula1>
    </dataValidation>
    <dataValidation type="list" sqref="D6:D505">
      <formula1>"mobile,landline,other"</formula1>
    </dataValidation>
    <dataValidation type="list" sqref="H6:H505">
      <formula1>"TRUE,FALSE"</formula1>
    </dataValidation>
    <dataValidation type="list" sqref="I6:I505">
      <formula1>"TRUE,FALSE"</formula1>
    </dataValidation>
    <dataValidation type="list" sqref="J6:J505">
      <formula1>"active,preferred,out-of-coverage,unused,invalid"</formula1>
    </dataValidation>
    <dataValidation type="list" sqref="K6:K505">
      <formula1>"raw,cleaned,review_needed,blocked"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5"/>
  <sheetViews>
    <sheetView showGridLines="0" workbookViewId="0">
      <selection sqref="A1:Q1"/>
    </sheetView>
  </sheetViews>
  <sheetFormatPr defaultRowHeight="14.25"/>
  <cols>
    <col min="1" max="1" width="16" customWidth="1"/>
    <col min="2" max="2" width="24" customWidth="1"/>
    <col min="3" max="4" width="12" customWidth="1"/>
    <col min="5" max="5" width="16" customWidth="1"/>
    <col min="6" max="7" width="18" customWidth="1"/>
    <col min="8" max="8" width="24" customWidth="1"/>
    <col min="9" max="9" width="14" customWidth="1"/>
    <col min="10" max="10" width="28" customWidth="1"/>
    <col min="11" max="11" width="18" customWidth="1"/>
    <col min="12" max="12" width="34" customWidth="1"/>
    <col min="13" max="13" width="18" customWidth="1"/>
    <col min="14" max="14" width="38" customWidth="1"/>
    <col min="15" max="15" width="18" customWidth="1"/>
    <col min="16" max="16" width="14" customWidth="1"/>
    <col min="17" max="17" width="52" customWidth="1"/>
  </cols>
  <sheetData>
    <row r="1" spans="1:17" ht="33.950000000000003" customHeight="1">
      <c r="A1" s="43" t="s">
        <v>248</v>
      </c>
      <c r="B1" s="43" t="s">
        <v>248</v>
      </c>
      <c r="C1" s="43" t="s">
        <v>248</v>
      </c>
      <c r="D1" s="43" t="s">
        <v>248</v>
      </c>
      <c r="E1" s="43" t="s">
        <v>248</v>
      </c>
      <c r="F1" s="43" t="s">
        <v>248</v>
      </c>
      <c r="G1" s="43" t="s">
        <v>248</v>
      </c>
      <c r="H1" s="43" t="s">
        <v>248</v>
      </c>
      <c r="I1" s="43" t="s">
        <v>248</v>
      </c>
      <c r="J1" s="43" t="s">
        <v>248</v>
      </c>
      <c r="K1" s="43" t="s">
        <v>248</v>
      </c>
      <c r="L1" s="43" t="s">
        <v>248</v>
      </c>
      <c r="M1" s="43" t="s">
        <v>248</v>
      </c>
      <c r="N1" s="43" t="s">
        <v>248</v>
      </c>
      <c r="O1" s="43" t="s">
        <v>248</v>
      </c>
      <c r="P1" s="43" t="s">
        <v>248</v>
      </c>
      <c r="Q1" s="43" t="s">
        <v>248</v>
      </c>
    </row>
    <row r="2" spans="1:17" ht="27.95" customHeight="1">
      <c r="A2" s="44" t="s">
        <v>249</v>
      </c>
      <c r="B2" s="44" t="s">
        <v>249</v>
      </c>
      <c r="C2" s="44" t="s">
        <v>249</v>
      </c>
      <c r="D2" s="44" t="s">
        <v>249</v>
      </c>
      <c r="E2" s="44" t="s">
        <v>249</v>
      </c>
      <c r="F2" s="44" t="s">
        <v>249</v>
      </c>
      <c r="G2" s="44" t="s">
        <v>249</v>
      </c>
      <c r="H2" s="44" t="s">
        <v>249</v>
      </c>
      <c r="I2" s="44" t="s">
        <v>249</v>
      </c>
      <c r="J2" s="44" t="s">
        <v>249</v>
      </c>
      <c r="K2" s="44" t="s">
        <v>249</v>
      </c>
      <c r="L2" s="44" t="s">
        <v>249</v>
      </c>
      <c r="M2" s="44" t="s">
        <v>249</v>
      </c>
      <c r="N2" s="44" t="s">
        <v>249</v>
      </c>
      <c r="O2" s="44" t="s">
        <v>249</v>
      </c>
      <c r="P2" s="44" t="s">
        <v>249</v>
      </c>
      <c r="Q2" s="44" t="s">
        <v>249</v>
      </c>
    </row>
    <row r="3" spans="1:17">
      <c r="A3" s="5" t="s">
        <v>214</v>
      </c>
      <c r="B3" s="5" t="s">
        <v>215</v>
      </c>
      <c r="C3" s="5" t="s">
        <v>250</v>
      </c>
      <c r="D3" s="5" t="s">
        <v>222</v>
      </c>
      <c r="E3" s="5" t="s">
        <v>251</v>
      </c>
      <c r="F3" s="5" t="s">
        <v>252</v>
      </c>
      <c r="G3" s="5" t="s">
        <v>253</v>
      </c>
      <c r="H3" s="5" t="s">
        <v>254</v>
      </c>
      <c r="I3" s="5" t="s">
        <v>255</v>
      </c>
      <c r="J3" s="5" t="s">
        <v>256</v>
      </c>
      <c r="K3" s="5" t="s">
        <v>257</v>
      </c>
      <c r="L3" s="5" t="s">
        <v>258</v>
      </c>
      <c r="M3" s="5" t="s">
        <v>259</v>
      </c>
      <c r="N3" s="5" t="s">
        <v>260</v>
      </c>
      <c r="O3" s="5" t="s">
        <v>94</v>
      </c>
      <c r="P3" s="5" t="s">
        <v>100</v>
      </c>
      <c r="Q3" s="5" t="s">
        <v>101</v>
      </c>
    </row>
    <row r="4" spans="1:17">
      <c r="A4" s="46" t="s">
        <v>224</v>
      </c>
      <c r="B4" s="48" t="s">
        <v>224</v>
      </c>
      <c r="C4" s="57" t="s">
        <v>261</v>
      </c>
      <c r="D4" s="58" t="s">
        <v>261</v>
      </c>
      <c r="E4" s="58" t="s">
        <v>261</v>
      </c>
      <c r="F4" s="58" t="s">
        <v>261</v>
      </c>
      <c r="G4" s="58" t="s">
        <v>261</v>
      </c>
      <c r="H4" s="58" t="s">
        <v>261</v>
      </c>
      <c r="I4" s="58" t="s">
        <v>261</v>
      </c>
      <c r="J4" s="58" t="s">
        <v>261</v>
      </c>
      <c r="K4" s="58" t="s">
        <v>261</v>
      </c>
      <c r="L4" s="58" t="s">
        <v>261</v>
      </c>
      <c r="M4" s="59" t="s">
        <v>261</v>
      </c>
      <c r="N4" s="69" t="s">
        <v>111</v>
      </c>
      <c r="O4" s="70" t="s">
        <v>111</v>
      </c>
      <c r="P4" s="70" t="s">
        <v>111</v>
      </c>
      <c r="Q4" s="71" t="s">
        <v>111</v>
      </c>
    </row>
    <row r="5" spans="1:17" ht="42" customHeight="1">
      <c r="A5" s="7" t="s">
        <v>226</v>
      </c>
      <c r="B5" s="8" t="s">
        <v>227</v>
      </c>
      <c r="C5" s="8" t="s">
        <v>262</v>
      </c>
      <c r="D5" s="9" t="s">
        <v>234</v>
      </c>
      <c r="E5" s="8" t="s">
        <v>263</v>
      </c>
      <c r="F5" s="8" t="s">
        <v>264</v>
      </c>
      <c r="G5" s="9" t="s">
        <v>265</v>
      </c>
      <c r="H5" s="8" t="s">
        <v>266</v>
      </c>
      <c r="I5" s="9" t="s">
        <v>267</v>
      </c>
      <c r="J5" s="9" t="s">
        <v>268</v>
      </c>
      <c r="K5" s="9" t="s">
        <v>269</v>
      </c>
      <c r="L5" s="9" t="s">
        <v>270</v>
      </c>
      <c r="M5" s="9" t="s">
        <v>271</v>
      </c>
      <c r="N5" s="9" t="s">
        <v>272</v>
      </c>
      <c r="O5" s="9" t="s">
        <v>159</v>
      </c>
      <c r="P5" s="9" t="s">
        <v>165</v>
      </c>
      <c r="Q5" s="10" t="s">
        <v>166</v>
      </c>
    </row>
    <row r="6" spans="1:17">
      <c r="A6" s="23" t="s">
        <v>192</v>
      </c>
      <c r="B6" s="24" t="s">
        <v>167</v>
      </c>
      <c r="C6" s="25">
        <v>1</v>
      </c>
      <c r="D6" s="25" t="s">
        <v>238</v>
      </c>
      <c r="E6" s="25" t="s">
        <v>273</v>
      </c>
      <c r="F6" s="25" t="s">
        <v>274</v>
      </c>
      <c r="G6" s="24"/>
      <c r="H6" s="25" t="s">
        <v>275</v>
      </c>
      <c r="I6" s="32">
        <v>46204</v>
      </c>
      <c r="J6" s="25" t="s">
        <v>276</v>
      </c>
      <c r="K6" s="24"/>
      <c r="L6" s="25"/>
      <c r="M6" s="25" t="s">
        <v>277</v>
      </c>
      <c r="N6" s="25"/>
      <c r="O6" s="25" t="s">
        <v>190</v>
      </c>
      <c r="P6" s="25" t="str">
        <f>IF(AND(A6="",B6="",H6=""),"",IF(OR(A6="",B6="",C6="",E6="",F6="",H6="",AND(A6="client",COUNTIF(الزبائن!$A$6:$A$505,B6)=0),AND(A6="proposed_name",COUNTIF('أسماء مقترحة'!$A$6:$A$505,B6)=0)),"REVIEW","READY"))</f>
        <v>READY</v>
      </c>
      <c r="Q6" s="27" t="str">
        <f>IF(P6="","",IF(P6="READY","",TRIM(IF(A6="","missing entity_type; ","")&amp;IF(B6="","missing entity_key; ","")&amp;IF(C6="","missing referrer_order; ","")&amp;IF(E6="","missing referrer_type; ","")&amp;IF(F6="","missing referral_origin_channel; ","")&amp;IF(H6="","missing referrer_name_snapshot; ","")&amp;IF(AND(A6="client",COUNTIF(الزبائن!$A$6:$A$505,B6)=0),"client key not found; ","")&amp;IF(AND(A6="proposed_name",COUNTIF('أسماء مقترحة'!$A$6:$A$505,B6)=0),"proposed_name key not found; ",""))))</f>
        <v/>
      </c>
    </row>
    <row r="7" spans="1:17">
      <c r="A7" s="23" t="s">
        <v>208</v>
      </c>
      <c r="B7" s="24" t="s">
        <v>210</v>
      </c>
      <c r="C7" s="25">
        <v>1</v>
      </c>
      <c r="D7" s="25" t="s">
        <v>238</v>
      </c>
      <c r="E7" s="25" t="s">
        <v>278</v>
      </c>
      <c r="F7" s="25" t="s">
        <v>279</v>
      </c>
      <c r="G7" s="24"/>
      <c r="H7" s="25" t="s">
        <v>280</v>
      </c>
      <c r="I7" s="32"/>
      <c r="J7" s="25"/>
      <c r="K7" s="24"/>
      <c r="L7" s="25"/>
      <c r="M7" s="25" t="s">
        <v>281</v>
      </c>
      <c r="N7" s="25" t="s">
        <v>282</v>
      </c>
      <c r="O7" s="25" t="s">
        <v>206</v>
      </c>
      <c r="P7" s="25" t="str">
        <f>IF(AND(A7="",B7="",H7=""),"",IF(OR(A7="",B7="",C7="",E7="",F7="",H7="",AND(A7="client",COUNTIF(الزبائن!$A$6:$A$505,B7)=0),AND(A7="proposed_name",COUNTIF('أسماء مقترحة'!$A$6:$A$505,B7)=0)),"REVIEW","READY"))</f>
        <v>READY</v>
      </c>
      <c r="Q7" s="27" t="str">
        <f>IF(P7="","",IF(P7="READY","",TRIM(IF(A7="","missing entity_type; ","")&amp;IF(B7="","missing entity_key; ","")&amp;IF(C7="","missing referrer_order; ","")&amp;IF(E7="","missing referrer_type; ","")&amp;IF(F7="","missing referral_origin_channel; ","")&amp;IF(H7="","missing referrer_name_snapshot; ","")&amp;IF(AND(A7="client",COUNTIF(الزبائن!$A$6:$A$505,B7)=0),"client key not found; ","")&amp;IF(AND(A7="proposed_name",COUNTIF('أسماء مقترحة'!$A$6:$A$505,B7)=0),"proposed_name key not found; ",""))))</f>
        <v/>
      </c>
    </row>
    <row r="8" spans="1:17">
      <c r="A8" s="23"/>
      <c r="B8" s="24"/>
      <c r="C8" s="25"/>
      <c r="D8" s="25"/>
      <c r="E8" s="25"/>
      <c r="F8" s="25"/>
      <c r="G8" s="24"/>
      <c r="H8" s="25"/>
      <c r="I8" s="32"/>
      <c r="J8" s="25"/>
      <c r="K8" s="24"/>
      <c r="L8" s="25"/>
      <c r="M8" s="25"/>
      <c r="N8" s="25"/>
      <c r="O8" s="25"/>
      <c r="P8" s="25" t="str">
        <f>IF(AND(A8="",B8="",H8=""),"",IF(OR(A8="",B8="",C8="",E8="",F8="",H8="",AND(A8="client",COUNTIF(الزبائن!$A$6:$A$505,B8)=0),AND(A8="proposed_name",COUNTIF('أسماء مقترحة'!$A$6:$A$505,B8)=0)),"REVIEW","READY"))</f>
        <v/>
      </c>
      <c r="Q8" s="27" t="str">
        <f>IF(P8="","",IF(P8="READY","",TRIM(IF(A8="","missing entity_type; ","")&amp;IF(B8="","missing entity_key; ","")&amp;IF(C8="","missing referrer_order; ","")&amp;IF(E8="","missing referrer_type; ","")&amp;IF(F8="","missing referral_origin_channel; ","")&amp;IF(H8="","missing referrer_name_snapshot; ","")&amp;IF(AND(A8="client",COUNTIF(الزبائن!$A$6:$A$505,B8)=0),"client key not found; ","")&amp;IF(AND(A8="proposed_name",COUNTIF('أسماء مقترحة'!$A$6:$A$505,B8)=0),"proposed_name key not found; ",""))))</f>
        <v/>
      </c>
    </row>
    <row r="9" spans="1:17">
      <c r="A9" s="23"/>
      <c r="B9" s="24"/>
      <c r="C9" s="25"/>
      <c r="D9" s="25"/>
      <c r="E9" s="25"/>
      <c r="F9" s="25"/>
      <c r="G9" s="24"/>
      <c r="H9" s="25"/>
      <c r="I9" s="32"/>
      <c r="J9" s="25"/>
      <c r="K9" s="24"/>
      <c r="L9" s="25"/>
      <c r="M9" s="25"/>
      <c r="N9" s="25"/>
      <c r="O9" s="25"/>
      <c r="P9" s="25" t="str">
        <f>IF(AND(A9="",B9="",H9=""),"",IF(OR(A9="",B9="",C9="",E9="",F9="",H9="",AND(A9="client",COUNTIF(الزبائن!$A$6:$A$505,B9)=0),AND(A9="proposed_name",COUNTIF('أسماء مقترحة'!$A$6:$A$505,B9)=0)),"REVIEW","READY"))</f>
        <v/>
      </c>
      <c r="Q9" s="27" t="str">
        <f>IF(P9="","",IF(P9="READY","",TRIM(IF(A9="","missing entity_type; ","")&amp;IF(B9="","missing entity_key; ","")&amp;IF(C9="","missing referrer_order; ","")&amp;IF(E9="","missing referrer_type; ","")&amp;IF(F9="","missing referral_origin_channel; ","")&amp;IF(H9="","missing referrer_name_snapshot; ","")&amp;IF(AND(A9="client",COUNTIF(الزبائن!$A$6:$A$505,B9)=0),"client key not found; ","")&amp;IF(AND(A9="proposed_name",COUNTIF('أسماء مقترحة'!$A$6:$A$505,B9)=0),"proposed_name key not found; ",""))))</f>
        <v/>
      </c>
    </row>
    <row r="10" spans="1:17">
      <c r="A10" s="23"/>
      <c r="B10" s="24"/>
      <c r="C10" s="25"/>
      <c r="D10" s="25"/>
      <c r="E10" s="25"/>
      <c r="F10" s="25"/>
      <c r="G10" s="24"/>
      <c r="H10" s="25"/>
      <c r="I10" s="32"/>
      <c r="J10" s="25"/>
      <c r="K10" s="24"/>
      <c r="L10" s="25"/>
      <c r="M10" s="25"/>
      <c r="N10" s="25"/>
      <c r="O10" s="25"/>
      <c r="P10" s="25" t="str">
        <f>IF(AND(A10="",B10="",H10=""),"",IF(OR(A10="",B10="",C10="",E10="",F10="",H10="",AND(A10="client",COUNTIF(الزبائن!$A$6:$A$505,B10)=0),AND(A10="proposed_name",COUNTIF('أسماء مقترحة'!$A$6:$A$505,B10)=0)),"REVIEW","READY"))</f>
        <v/>
      </c>
      <c r="Q10" s="27" t="str">
        <f>IF(P10="","",IF(P10="READY","",TRIM(IF(A10="","missing entity_type; ","")&amp;IF(B10="","missing entity_key; ","")&amp;IF(C10="","missing referrer_order; ","")&amp;IF(E10="","missing referrer_type; ","")&amp;IF(F10="","missing referral_origin_channel; ","")&amp;IF(H10="","missing referrer_name_snapshot; ","")&amp;IF(AND(A10="client",COUNTIF(الزبائن!$A$6:$A$505,B10)=0),"client key not found; ","")&amp;IF(AND(A10="proposed_name",COUNTIF('أسماء مقترحة'!$A$6:$A$505,B10)=0),"proposed_name key not found; ",""))))</f>
        <v/>
      </c>
    </row>
    <row r="11" spans="1:17">
      <c r="A11" s="23"/>
      <c r="B11" s="24"/>
      <c r="C11" s="25"/>
      <c r="D11" s="25"/>
      <c r="E11" s="25"/>
      <c r="F11" s="25"/>
      <c r="G11" s="24"/>
      <c r="H11" s="25"/>
      <c r="I11" s="32"/>
      <c r="J11" s="25"/>
      <c r="K11" s="24"/>
      <c r="L11" s="25"/>
      <c r="M11" s="25"/>
      <c r="N11" s="25"/>
      <c r="O11" s="25"/>
      <c r="P11" s="25" t="str">
        <f>IF(AND(A11="",B11="",H11=""),"",IF(OR(A11="",B11="",C11="",E11="",F11="",H11="",AND(A11="client",COUNTIF(الزبائن!$A$6:$A$505,B11)=0),AND(A11="proposed_name",COUNTIF('أسماء مقترحة'!$A$6:$A$505,B11)=0)),"REVIEW","READY"))</f>
        <v/>
      </c>
      <c r="Q11" s="27" t="str">
        <f>IF(P11="","",IF(P11="READY","",TRIM(IF(A11="","missing entity_type; ","")&amp;IF(B11="","missing entity_key; ","")&amp;IF(C11="","missing referrer_order; ","")&amp;IF(E11="","missing referrer_type; ","")&amp;IF(F11="","missing referral_origin_channel; ","")&amp;IF(H11="","missing referrer_name_snapshot; ","")&amp;IF(AND(A11="client",COUNTIF(الزبائن!$A$6:$A$505,B11)=0),"client key not found; ","")&amp;IF(AND(A11="proposed_name",COUNTIF('أسماء مقترحة'!$A$6:$A$505,B11)=0),"proposed_name key not found; ",""))))</f>
        <v/>
      </c>
    </row>
    <row r="12" spans="1:17">
      <c r="A12" s="23"/>
      <c r="B12" s="24"/>
      <c r="C12" s="25"/>
      <c r="D12" s="25"/>
      <c r="E12" s="25"/>
      <c r="F12" s="25"/>
      <c r="G12" s="24"/>
      <c r="H12" s="25"/>
      <c r="I12" s="32"/>
      <c r="J12" s="25"/>
      <c r="K12" s="24"/>
      <c r="L12" s="25"/>
      <c r="M12" s="25"/>
      <c r="N12" s="25"/>
      <c r="O12" s="25"/>
      <c r="P12" s="25" t="str">
        <f>IF(AND(A12="",B12="",H12=""),"",IF(OR(A12="",B12="",C12="",E12="",F12="",H12="",AND(A12="client",COUNTIF(الزبائن!$A$6:$A$505,B12)=0),AND(A12="proposed_name",COUNTIF('أسماء مقترحة'!$A$6:$A$505,B12)=0)),"REVIEW","READY"))</f>
        <v/>
      </c>
      <c r="Q12" s="27" t="str">
        <f>IF(P12="","",IF(P12="READY","",TRIM(IF(A12="","missing entity_type; ","")&amp;IF(B12="","missing entity_key; ","")&amp;IF(C12="","missing referrer_order; ","")&amp;IF(E12="","missing referrer_type; ","")&amp;IF(F12="","missing referral_origin_channel; ","")&amp;IF(H12="","missing referrer_name_snapshot; ","")&amp;IF(AND(A12="client",COUNTIF(الزبائن!$A$6:$A$505,B12)=0),"client key not found; ","")&amp;IF(AND(A12="proposed_name",COUNTIF('أسماء مقترحة'!$A$6:$A$505,B12)=0),"proposed_name key not found; ",""))))</f>
        <v/>
      </c>
    </row>
    <row r="13" spans="1:17">
      <c r="A13" s="23"/>
      <c r="B13" s="24"/>
      <c r="C13" s="25"/>
      <c r="D13" s="25"/>
      <c r="E13" s="25"/>
      <c r="F13" s="25"/>
      <c r="G13" s="24"/>
      <c r="H13" s="25"/>
      <c r="I13" s="32"/>
      <c r="J13" s="25"/>
      <c r="K13" s="24"/>
      <c r="L13" s="25"/>
      <c r="M13" s="25"/>
      <c r="N13" s="25"/>
      <c r="O13" s="25"/>
      <c r="P13" s="25" t="str">
        <f>IF(AND(A13="",B13="",H13=""),"",IF(OR(A13="",B13="",C13="",E13="",F13="",H13="",AND(A13="client",COUNTIF(الزبائن!$A$6:$A$505,B13)=0),AND(A13="proposed_name",COUNTIF('أسماء مقترحة'!$A$6:$A$505,B13)=0)),"REVIEW","READY"))</f>
        <v/>
      </c>
      <c r="Q13" s="27" t="str">
        <f>IF(P13="","",IF(P13="READY","",TRIM(IF(A13="","missing entity_type; ","")&amp;IF(B13="","missing entity_key; ","")&amp;IF(C13="","missing referrer_order; ","")&amp;IF(E13="","missing referrer_type; ","")&amp;IF(F13="","missing referral_origin_channel; ","")&amp;IF(H13="","missing referrer_name_snapshot; ","")&amp;IF(AND(A13="client",COUNTIF(الزبائن!$A$6:$A$505,B13)=0),"client key not found; ","")&amp;IF(AND(A13="proposed_name",COUNTIF('أسماء مقترحة'!$A$6:$A$505,B13)=0),"proposed_name key not found; ",""))))</f>
        <v/>
      </c>
    </row>
    <row r="14" spans="1:17">
      <c r="A14" s="23"/>
      <c r="B14" s="24"/>
      <c r="C14" s="25"/>
      <c r="D14" s="25"/>
      <c r="E14" s="25"/>
      <c r="F14" s="25"/>
      <c r="G14" s="24"/>
      <c r="H14" s="25"/>
      <c r="I14" s="32"/>
      <c r="J14" s="25"/>
      <c r="K14" s="24"/>
      <c r="L14" s="25"/>
      <c r="M14" s="25"/>
      <c r="N14" s="25"/>
      <c r="O14" s="25"/>
      <c r="P14" s="25" t="str">
        <f>IF(AND(A14="",B14="",H14=""),"",IF(OR(A14="",B14="",C14="",E14="",F14="",H14="",AND(A14="client",COUNTIF(الزبائن!$A$6:$A$505,B14)=0),AND(A14="proposed_name",COUNTIF('أسماء مقترحة'!$A$6:$A$505,B14)=0)),"REVIEW","READY"))</f>
        <v/>
      </c>
      <c r="Q14" s="27" t="str">
        <f>IF(P14="","",IF(P14="READY","",TRIM(IF(A14="","missing entity_type; ","")&amp;IF(B14="","missing entity_key; ","")&amp;IF(C14="","missing referrer_order; ","")&amp;IF(E14="","missing referrer_type; ","")&amp;IF(F14="","missing referral_origin_channel; ","")&amp;IF(H14="","missing referrer_name_snapshot; ","")&amp;IF(AND(A14="client",COUNTIF(الزبائن!$A$6:$A$505,B14)=0),"client key not found; ","")&amp;IF(AND(A14="proposed_name",COUNTIF('أسماء مقترحة'!$A$6:$A$505,B14)=0),"proposed_name key not found; ",""))))</f>
        <v/>
      </c>
    </row>
    <row r="15" spans="1:17">
      <c r="A15" s="23"/>
      <c r="B15" s="24"/>
      <c r="C15" s="25"/>
      <c r="D15" s="25"/>
      <c r="E15" s="25"/>
      <c r="F15" s="25"/>
      <c r="G15" s="24"/>
      <c r="H15" s="25"/>
      <c r="I15" s="32"/>
      <c r="J15" s="25"/>
      <c r="K15" s="24"/>
      <c r="L15" s="25"/>
      <c r="M15" s="25"/>
      <c r="N15" s="25"/>
      <c r="O15" s="25"/>
      <c r="P15" s="25" t="str">
        <f>IF(AND(A15="",B15="",H15=""),"",IF(OR(A15="",B15="",C15="",E15="",F15="",H15="",AND(A15="client",COUNTIF(الزبائن!$A$6:$A$505,B15)=0),AND(A15="proposed_name",COUNTIF('أسماء مقترحة'!$A$6:$A$505,B15)=0)),"REVIEW","READY"))</f>
        <v/>
      </c>
      <c r="Q15" s="27" t="str">
        <f>IF(P15="","",IF(P15="READY","",TRIM(IF(A15="","missing entity_type; ","")&amp;IF(B15="","missing entity_key; ","")&amp;IF(C15="","missing referrer_order; ","")&amp;IF(E15="","missing referrer_type; ","")&amp;IF(F15="","missing referral_origin_channel; ","")&amp;IF(H15="","missing referrer_name_snapshot; ","")&amp;IF(AND(A15="client",COUNTIF(الزبائن!$A$6:$A$505,B15)=0),"client key not found; ","")&amp;IF(AND(A15="proposed_name",COUNTIF('أسماء مقترحة'!$A$6:$A$505,B15)=0),"proposed_name key not found; ",""))))</f>
        <v/>
      </c>
    </row>
    <row r="16" spans="1:17">
      <c r="A16" s="23"/>
      <c r="B16" s="24"/>
      <c r="C16" s="25"/>
      <c r="D16" s="25"/>
      <c r="E16" s="25"/>
      <c r="F16" s="25"/>
      <c r="G16" s="24"/>
      <c r="H16" s="25"/>
      <c r="I16" s="32"/>
      <c r="J16" s="25"/>
      <c r="K16" s="24"/>
      <c r="L16" s="25"/>
      <c r="M16" s="25"/>
      <c r="N16" s="25"/>
      <c r="O16" s="25"/>
      <c r="P16" s="25" t="str">
        <f>IF(AND(A16="",B16="",H16=""),"",IF(OR(A16="",B16="",C16="",E16="",F16="",H16="",AND(A16="client",COUNTIF(الزبائن!$A$6:$A$505,B16)=0),AND(A16="proposed_name",COUNTIF('أسماء مقترحة'!$A$6:$A$505,B16)=0)),"REVIEW","READY"))</f>
        <v/>
      </c>
      <c r="Q16" s="27" t="str">
        <f>IF(P16="","",IF(P16="READY","",TRIM(IF(A16="","missing entity_type; ","")&amp;IF(B16="","missing entity_key; ","")&amp;IF(C16="","missing referrer_order; ","")&amp;IF(E16="","missing referrer_type; ","")&amp;IF(F16="","missing referral_origin_channel; ","")&amp;IF(H16="","missing referrer_name_snapshot; ","")&amp;IF(AND(A16="client",COUNTIF(الزبائن!$A$6:$A$505,B16)=0),"client key not found; ","")&amp;IF(AND(A16="proposed_name",COUNTIF('أسماء مقترحة'!$A$6:$A$505,B16)=0),"proposed_name key not found; ",""))))</f>
        <v/>
      </c>
    </row>
    <row r="17" spans="1:17">
      <c r="A17" s="23"/>
      <c r="B17" s="24"/>
      <c r="C17" s="25"/>
      <c r="D17" s="25"/>
      <c r="E17" s="25"/>
      <c r="F17" s="25"/>
      <c r="G17" s="24"/>
      <c r="H17" s="25"/>
      <c r="I17" s="32"/>
      <c r="J17" s="25"/>
      <c r="K17" s="24"/>
      <c r="L17" s="25"/>
      <c r="M17" s="25"/>
      <c r="N17" s="25"/>
      <c r="O17" s="25"/>
      <c r="P17" s="25" t="str">
        <f>IF(AND(A17="",B17="",H17=""),"",IF(OR(A17="",B17="",C17="",E17="",F17="",H17="",AND(A17="client",COUNTIF(الزبائن!$A$6:$A$505,B17)=0),AND(A17="proposed_name",COUNTIF('أسماء مقترحة'!$A$6:$A$505,B17)=0)),"REVIEW","READY"))</f>
        <v/>
      </c>
      <c r="Q17" s="27" t="str">
        <f>IF(P17="","",IF(P17="READY","",TRIM(IF(A17="","missing entity_type; ","")&amp;IF(B17="","missing entity_key; ","")&amp;IF(C17="","missing referrer_order; ","")&amp;IF(E17="","missing referrer_type; ","")&amp;IF(F17="","missing referral_origin_channel; ","")&amp;IF(H17="","missing referrer_name_snapshot; ","")&amp;IF(AND(A17="client",COUNTIF(الزبائن!$A$6:$A$505,B17)=0),"client key not found; ","")&amp;IF(AND(A17="proposed_name",COUNTIF('أسماء مقترحة'!$A$6:$A$505,B17)=0),"proposed_name key not found; ",""))))</f>
        <v/>
      </c>
    </row>
    <row r="18" spans="1:17">
      <c r="A18" s="23"/>
      <c r="B18" s="24"/>
      <c r="C18" s="25"/>
      <c r="D18" s="25"/>
      <c r="E18" s="25"/>
      <c r="F18" s="25"/>
      <c r="G18" s="24"/>
      <c r="H18" s="25"/>
      <c r="I18" s="32"/>
      <c r="J18" s="25"/>
      <c r="K18" s="24"/>
      <c r="L18" s="25"/>
      <c r="M18" s="25"/>
      <c r="N18" s="25"/>
      <c r="O18" s="25"/>
      <c r="P18" s="25" t="str">
        <f>IF(AND(A18="",B18="",H18=""),"",IF(OR(A18="",B18="",C18="",E18="",F18="",H18="",AND(A18="client",COUNTIF(الزبائن!$A$6:$A$505,B18)=0),AND(A18="proposed_name",COUNTIF('أسماء مقترحة'!$A$6:$A$505,B18)=0)),"REVIEW","READY"))</f>
        <v/>
      </c>
      <c r="Q18" s="27" t="str">
        <f>IF(P18="","",IF(P18="READY","",TRIM(IF(A18="","missing entity_type; ","")&amp;IF(B18="","missing entity_key; ","")&amp;IF(C18="","missing referrer_order; ","")&amp;IF(E18="","missing referrer_type; ","")&amp;IF(F18="","missing referral_origin_channel; ","")&amp;IF(H18="","missing referrer_name_snapshot; ","")&amp;IF(AND(A18="client",COUNTIF(الزبائن!$A$6:$A$505,B18)=0),"client key not found; ","")&amp;IF(AND(A18="proposed_name",COUNTIF('أسماء مقترحة'!$A$6:$A$505,B18)=0),"proposed_name key not found; ",""))))</f>
        <v/>
      </c>
    </row>
    <row r="19" spans="1:17">
      <c r="A19" s="23"/>
      <c r="B19" s="24"/>
      <c r="C19" s="25"/>
      <c r="D19" s="25"/>
      <c r="E19" s="25"/>
      <c r="F19" s="25"/>
      <c r="G19" s="24"/>
      <c r="H19" s="25"/>
      <c r="I19" s="32"/>
      <c r="J19" s="25"/>
      <c r="K19" s="24"/>
      <c r="L19" s="25"/>
      <c r="M19" s="25"/>
      <c r="N19" s="25"/>
      <c r="O19" s="25"/>
      <c r="P19" s="25" t="str">
        <f>IF(AND(A19="",B19="",H19=""),"",IF(OR(A19="",B19="",C19="",E19="",F19="",H19="",AND(A19="client",COUNTIF(الزبائن!$A$6:$A$505,B19)=0),AND(A19="proposed_name",COUNTIF('أسماء مقترحة'!$A$6:$A$505,B19)=0)),"REVIEW","READY"))</f>
        <v/>
      </c>
      <c r="Q19" s="27" t="str">
        <f>IF(P19="","",IF(P19="READY","",TRIM(IF(A19="","missing entity_type; ","")&amp;IF(B19="","missing entity_key; ","")&amp;IF(C19="","missing referrer_order; ","")&amp;IF(E19="","missing referrer_type; ","")&amp;IF(F19="","missing referral_origin_channel; ","")&amp;IF(H19="","missing referrer_name_snapshot; ","")&amp;IF(AND(A19="client",COUNTIF(الزبائن!$A$6:$A$505,B19)=0),"client key not found; ","")&amp;IF(AND(A19="proposed_name",COUNTIF('أسماء مقترحة'!$A$6:$A$505,B19)=0),"proposed_name key not found; ",""))))</f>
        <v/>
      </c>
    </row>
    <row r="20" spans="1:17">
      <c r="A20" s="23"/>
      <c r="B20" s="24"/>
      <c r="C20" s="25"/>
      <c r="D20" s="25"/>
      <c r="E20" s="25"/>
      <c r="F20" s="25"/>
      <c r="G20" s="24"/>
      <c r="H20" s="25"/>
      <c r="I20" s="32"/>
      <c r="J20" s="25"/>
      <c r="K20" s="24"/>
      <c r="L20" s="25"/>
      <c r="M20" s="25"/>
      <c r="N20" s="25"/>
      <c r="O20" s="25"/>
      <c r="P20" s="25" t="str">
        <f>IF(AND(A20="",B20="",H20=""),"",IF(OR(A20="",B20="",C20="",E20="",F20="",H20="",AND(A20="client",COUNTIF(الزبائن!$A$6:$A$505,B20)=0),AND(A20="proposed_name",COUNTIF('أسماء مقترحة'!$A$6:$A$505,B20)=0)),"REVIEW","READY"))</f>
        <v/>
      </c>
      <c r="Q20" s="27" t="str">
        <f>IF(P20="","",IF(P20="READY","",TRIM(IF(A20="","missing entity_type; ","")&amp;IF(B20="","missing entity_key; ","")&amp;IF(C20="","missing referrer_order; ","")&amp;IF(E20="","missing referrer_type; ","")&amp;IF(F20="","missing referral_origin_channel; ","")&amp;IF(H20="","missing referrer_name_snapshot; ","")&amp;IF(AND(A20="client",COUNTIF(الزبائن!$A$6:$A$505,B20)=0),"client key not found; ","")&amp;IF(AND(A20="proposed_name",COUNTIF('أسماء مقترحة'!$A$6:$A$505,B20)=0),"proposed_name key not found; ",""))))</f>
        <v/>
      </c>
    </row>
    <row r="21" spans="1:17">
      <c r="A21" s="23"/>
      <c r="B21" s="24"/>
      <c r="C21" s="25"/>
      <c r="D21" s="25"/>
      <c r="E21" s="25"/>
      <c r="F21" s="25"/>
      <c r="G21" s="24"/>
      <c r="H21" s="25"/>
      <c r="I21" s="32"/>
      <c r="J21" s="25"/>
      <c r="K21" s="24"/>
      <c r="L21" s="25"/>
      <c r="M21" s="25"/>
      <c r="N21" s="25"/>
      <c r="O21" s="25"/>
      <c r="P21" s="25" t="str">
        <f>IF(AND(A21="",B21="",H21=""),"",IF(OR(A21="",B21="",C21="",E21="",F21="",H21="",AND(A21="client",COUNTIF(الزبائن!$A$6:$A$505,B21)=0),AND(A21="proposed_name",COUNTIF('أسماء مقترحة'!$A$6:$A$505,B21)=0)),"REVIEW","READY"))</f>
        <v/>
      </c>
      <c r="Q21" s="27" t="str">
        <f>IF(P21="","",IF(P21="READY","",TRIM(IF(A21="","missing entity_type; ","")&amp;IF(B21="","missing entity_key; ","")&amp;IF(C21="","missing referrer_order; ","")&amp;IF(E21="","missing referrer_type; ","")&amp;IF(F21="","missing referral_origin_channel; ","")&amp;IF(H21="","missing referrer_name_snapshot; ","")&amp;IF(AND(A21="client",COUNTIF(الزبائن!$A$6:$A$505,B21)=0),"client key not found; ","")&amp;IF(AND(A21="proposed_name",COUNTIF('أسماء مقترحة'!$A$6:$A$505,B21)=0),"proposed_name key not found; ",""))))</f>
        <v/>
      </c>
    </row>
    <row r="22" spans="1:17">
      <c r="A22" s="23"/>
      <c r="B22" s="24"/>
      <c r="C22" s="25"/>
      <c r="D22" s="25"/>
      <c r="E22" s="25"/>
      <c r="F22" s="25"/>
      <c r="G22" s="24"/>
      <c r="H22" s="25"/>
      <c r="I22" s="32"/>
      <c r="J22" s="25"/>
      <c r="K22" s="24"/>
      <c r="L22" s="25"/>
      <c r="M22" s="25"/>
      <c r="N22" s="25"/>
      <c r="O22" s="25"/>
      <c r="P22" s="25" t="str">
        <f>IF(AND(A22="",B22="",H22=""),"",IF(OR(A22="",B22="",C22="",E22="",F22="",H22="",AND(A22="client",COUNTIF(الزبائن!$A$6:$A$505,B22)=0),AND(A22="proposed_name",COUNTIF('أسماء مقترحة'!$A$6:$A$505,B22)=0)),"REVIEW","READY"))</f>
        <v/>
      </c>
      <c r="Q22" s="27" t="str">
        <f>IF(P22="","",IF(P22="READY","",TRIM(IF(A22="","missing entity_type; ","")&amp;IF(B22="","missing entity_key; ","")&amp;IF(C22="","missing referrer_order; ","")&amp;IF(E22="","missing referrer_type; ","")&amp;IF(F22="","missing referral_origin_channel; ","")&amp;IF(H22="","missing referrer_name_snapshot; ","")&amp;IF(AND(A22="client",COUNTIF(الزبائن!$A$6:$A$505,B22)=0),"client key not found; ","")&amp;IF(AND(A22="proposed_name",COUNTIF('أسماء مقترحة'!$A$6:$A$505,B22)=0),"proposed_name key not found; ",""))))</f>
        <v/>
      </c>
    </row>
    <row r="23" spans="1:17">
      <c r="A23" s="23"/>
      <c r="B23" s="24"/>
      <c r="C23" s="25"/>
      <c r="D23" s="25"/>
      <c r="E23" s="25"/>
      <c r="F23" s="25"/>
      <c r="G23" s="24"/>
      <c r="H23" s="25"/>
      <c r="I23" s="32"/>
      <c r="J23" s="25"/>
      <c r="K23" s="24"/>
      <c r="L23" s="25"/>
      <c r="M23" s="25"/>
      <c r="N23" s="25"/>
      <c r="O23" s="25"/>
      <c r="P23" s="25" t="str">
        <f>IF(AND(A23="",B23="",H23=""),"",IF(OR(A23="",B23="",C23="",E23="",F23="",H23="",AND(A23="client",COUNTIF(الزبائن!$A$6:$A$505,B23)=0),AND(A23="proposed_name",COUNTIF('أسماء مقترحة'!$A$6:$A$505,B23)=0)),"REVIEW","READY"))</f>
        <v/>
      </c>
      <c r="Q23" s="27" t="str">
        <f>IF(P23="","",IF(P23="READY","",TRIM(IF(A23="","missing entity_type; ","")&amp;IF(B23="","missing entity_key; ","")&amp;IF(C23="","missing referrer_order; ","")&amp;IF(E23="","missing referrer_type; ","")&amp;IF(F23="","missing referral_origin_channel; ","")&amp;IF(H23="","missing referrer_name_snapshot; ","")&amp;IF(AND(A23="client",COUNTIF(الزبائن!$A$6:$A$505,B23)=0),"client key not found; ","")&amp;IF(AND(A23="proposed_name",COUNTIF('أسماء مقترحة'!$A$6:$A$505,B23)=0),"proposed_name key not found; ",""))))</f>
        <v/>
      </c>
    </row>
    <row r="24" spans="1:17">
      <c r="A24" s="23"/>
      <c r="B24" s="24"/>
      <c r="C24" s="25"/>
      <c r="D24" s="25"/>
      <c r="E24" s="25"/>
      <c r="F24" s="25"/>
      <c r="G24" s="24"/>
      <c r="H24" s="25"/>
      <c r="I24" s="32"/>
      <c r="J24" s="25"/>
      <c r="K24" s="24"/>
      <c r="L24" s="25"/>
      <c r="M24" s="25"/>
      <c r="N24" s="25"/>
      <c r="O24" s="25"/>
      <c r="P24" s="25" t="str">
        <f>IF(AND(A24="",B24="",H24=""),"",IF(OR(A24="",B24="",C24="",E24="",F24="",H24="",AND(A24="client",COUNTIF(الزبائن!$A$6:$A$505,B24)=0),AND(A24="proposed_name",COUNTIF('أسماء مقترحة'!$A$6:$A$505,B24)=0)),"REVIEW","READY"))</f>
        <v/>
      </c>
      <c r="Q24" s="27" t="str">
        <f>IF(P24="","",IF(P24="READY","",TRIM(IF(A24="","missing entity_type; ","")&amp;IF(B24="","missing entity_key; ","")&amp;IF(C24="","missing referrer_order; ","")&amp;IF(E24="","missing referrer_type; ","")&amp;IF(F24="","missing referral_origin_channel; ","")&amp;IF(H24="","missing referrer_name_snapshot; ","")&amp;IF(AND(A24="client",COUNTIF(الزبائن!$A$6:$A$505,B24)=0),"client key not found; ","")&amp;IF(AND(A24="proposed_name",COUNTIF('أسماء مقترحة'!$A$6:$A$505,B24)=0),"proposed_name key not found; ",""))))</f>
        <v/>
      </c>
    </row>
    <row r="25" spans="1:17">
      <c r="A25" s="23"/>
      <c r="B25" s="24"/>
      <c r="C25" s="25"/>
      <c r="D25" s="25"/>
      <c r="E25" s="25"/>
      <c r="F25" s="25"/>
      <c r="G25" s="24"/>
      <c r="H25" s="25"/>
      <c r="I25" s="32"/>
      <c r="J25" s="25"/>
      <c r="K25" s="24"/>
      <c r="L25" s="25"/>
      <c r="M25" s="25"/>
      <c r="N25" s="25"/>
      <c r="O25" s="25"/>
      <c r="P25" s="25" t="str">
        <f>IF(AND(A25="",B25="",H25=""),"",IF(OR(A25="",B25="",C25="",E25="",F25="",H25="",AND(A25="client",COUNTIF(الزبائن!$A$6:$A$505,B25)=0),AND(A25="proposed_name",COUNTIF('أسماء مقترحة'!$A$6:$A$505,B25)=0)),"REVIEW","READY"))</f>
        <v/>
      </c>
      <c r="Q25" s="27" t="str">
        <f>IF(P25="","",IF(P25="READY","",TRIM(IF(A25="","missing entity_type; ","")&amp;IF(B25="","missing entity_key; ","")&amp;IF(C25="","missing referrer_order; ","")&amp;IF(E25="","missing referrer_type; ","")&amp;IF(F25="","missing referral_origin_channel; ","")&amp;IF(H25="","missing referrer_name_snapshot; ","")&amp;IF(AND(A25="client",COUNTIF(الزبائن!$A$6:$A$505,B25)=0),"client key not found; ","")&amp;IF(AND(A25="proposed_name",COUNTIF('أسماء مقترحة'!$A$6:$A$505,B25)=0),"proposed_name key not found; ",""))))</f>
        <v/>
      </c>
    </row>
    <row r="26" spans="1:17">
      <c r="A26" s="23"/>
      <c r="B26" s="24"/>
      <c r="C26" s="25"/>
      <c r="D26" s="25"/>
      <c r="E26" s="25"/>
      <c r="F26" s="25"/>
      <c r="G26" s="24"/>
      <c r="H26" s="25"/>
      <c r="I26" s="32"/>
      <c r="J26" s="25"/>
      <c r="K26" s="24"/>
      <c r="L26" s="25"/>
      <c r="M26" s="25"/>
      <c r="N26" s="25"/>
      <c r="O26" s="25"/>
      <c r="P26" s="25" t="str">
        <f>IF(AND(A26="",B26="",H26=""),"",IF(OR(A26="",B26="",C26="",E26="",F26="",H26="",AND(A26="client",COUNTIF(الزبائن!$A$6:$A$505,B26)=0),AND(A26="proposed_name",COUNTIF('أسماء مقترحة'!$A$6:$A$505,B26)=0)),"REVIEW","READY"))</f>
        <v/>
      </c>
      <c r="Q26" s="27" t="str">
        <f>IF(P26="","",IF(P26="READY","",TRIM(IF(A26="","missing entity_type; ","")&amp;IF(B26="","missing entity_key; ","")&amp;IF(C26="","missing referrer_order; ","")&amp;IF(E26="","missing referrer_type; ","")&amp;IF(F26="","missing referral_origin_channel; ","")&amp;IF(H26="","missing referrer_name_snapshot; ","")&amp;IF(AND(A26="client",COUNTIF(الزبائن!$A$6:$A$505,B26)=0),"client key not found; ","")&amp;IF(AND(A26="proposed_name",COUNTIF('أسماء مقترحة'!$A$6:$A$505,B26)=0),"proposed_name key not found; ",""))))</f>
        <v/>
      </c>
    </row>
    <row r="27" spans="1:17">
      <c r="A27" s="23"/>
      <c r="B27" s="24"/>
      <c r="C27" s="25"/>
      <c r="D27" s="25"/>
      <c r="E27" s="25"/>
      <c r="F27" s="25"/>
      <c r="G27" s="24"/>
      <c r="H27" s="25"/>
      <c r="I27" s="32"/>
      <c r="J27" s="25"/>
      <c r="K27" s="24"/>
      <c r="L27" s="25"/>
      <c r="M27" s="25"/>
      <c r="N27" s="25"/>
      <c r="O27" s="25"/>
      <c r="P27" s="25" t="str">
        <f>IF(AND(A27="",B27="",H27=""),"",IF(OR(A27="",B27="",C27="",E27="",F27="",H27="",AND(A27="client",COUNTIF(الزبائن!$A$6:$A$505,B27)=0),AND(A27="proposed_name",COUNTIF('أسماء مقترحة'!$A$6:$A$505,B27)=0)),"REVIEW","READY"))</f>
        <v/>
      </c>
      <c r="Q27" s="27" t="str">
        <f>IF(P27="","",IF(P27="READY","",TRIM(IF(A27="","missing entity_type; ","")&amp;IF(B27="","missing entity_key; ","")&amp;IF(C27="","missing referrer_order; ","")&amp;IF(E27="","missing referrer_type; ","")&amp;IF(F27="","missing referral_origin_channel; ","")&amp;IF(H27="","missing referrer_name_snapshot; ","")&amp;IF(AND(A27="client",COUNTIF(الزبائن!$A$6:$A$505,B27)=0),"client key not found; ","")&amp;IF(AND(A27="proposed_name",COUNTIF('أسماء مقترحة'!$A$6:$A$505,B27)=0),"proposed_name key not found; ",""))))</f>
        <v/>
      </c>
    </row>
    <row r="28" spans="1:17">
      <c r="A28" s="23"/>
      <c r="B28" s="24"/>
      <c r="C28" s="25"/>
      <c r="D28" s="25"/>
      <c r="E28" s="25"/>
      <c r="F28" s="25"/>
      <c r="G28" s="24"/>
      <c r="H28" s="25"/>
      <c r="I28" s="32"/>
      <c r="J28" s="25"/>
      <c r="K28" s="24"/>
      <c r="L28" s="25"/>
      <c r="M28" s="25"/>
      <c r="N28" s="25"/>
      <c r="O28" s="25"/>
      <c r="P28" s="25" t="str">
        <f>IF(AND(A28="",B28="",H28=""),"",IF(OR(A28="",B28="",C28="",E28="",F28="",H28="",AND(A28="client",COUNTIF(الزبائن!$A$6:$A$505,B28)=0),AND(A28="proposed_name",COUNTIF('أسماء مقترحة'!$A$6:$A$505,B28)=0)),"REVIEW","READY"))</f>
        <v/>
      </c>
      <c r="Q28" s="27" t="str">
        <f>IF(P28="","",IF(P28="READY","",TRIM(IF(A28="","missing entity_type; ","")&amp;IF(B28="","missing entity_key; ","")&amp;IF(C28="","missing referrer_order; ","")&amp;IF(E28="","missing referrer_type; ","")&amp;IF(F28="","missing referral_origin_channel; ","")&amp;IF(H28="","missing referrer_name_snapshot; ","")&amp;IF(AND(A28="client",COUNTIF(الزبائن!$A$6:$A$505,B28)=0),"client key not found; ","")&amp;IF(AND(A28="proposed_name",COUNTIF('أسماء مقترحة'!$A$6:$A$505,B28)=0),"proposed_name key not found; ",""))))</f>
        <v/>
      </c>
    </row>
    <row r="29" spans="1:17">
      <c r="A29" s="23"/>
      <c r="B29" s="24"/>
      <c r="C29" s="25"/>
      <c r="D29" s="25"/>
      <c r="E29" s="25"/>
      <c r="F29" s="25"/>
      <c r="G29" s="24"/>
      <c r="H29" s="25"/>
      <c r="I29" s="32"/>
      <c r="J29" s="25"/>
      <c r="K29" s="24"/>
      <c r="L29" s="25"/>
      <c r="M29" s="25"/>
      <c r="N29" s="25"/>
      <c r="O29" s="25"/>
      <c r="P29" s="25" t="str">
        <f>IF(AND(A29="",B29="",H29=""),"",IF(OR(A29="",B29="",C29="",E29="",F29="",H29="",AND(A29="client",COUNTIF(الزبائن!$A$6:$A$505,B29)=0),AND(A29="proposed_name",COUNTIF('أسماء مقترحة'!$A$6:$A$505,B29)=0)),"REVIEW","READY"))</f>
        <v/>
      </c>
      <c r="Q29" s="27" t="str">
        <f>IF(P29="","",IF(P29="READY","",TRIM(IF(A29="","missing entity_type; ","")&amp;IF(B29="","missing entity_key; ","")&amp;IF(C29="","missing referrer_order; ","")&amp;IF(E29="","missing referrer_type; ","")&amp;IF(F29="","missing referral_origin_channel; ","")&amp;IF(H29="","missing referrer_name_snapshot; ","")&amp;IF(AND(A29="client",COUNTIF(الزبائن!$A$6:$A$505,B29)=0),"client key not found; ","")&amp;IF(AND(A29="proposed_name",COUNTIF('أسماء مقترحة'!$A$6:$A$505,B29)=0),"proposed_name key not found; ",""))))</f>
        <v/>
      </c>
    </row>
    <row r="30" spans="1:17">
      <c r="A30" s="23"/>
      <c r="B30" s="24"/>
      <c r="C30" s="25"/>
      <c r="D30" s="25"/>
      <c r="E30" s="25"/>
      <c r="F30" s="25"/>
      <c r="G30" s="24"/>
      <c r="H30" s="25"/>
      <c r="I30" s="32"/>
      <c r="J30" s="25"/>
      <c r="K30" s="24"/>
      <c r="L30" s="25"/>
      <c r="M30" s="25"/>
      <c r="N30" s="25"/>
      <c r="O30" s="25"/>
      <c r="P30" s="25" t="str">
        <f>IF(AND(A30="",B30="",H30=""),"",IF(OR(A30="",B30="",C30="",E30="",F30="",H30="",AND(A30="client",COUNTIF(الزبائن!$A$6:$A$505,B30)=0),AND(A30="proposed_name",COUNTIF('أسماء مقترحة'!$A$6:$A$505,B30)=0)),"REVIEW","READY"))</f>
        <v/>
      </c>
      <c r="Q30" s="27" t="str">
        <f>IF(P30="","",IF(P30="READY","",TRIM(IF(A30="","missing entity_type; ","")&amp;IF(B30="","missing entity_key; ","")&amp;IF(C30="","missing referrer_order; ","")&amp;IF(E30="","missing referrer_type; ","")&amp;IF(F30="","missing referral_origin_channel; ","")&amp;IF(H30="","missing referrer_name_snapshot; ","")&amp;IF(AND(A30="client",COUNTIF(الزبائن!$A$6:$A$505,B30)=0),"client key not found; ","")&amp;IF(AND(A30="proposed_name",COUNTIF('أسماء مقترحة'!$A$6:$A$505,B30)=0),"proposed_name key not found; ",""))))</f>
        <v/>
      </c>
    </row>
    <row r="31" spans="1:17">
      <c r="A31" s="23"/>
      <c r="B31" s="24"/>
      <c r="C31" s="25"/>
      <c r="D31" s="25"/>
      <c r="E31" s="25"/>
      <c r="F31" s="25"/>
      <c r="G31" s="24"/>
      <c r="H31" s="25"/>
      <c r="I31" s="32"/>
      <c r="J31" s="25"/>
      <c r="K31" s="24"/>
      <c r="L31" s="25"/>
      <c r="M31" s="25"/>
      <c r="N31" s="25"/>
      <c r="O31" s="25"/>
      <c r="P31" s="25" t="str">
        <f>IF(AND(A31="",B31="",H31=""),"",IF(OR(A31="",B31="",C31="",E31="",F31="",H31="",AND(A31="client",COUNTIF(الزبائن!$A$6:$A$505,B31)=0),AND(A31="proposed_name",COUNTIF('أسماء مقترحة'!$A$6:$A$505,B31)=0)),"REVIEW","READY"))</f>
        <v/>
      </c>
      <c r="Q31" s="27" t="str">
        <f>IF(P31="","",IF(P31="READY","",TRIM(IF(A31="","missing entity_type; ","")&amp;IF(B31="","missing entity_key; ","")&amp;IF(C31="","missing referrer_order; ","")&amp;IF(E31="","missing referrer_type; ","")&amp;IF(F31="","missing referral_origin_channel; ","")&amp;IF(H31="","missing referrer_name_snapshot; ","")&amp;IF(AND(A31="client",COUNTIF(الزبائن!$A$6:$A$505,B31)=0),"client key not found; ","")&amp;IF(AND(A31="proposed_name",COUNTIF('أسماء مقترحة'!$A$6:$A$505,B31)=0),"proposed_name key not found; ",""))))</f>
        <v/>
      </c>
    </row>
    <row r="32" spans="1:17">
      <c r="A32" s="23"/>
      <c r="B32" s="24"/>
      <c r="C32" s="25"/>
      <c r="D32" s="25"/>
      <c r="E32" s="25"/>
      <c r="F32" s="25"/>
      <c r="G32" s="24"/>
      <c r="H32" s="25"/>
      <c r="I32" s="32"/>
      <c r="J32" s="25"/>
      <c r="K32" s="24"/>
      <c r="L32" s="25"/>
      <c r="M32" s="25"/>
      <c r="N32" s="25"/>
      <c r="O32" s="25"/>
      <c r="P32" s="25" t="str">
        <f>IF(AND(A32="",B32="",H32=""),"",IF(OR(A32="",B32="",C32="",E32="",F32="",H32="",AND(A32="client",COUNTIF(الزبائن!$A$6:$A$505,B32)=0),AND(A32="proposed_name",COUNTIF('أسماء مقترحة'!$A$6:$A$505,B32)=0)),"REVIEW","READY"))</f>
        <v/>
      </c>
      <c r="Q32" s="27" t="str">
        <f>IF(P32="","",IF(P32="READY","",TRIM(IF(A32="","missing entity_type; ","")&amp;IF(B32="","missing entity_key; ","")&amp;IF(C32="","missing referrer_order; ","")&amp;IF(E32="","missing referrer_type; ","")&amp;IF(F32="","missing referral_origin_channel; ","")&amp;IF(H32="","missing referrer_name_snapshot; ","")&amp;IF(AND(A32="client",COUNTIF(الزبائن!$A$6:$A$505,B32)=0),"client key not found; ","")&amp;IF(AND(A32="proposed_name",COUNTIF('أسماء مقترحة'!$A$6:$A$505,B32)=0),"proposed_name key not found; ",""))))</f>
        <v/>
      </c>
    </row>
    <row r="33" spans="1:17">
      <c r="A33" s="23"/>
      <c r="B33" s="24"/>
      <c r="C33" s="25"/>
      <c r="D33" s="25"/>
      <c r="E33" s="25"/>
      <c r="F33" s="25"/>
      <c r="G33" s="24"/>
      <c r="H33" s="25"/>
      <c r="I33" s="32"/>
      <c r="J33" s="25"/>
      <c r="K33" s="24"/>
      <c r="L33" s="25"/>
      <c r="M33" s="25"/>
      <c r="N33" s="25"/>
      <c r="O33" s="25"/>
      <c r="P33" s="25" t="str">
        <f>IF(AND(A33="",B33="",H33=""),"",IF(OR(A33="",B33="",C33="",E33="",F33="",H33="",AND(A33="client",COUNTIF(الزبائن!$A$6:$A$505,B33)=0),AND(A33="proposed_name",COUNTIF('أسماء مقترحة'!$A$6:$A$505,B33)=0)),"REVIEW","READY"))</f>
        <v/>
      </c>
      <c r="Q33" s="27" t="str">
        <f>IF(P33="","",IF(P33="READY","",TRIM(IF(A33="","missing entity_type; ","")&amp;IF(B33="","missing entity_key; ","")&amp;IF(C33="","missing referrer_order; ","")&amp;IF(E33="","missing referrer_type; ","")&amp;IF(F33="","missing referral_origin_channel; ","")&amp;IF(H33="","missing referrer_name_snapshot; ","")&amp;IF(AND(A33="client",COUNTIF(الزبائن!$A$6:$A$505,B33)=0),"client key not found; ","")&amp;IF(AND(A33="proposed_name",COUNTIF('أسماء مقترحة'!$A$6:$A$505,B33)=0),"proposed_name key not found; ",""))))</f>
        <v/>
      </c>
    </row>
    <row r="34" spans="1:17">
      <c r="A34" s="23"/>
      <c r="B34" s="24"/>
      <c r="C34" s="25"/>
      <c r="D34" s="25"/>
      <c r="E34" s="25"/>
      <c r="F34" s="25"/>
      <c r="G34" s="24"/>
      <c r="H34" s="25"/>
      <c r="I34" s="32"/>
      <c r="J34" s="25"/>
      <c r="K34" s="24"/>
      <c r="L34" s="25"/>
      <c r="M34" s="25"/>
      <c r="N34" s="25"/>
      <c r="O34" s="25"/>
      <c r="P34" s="25" t="str">
        <f>IF(AND(A34="",B34="",H34=""),"",IF(OR(A34="",B34="",C34="",E34="",F34="",H34="",AND(A34="client",COUNTIF(الزبائن!$A$6:$A$505,B34)=0),AND(A34="proposed_name",COUNTIF('أسماء مقترحة'!$A$6:$A$505,B34)=0)),"REVIEW","READY"))</f>
        <v/>
      </c>
      <c r="Q34" s="27" t="str">
        <f>IF(P34="","",IF(P34="READY","",TRIM(IF(A34="","missing entity_type; ","")&amp;IF(B34="","missing entity_key; ","")&amp;IF(C34="","missing referrer_order; ","")&amp;IF(E34="","missing referrer_type; ","")&amp;IF(F34="","missing referral_origin_channel; ","")&amp;IF(H34="","missing referrer_name_snapshot; ","")&amp;IF(AND(A34="client",COUNTIF(الزبائن!$A$6:$A$505,B34)=0),"client key not found; ","")&amp;IF(AND(A34="proposed_name",COUNTIF('أسماء مقترحة'!$A$6:$A$505,B34)=0),"proposed_name key not found; ",""))))</f>
        <v/>
      </c>
    </row>
    <row r="35" spans="1:17">
      <c r="A35" s="23"/>
      <c r="B35" s="24"/>
      <c r="C35" s="25"/>
      <c r="D35" s="25"/>
      <c r="E35" s="25"/>
      <c r="F35" s="25"/>
      <c r="G35" s="24"/>
      <c r="H35" s="25"/>
      <c r="I35" s="32"/>
      <c r="J35" s="25"/>
      <c r="K35" s="24"/>
      <c r="L35" s="25"/>
      <c r="M35" s="25"/>
      <c r="N35" s="25"/>
      <c r="O35" s="25"/>
      <c r="P35" s="25" t="str">
        <f>IF(AND(A35="",B35="",H35=""),"",IF(OR(A35="",B35="",C35="",E35="",F35="",H35="",AND(A35="client",COUNTIF(الزبائن!$A$6:$A$505,B35)=0),AND(A35="proposed_name",COUNTIF('أسماء مقترحة'!$A$6:$A$505,B35)=0)),"REVIEW","READY"))</f>
        <v/>
      </c>
      <c r="Q35" s="27" t="str">
        <f>IF(P35="","",IF(P35="READY","",TRIM(IF(A35="","missing entity_type; ","")&amp;IF(B35="","missing entity_key; ","")&amp;IF(C35="","missing referrer_order; ","")&amp;IF(E35="","missing referrer_type; ","")&amp;IF(F35="","missing referral_origin_channel; ","")&amp;IF(H35="","missing referrer_name_snapshot; ","")&amp;IF(AND(A35="client",COUNTIF(الزبائن!$A$6:$A$505,B35)=0),"client key not found; ","")&amp;IF(AND(A35="proposed_name",COUNTIF('أسماء مقترحة'!$A$6:$A$505,B35)=0),"proposed_name key not found; ",""))))</f>
        <v/>
      </c>
    </row>
    <row r="36" spans="1:17">
      <c r="A36" s="23"/>
      <c r="B36" s="24"/>
      <c r="C36" s="25"/>
      <c r="D36" s="25"/>
      <c r="E36" s="25"/>
      <c r="F36" s="25"/>
      <c r="G36" s="24"/>
      <c r="H36" s="25"/>
      <c r="I36" s="32"/>
      <c r="J36" s="25"/>
      <c r="K36" s="24"/>
      <c r="L36" s="25"/>
      <c r="M36" s="25"/>
      <c r="N36" s="25"/>
      <c r="O36" s="25"/>
      <c r="P36" s="25" t="str">
        <f>IF(AND(A36="",B36="",H36=""),"",IF(OR(A36="",B36="",C36="",E36="",F36="",H36="",AND(A36="client",COUNTIF(الزبائن!$A$6:$A$505,B36)=0),AND(A36="proposed_name",COUNTIF('أسماء مقترحة'!$A$6:$A$505,B36)=0)),"REVIEW","READY"))</f>
        <v/>
      </c>
      <c r="Q36" s="27" t="str">
        <f>IF(P36="","",IF(P36="READY","",TRIM(IF(A36="","missing entity_type; ","")&amp;IF(B36="","missing entity_key; ","")&amp;IF(C36="","missing referrer_order; ","")&amp;IF(E36="","missing referrer_type; ","")&amp;IF(F36="","missing referral_origin_channel; ","")&amp;IF(H36="","missing referrer_name_snapshot; ","")&amp;IF(AND(A36="client",COUNTIF(الزبائن!$A$6:$A$505,B36)=0),"client key not found; ","")&amp;IF(AND(A36="proposed_name",COUNTIF('أسماء مقترحة'!$A$6:$A$505,B36)=0),"proposed_name key not found; ",""))))</f>
        <v/>
      </c>
    </row>
    <row r="37" spans="1:17">
      <c r="A37" s="23"/>
      <c r="B37" s="24"/>
      <c r="C37" s="25"/>
      <c r="D37" s="25"/>
      <c r="E37" s="25"/>
      <c r="F37" s="25"/>
      <c r="G37" s="24"/>
      <c r="H37" s="25"/>
      <c r="I37" s="32"/>
      <c r="J37" s="25"/>
      <c r="K37" s="24"/>
      <c r="L37" s="25"/>
      <c r="M37" s="25"/>
      <c r="N37" s="25"/>
      <c r="O37" s="25"/>
      <c r="P37" s="25" t="str">
        <f>IF(AND(A37="",B37="",H37=""),"",IF(OR(A37="",B37="",C37="",E37="",F37="",H37="",AND(A37="client",COUNTIF(الزبائن!$A$6:$A$505,B37)=0),AND(A37="proposed_name",COUNTIF('أسماء مقترحة'!$A$6:$A$505,B37)=0)),"REVIEW","READY"))</f>
        <v/>
      </c>
      <c r="Q37" s="27" t="str">
        <f>IF(P37="","",IF(P37="READY","",TRIM(IF(A37="","missing entity_type; ","")&amp;IF(B37="","missing entity_key; ","")&amp;IF(C37="","missing referrer_order; ","")&amp;IF(E37="","missing referrer_type; ","")&amp;IF(F37="","missing referral_origin_channel; ","")&amp;IF(H37="","missing referrer_name_snapshot; ","")&amp;IF(AND(A37="client",COUNTIF(الزبائن!$A$6:$A$505,B37)=0),"client key not found; ","")&amp;IF(AND(A37="proposed_name",COUNTIF('أسماء مقترحة'!$A$6:$A$505,B37)=0),"proposed_name key not found; ",""))))</f>
        <v/>
      </c>
    </row>
    <row r="38" spans="1:17">
      <c r="A38" s="23"/>
      <c r="B38" s="24"/>
      <c r="C38" s="25"/>
      <c r="D38" s="25"/>
      <c r="E38" s="25"/>
      <c r="F38" s="25"/>
      <c r="G38" s="24"/>
      <c r="H38" s="25"/>
      <c r="I38" s="32"/>
      <c r="J38" s="25"/>
      <c r="K38" s="24"/>
      <c r="L38" s="25"/>
      <c r="M38" s="25"/>
      <c r="N38" s="25"/>
      <c r="O38" s="25"/>
      <c r="P38" s="25" t="str">
        <f>IF(AND(A38="",B38="",H38=""),"",IF(OR(A38="",B38="",C38="",E38="",F38="",H38="",AND(A38="client",COUNTIF(الزبائن!$A$6:$A$505,B38)=0),AND(A38="proposed_name",COUNTIF('أسماء مقترحة'!$A$6:$A$505,B38)=0)),"REVIEW","READY"))</f>
        <v/>
      </c>
      <c r="Q38" s="27" t="str">
        <f>IF(P38="","",IF(P38="READY","",TRIM(IF(A38="","missing entity_type; ","")&amp;IF(B38="","missing entity_key; ","")&amp;IF(C38="","missing referrer_order; ","")&amp;IF(E38="","missing referrer_type; ","")&amp;IF(F38="","missing referral_origin_channel; ","")&amp;IF(H38="","missing referrer_name_snapshot; ","")&amp;IF(AND(A38="client",COUNTIF(الزبائن!$A$6:$A$505,B38)=0),"client key not found; ","")&amp;IF(AND(A38="proposed_name",COUNTIF('أسماء مقترحة'!$A$6:$A$505,B38)=0),"proposed_name key not found; ",""))))</f>
        <v/>
      </c>
    </row>
    <row r="39" spans="1:17">
      <c r="A39" s="23"/>
      <c r="B39" s="24"/>
      <c r="C39" s="25"/>
      <c r="D39" s="25"/>
      <c r="E39" s="25"/>
      <c r="F39" s="25"/>
      <c r="G39" s="24"/>
      <c r="H39" s="25"/>
      <c r="I39" s="32"/>
      <c r="J39" s="25"/>
      <c r="K39" s="24"/>
      <c r="L39" s="25"/>
      <c r="M39" s="25"/>
      <c r="N39" s="25"/>
      <c r="O39" s="25"/>
      <c r="P39" s="25" t="str">
        <f>IF(AND(A39="",B39="",H39=""),"",IF(OR(A39="",B39="",C39="",E39="",F39="",H39="",AND(A39="client",COUNTIF(الزبائن!$A$6:$A$505,B39)=0),AND(A39="proposed_name",COUNTIF('أسماء مقترحة'!$A$6:$A$505,B39)=0)),"REVIEW","READY"))</f>
        <v/>
      </c>
      <c r="Q39" s="27" t="str">
        <f>IF(P39="","",IF(P39="READY","",TRIM(IF(A39="","missing entity_type; ","")&amp;IF(B39="","missing entity_key; ","")&amp;IF(C39="","missing referrer_order; ","")&amp;IF(E39="","missing referrer_type; ","")&amp;IF(F39="","missing referral_origin_channel; ","")&amp;IF(H39="","missing referrer_name_snapshot; ","")&amp;IF(AND(A39="client",COUNTIF(الزبائن!$A$6:$A$505,B39)=0),"client key not found; ","")&amp;IF(AND(A39="proposed_name",COUNTIF('أسماء مقترحة'!$A$6:$A$505,B39)=0),"proposed_name key not found; ",""))))</f>
        <v/>
      </c>
    </row>
    <row r="40" spans="1:17">
      <c r="A40" s="23"/>
      <c r="B40" s="24"/>
      <c r="C40" s="25"/>
      <c r="D40" s="25"/>
      <c r="E40" s="25"/>
      <c r="F40" s="25"/>
      <c r="G40" s="24"/>
      <c r="H40" s="25"/>
      <c r="I40" s="32"/>
      <c r="J40" s="25"/>
      <c r="K40" s="24"/>
      <c r="L40" s="25"/>
      <c r="M40" s="25"/>
      <c r="N40" s="25"/>
      <c r="O40" s="25"/>
      <c r="P40" s="25" t="str">
        <f>IF(AND(A40="",B40="",H40=""),"",IF(OR(A40="",B40="",C40="",E40="",F40="",H40="",AND(A40="client",COUNTIF(الزبائن!$A$6:$A$505,B40)=0),AND(A40="proposed_name",COUNTIF('أسماء مقترحة'!$A$6:$A$505,B40)=0)),"REVIEW","READY"))</f>
        <v/>
      </c>
      <c r="Q40" s="27" t="str">
        <f>IF(P40="","",IF(P40="READY","",TRIM(IF(A40="","missing entity_type; ","")&amp;IF(B40="","missing entity_key; ","")&amp;IF(C40="","missing referrer_order; ","")&amp;IF(E40="","missing referrer_type; ","")&amp;IF(F40="","missing referral_origin_channel; ","")&amp;IF(H40="","missing referrer_name_snapshot; ","")&amp;IF(AND(A40="client",COUNTIF(الزبائن!$A$6:$A$505,B40)=0),"client key not found; ","")&amp;IF(AND(A40="proposed_name",COUNTIF('أسماء مقترحة'!$A$6:$A$505,B40)=0),"proposed_name key not found; ",""))))</f>
        <v/>
      </c>
    </row>
    <row r="41" spans="1:17">
      <c r="A41" s="23"/>
      <c r="B41" s="24"/>
      <c r="C41" s="25"/>
      <c r="D41" s="25"/>
      <c r="E41" s="25"/>
      <c r="F41" s="25"/>
      <c r="G41" s="24"/>
      <c r="H41" s="25"/>
      <c r="I41" s="32"/>
      <c r="J41" s="25"/>
      <c r="K41" s="24"/>
      <c r="L41" s="25"/>
      <c r="M41" s="25"/>
      <c r="N41" s="25"/>
      <c r="O41" s="25"/>
      <c r="P41" s="25" t="str">
        <f>IF(AND(A41="",B41="",H41=""),"",IF(OR(A41="",B41="",C41="",E41="",F41="",H41="",AND(A41="client",COUNTIF(الزبائن!$A$6:$A$505,B41)=0),AND(A41="proposed_name",COUNTIF('أسماء مقترحة'!$A$6:$A$505,B41)=0)),"REVIEW","READY"))</f>
        <v/>
      </c>
      <c r="Q41" s="27" t="str">
        <f>IF(P41="","",IF(P41="READY","",TRIM(IF(A41="","missing entity_type; ","")&amp;IF(B41="","missing entity_key; ","")&amp;IF(C41="","missing referrer_order; ","")&amp;IF(E41="","missing referrer_type; ","")&amp;IF(F41="","missing referral_origin_channel; ","")&amp;IF(H41="","missing referrer_name_snapshot; ","")&amp;IF(AND(A41="client",COUNTIF(الزبائن!$A$6:$A$505,B41)=0),"client key not found; ","")&amp;IF(AND(A41="proposed_name",COUNTIF('أسماء مقترحة'!$A$6:$A$505,B41)=0),"proposed_name key not found; ",""))))</f>
        <v/>
      </c>
    </row>
    <row r="42" spans="1:17">
      <c r="A42" s="23"/>
      <c r="B42" s="24"/>
      <c r="C42" s="25"/>
      <c r="D42" s="25"/>
      <c r="E42" s="25"/>
      <c r="F42" s="25"/>
      <c r="G42" s="24"/>
      <c r="H42" s="25"/>
      <c r="I42" s="32"/>
      <c r="J42" s="25"/>
      <c r="K42" s="24"/>
      <c r="L42" s="25"/>
      <c r="M42" s="25"/>
      <c r="N42" s="25"/>
      <c r="O42" s="25"/>
      <c r="P42" s="25" t="str">
        <f>IF(AND(A42="",B42="",H42=""),"",IF(OR(A42="",B42="",C42="",E42="",F42="",H42="",AND(A42="client",COUNTIF(الزبائن!$A$6:$A$505,B42)=0),AND(A42="proposed_name",COUNTIF('أسماء مقترحة'!$A$6:$A$505,B42)=0)),"REVIEW","READY"))</f>
        <v/>
      </c>
      <c r="Q42" s="27" t="str">
        <f>IF(P42="","",IF(P42="READY","",TRIM(IF(A42="","missing entity_type; ","")&amp;IF(B42="","missing entity_key; ","")&amp;IF(C42="","missing referrer_order; ","")&amp;IF(E42="","missing referrer_type; ","")&amp;IF(F42="","missing referral_origin_channel; ","")&amp;IF(H42="","missing referrer_name_snapshot; ","")&amp;IF(AND(A42="client",COUNTIF(الزبائن!$A$6:$A$505,B42)=0),"client key not found; ","")&amp;IF(AND(A42="proposed_name",COUNTIF('أسماء مقترحة'!$A$6:$A$505,B42)=0),"proposed_name key not found; ",""))))</f>
        <v/>
      </c>
    </row>
    <row r="43" spans="1:17">
      <c r="A43" s="23"/>
      <c r="B43" s="24"/>
      <c r="C43" s="25"/>
      <c r="D43" s="25"/>
      <c r="E43" s="25"/>
      <c r="F43" s="25"/>
      <c r="G43" s="24"/>
      <c r="H43" s="25"/>
      <c r="I43" s="32"/>
      <c r="J43" s="25"/>
      <c r="K43" s="24"/>
      <c r="L43" s="25"/>
      <c r="M43" s="25"/>
      <c r="N43" s="25"/>
      <c r="O43" s="25"/>
      <c r="P43" s="25" t="str">
        <f>IF(AND(A43="",B43="",H43=""),"",IF(OR(A43="",B43="",C43="",E43="",F43="",H43="",AND(A43="client",COUNTIF(الزبائن!$A$6:$A$505,B43)=0),AND(A43="proposed_name",COUNTIF('أسماء مقترحة'!$A$6:$A$505,B43)=0)),"REVIEW","READY"))</f>
        <v/>
      </c>
      <c r="Q43" s="27" t="str">
        <f>IF(P43="","",IF(P43="READY","",TRIM(IF(A43="","missing entity_type; ","")&amp;IF(B43="","missing entity_key; ","")&amp;IF(C43="","missing referrer_order; ","")&amp;IF(E43="","missing referrer_type; ","")&amp;IF(F43="","missing referral_origin_channel; ","")&amp;IF(H43="","missing referrer_name_snapshot; ","")&amp;IF(AND(A43="client",COUNTIF(الزبائن!$A$6:$A$505,B43)=0),"client key not found; ","")&amp;IF(AND(A43="proposed_name",COUNTIF('أسماء مقترحة'!$A$6:$A$505,B43)=0),"proposed_name key not found; ",""))))</f>
        <v/>
      </c>
    </row>
    <row r="44" spans="1:17">
      <c r="A44" s="23"/>
      <c r="B44" s="24"/>
      <c r="C44" s="25"/>
      <c r="D44" s="25"/>
      <c r="E44" s="25"/>
      <c r="F44" s="25"/>
      <c r="G44" s="24"/>
      <c r="H44" s="25"/>
      <c r="I44" s="32"/>
      <c r="J44" s="25"/>
      <c r="K44" s="24"/>
      <c r="L44" s="25"/>
      <c r="M44" s="25"/>
      <c r="N44" s="25"/>
      <c r="O44" s="25"/>
      <c r="P44" s="25" t="str">
        <f>IF(AND(A44="",B44="",H44=""),"",IF(OR(A44="",B44="",C44="",E44="",F44="",H44="",AND(A44="client",COUNTIF(الزبائن!$A$6:$A$505,B44)=0),AND(A44="proposed_name",COUNTIF('أسماء مقترحة'!$A$6:$A$505,B44)=0)),"REVIEW","READY"))</f>
        <v/>
      </c>
      <c r="Q44" s="27" t="str">
        <f>IF(P44="","",IF(P44="READY","",TRIM(IF(A44="","missing entity_type; ","")&amp;IF(B44="","missing entity_key; ","")&amp;IF(C44="","missing referrer_order; ","")&amp;IF(E44="","missing referrer_type; ","")&amp;IF(F44="","missing referral_origin_channel; ","")&amp;IF(H44="","missing referrer_name_snapshot; ","")&amp;IF(AND(A44="client",COUNTIF(الزبائن!$A$6:$A$505,B44)=0),"client key not found; ","")&amp;IF(AND(A44="proposed_name",COUNTIF('أسماء مقترحة'!$A$6:$A$505,B44)=0),"proposed_name key not found; ",""))))</f>
        <v/>
      </c>
    </row>
    <row r="45" spans="1:17">
      <c r="A45" s="23"/>
      <c r="B45" s="24"/>
      <c r="C45" s="25"/>
      <c r="D45" s="25"/>
      <c r="E45" s="25"/>
      <c r="F45" s="25"/>
      <c r="G45" s="24"/>
      <c r="H45" s="25"/>
      <c r="I45" s="32"/>
      <c r="J45" s="25"/>
      <c r="K45" s="24"/>
      <c r="L45" s="25"/>
      <c r="M45" s="25"/>
      <c r="N45" s="25"/>
      <c r="O45" s="25"/>
      <c r="P45" s="25" t="str">
        <f>IF(AND(A45="",B45="",H45=""),"",IF(OR(A45="",B45="",C45="",E45="",F45="",H45="",AND(A45="client",COUNTIF(الزبائن!$A$6:$A$505,B45)=0),AND(A45="proposed_name",COUNTIF('أسماء مقترحة'!$A$6:$A$505,B45)=0)),"REVIEW","READY"))</f>
        <v/>
      </c>
      <c r="Q45" s="27" t="str">
        <f>IF(P45="","",IF(P45="READY","",TRIM(IF(A45="","missing entity_type; ","")&amp;IF(B45="","missing entity_key; ","")&amp;IF(C45="","missing referrer_order; ","")&amp;IF(E45="","missing referrer_type; ","")&amp;IF(F45="","missing referral_origin_channel; ","")&amp;IF(H45="","missing referrer_name_snapshot; ","")&amp;IF(AND(A45="client",COUNTIF(الزبائن!$A$6:$A$505,B45)=0),"client key not found; ","")&amp;IF(AND(A45="proposed_name",COUNTIF('أسماء مقترحة'!$A$6:$A$505,B45)=0),"proposed_name key not found; ",""))))</f>
        <v/>
      </c>
    </row>
    <row r="46" spans="1:17">
      <c r="A46" s="23"/>
      <c r="B46" s="24"/>
      <c r="C46" s="25"/>
      <c r="D46" s="25"/>
      <c r="E46" s="25"/>
      <c r="F46" s="25"/>
      <c r="G46" s="24"/>
      <c r="H46" s="25"/>
      <c r="I46" s="32"/>
      <c r="J46" s="25"/>
      <c r="K46" s="24"/>
      <c r="L46" s="25"/>
      <c r="M46" s="25"/>
      <c r="N46" s="25"/>
      <c r="O46" s="25"/>
      <c r="P46" s="25" t="str">
        <f>IF(AND(A46="",B46="",H46=""),"",IF(OR(A46="",B46="",C46="",E46="",F46="",H46="",AND(A46="client",COUNTIF(الزبائن!$A$6:$A$505,B46)=0),AND(A46="proposed_name",COUNTIF('أسماء مقترحة'!$A$6:$A$505,B46)=0)),"REVIEW","READY"))</f>
        <v/>
      </c>
      <c r="Q46" s="27" t="str">
        <f>IF(P46="","",IF(P46="READY","",TRIM(IF(A46="","missing entity_type; ","")&amp;IF(B46="","missing entity_key; ","")&amp;IF(C46="","missing referrer_order; ","")&amp;IF(E46="","missing referrer_type; ","")&amp;IF(F46="","missing referral_origin_channel; ","")&amp;IF(H46="","missing referrer_name_snapshot; ","")&amp;IF(AND(A46="client",COUNTIF(الزبائن!$A$6:$A$505,B46)=0),"client key not found; ","")&amp;IF(AND(A46="proposed_name",COUNTIF('أسماء مقترحة'!$A$6:$A$505,B46)=0),"proposed_name key not found; ",""))))</f>
        <v/>
      </c>
    </row>
    <row r="47" spans="1:17">
      <c r="A47" s="23"/>
      <c r="B47" s="24"/>
      <c r="C47" s="25"/>
      <c r="D47" s="25"/>
      <c r="E47" s="25"/>
      <c r="F47" s="25"/>
      <c r="G47" s="24"/>
      <c r="H47" s="25"/>
      <c r="I47" s="32"/>
      <c r="J47" s="25"/>
      <c r="K47" s="24"/>
      <c r="L47" s="25"/>
      <c r="M47" s="25"/>
      <c r="N47" s="25"/>
      <c r="O47" s="25"/>
      <c r="P47" s="25" t="str">
        <f>IF(AND(A47="",B47="",H47=""),"",IF(OR(A47="",B47="",C47="",E47="",F47="",H47="",AND(A47="client",COUNTIF(الزبائن!$A$6:$A$505,B47)=0),AND(A47="proposed_name",COUNTIF('أسماء مقترحة'!$A$6:$A$505,B47)=0)),"REVIEW","READY"))</f>
        <v/>
      </c>
      <c r="Q47" s="27" t="str">
        <f>IF(P47="","",IF(P47="READY","",TRIM(IF(A47="","missing entity_type; ","")&amp;IF(B47="","missing entity_key; ","")&amp;IF(C47="","missing referrer_order; ","")&amp;IF(E47="","missing referrer_type; ","")&amp;IF(F47="","missing referral_origin_channel; ","")&amp;IF(H47="","missing referrer_name_snapshot; ","")&amp;IF(AND(A47="client",COUNTIF(الزبائن!$A$6:$A$505,B47)=0),"client key not found; ","")&amp;IF(AND(A47="proposed_name",COUNTIF('أسماء مقترحة'!$A$6:$A$505,B47)=0),"proposed_name key not found; ",""))))</f>
        <v/>
      </c>
    </row>
    <row r="48" spans="1:17">
      <c r="A48" s="23"/>
      <c r="B48" s="24"/>
      <c r="C48" s="25"/>
      <c r="D48" s="25"/>
      <c r="E48" s="25"/>
      <c r="F48" s="25"/>
      <c r="G48" s="24"/>
      <c r="H48" s="25"/>
      <c r="I48" s="32"/>
      <c r="J48" s="25"/>
      <c r="K48" s="24"/>
      <c r="L48" s="25"/>
      <c r="M48" s="25"/>
      <c r="N48" s="25"/>
      <c r="O48" s="25"/>
      <c r="P48" s="25" t="str">
        <f>IF(AND(A48="",B48="",H48=""),"",IF(OR(A48="",B48="",C48="",E48="",F48="",H48="",AND(A48="client",COUNTIF(الزبائن!$A$6:$A$505,B48)=0),AND(A48="proposed_name",COUNTIF('أسماء مقترحة'!$A$6:$A$505,B48)=0)),"REVIEW","READY"))</f>
        <v/>
      </c>
      <c r="Q48" s="27" t="str">
        <f>IF(P48="","",IF(P48="READY","",TRIM(IF(A48="","missing entity_type; ","")&amp;IF(B48="","missing entity_key; ","")&amp;IF(C48="","missing referrer_order; ","")&amp;IF(E48="","missing referrer_type; ","")&amp;IF(F48="","missing referral_origin_channel; ","")&amp;IF(H48="","missing referrer_name_snapshot; ","")&amp;IF(AND(A48="client",COUNTIF(الزبائن!$A$6:$A$505,B48)=0),"client key not found; ","")&amp;IF(AND(A48="proposed_name",COUNTIF('أسماء مقترحة'!$A$6:$A$505,B48)=0),"proposed_name key not found; ",""))))</f>
        <v/>
      </c>
    </row>
    <row r="49" spans="1:17">
      <c r="A49" s="23"/>
      <c r="B49" s="24"/>
      <c r="C49" s="25"/>
      <c r="D49" s="25"/>
      <c r="E49" s="25"/>
      <c r="F49" s="25"/>
      <c r="G49" s="24"/>
      <c r="H49" s="25"/>
      <c r="I49" s="32"/>
      <c r="J49" s="25"/>
      <c r="K49" s="24"/>
      <c r="L49" s="25"/>
      <c r="M49" s="25"/>
      <c r="N49" s="25"/>
      <c r="O49" s="25"/>
      <c r="P49" s="25" t="str">
        <f>IF(AND(A49="",B49="",H49=""),"",IF(OR(A49="",B49="",C49="",E49="",F49="",H49="",AND(A49="client",COUNTIF(الزبائن!$A$6:$A$505,B49)=0),AND(A49="proposed_name",COUNTIF('أسماء مقترحة'!$A$6:$A$505,B49)=0)),"REVIEW","READY"))</f>
        <v/>
      </c>
      <c r="Q49" s="27" t="str">
        <f>IF(P49="","",IF(P49="READY","",TRIM(IF(A49="","missing entity_type; ","")&amp;IF(B49="","missing entity_key; ","")&amp;IF(C49="","missing referrer_order; ","")&amp;IF(E49="","missing referrer_type; ","")&amp;IF(F49="","missing referral_origin_channel; ","")&amp;IF(H49="","missing referrer_name_snapshot; ","")&amp;IF(AND(A49="client",COUNTIF(الزبائن!$A$6:$A$505,B49)=0),"client key not found; ","")&amp;IF(AND(A49="proposed_name",COUNTIF('أسماء مقترحة'!$A$6:$A$505,B49)=0),"proposed_name key not found; ",""))))</f>
        <v/>
      </c>
    </row>
    <row r="50" spans="1:17">
      <c r="A50" s="23"/>
      <c r="B50" s="24"/>
      <c r="C50" s="25"/>
      <c r="D50" s="25"/>
      <c r="E50" s="25"/>
      <c r="F50" s="25"/>
      <c r="G50" s="24"/>
      <c r="H50" s="25"/>
      <c r="I50" s="32"/>
      <c r="J50" s="25"/>
      <c r="K50" s="24"/>
      <c r="L50" s="25"/>
      <c r="M50" s="25"/>
      <c r="N50" s="25"/>
      <c r="O50" s="25"/>
      <c r="P50" s="25" t="str">
        <f>IF(AND(A50="",B50="",H50=""),"",IF(OR(A50="",B50="",C50="",E50="",F50="",H50="",AND(A50="client",COUNTIF(الزبائن!$A$6:$A$505,B50)=0),AND(A50="proposed_name",COUNTIF('أسماء مقترحة'!$A$6:$A$505,B50)=0)),"REVIEW","READY"))</f>
        <v/>
      </c>
      <c r="Q50" s="27" t="str">
        <f>IF(P50="","",IF(P50="READY","",TRIM(IF(A50="","missing entity_type; ","")&amp;IF(B50="","missing entity_key; ","")&amp;IF(C50="","missing referrer_order; ","")&amp;IF(E50="","missing referrer_type; ","")&amp;IF(F50="","missing referral_origin_channel; ","")&amp;IF(H50="","missing referrer_name_snapshot; ","")&amp;IF(AND(A50="client",COUNTIF(الزبائن!$A$6:$A$505,B50)=0),"client key not found; ","")&amp;IF(AND(A50="proposed_name",COUNTIF('أسماء مقترحة'!$A$6:$A$505,B50)=0),"proposed_name key not found; ",""))))</f>
        <v/>
      </c>
    </row>
    <row r="51" spans="1:17">
      <c r="A51" s="23"/>
      <c r="B51" s="24"/>
      <c r="C51" s="25"/>
      <c r="D51" s="25"/>
      <c r="E51" s="25"/>
      <c r="F51" s="25"/>
      <c r="G51" s="24"/>
      <c r="H51" s="25"/>
      <c r="I51" s="32"/>
      <c r="J51" s="25"/>
      <c r="K51" s="24"/>
      <c r="L51" s="25"/>
      <c r="M51" s="25"/>
      <c r="N51" s="25"/>
      <c r="O51" s="25"/>
      <c r="P51" s="25" t="str">
        <f>IF(AND(A51="",B51="",H51=""),"",IF(OR(A51="",B51="",C51="",E51="",F51="",H51="",AND(A51="client",COUNTIF(الزبائن!$A$6:$A$505,B51)=0),AND(A51="proposed_name",COUNTIF('أسماء مقترحة'!$A$6:$A$505,B51)=0)),"REVIEW","READY"))</f>
        <v/>
      </c>
      <c r="Q51" s="27" t="str">
        <f>IF(P51="","",IF(P51="READY","",TRIM(IF(A51="","missing entity_type; ","")&amp;IF(B51="","missing entity_key; ","")&amp;IF(C51="","missing referrer_order; ","")&amp;IF(E51="","missing referrer_type; ","")&amp;IF(F51="","missing referral_origin_channel; ","")&amp;IF(H51="","missing referrer_name_snapshot; ","")&amp;IF(AND(A51="client",COUNTIF(الزبائن!$A$6:$A$505,B51)=0),"client key not found; ","")&amp;IF(AND(A51="proposed_name",COUNTIF('أسماء مقترحة'!$A$6:$A$505,B51)=0),"proposed_name key not found; ",""))))</f>
        <v/>
      </c>
    </row>
    <row r="52" spans="1:17">
      <c r="A52" s="23"/>
      <c r="B52" s="24"/>
      <c r="C52" s="25"/>
      <c r="D52" s="25"/>
      <c r="E52" s="25"/>
      <c r="F52" s="25"/>
      <c r="G52" s="24"/>
      <c r="H52" s="25"/>
      <c r="I52" s="32"/>
      <c r="J52" s="25"/>
      <c r="K52" s="24"/>
      <c r="L52" s="25"/>
      <c r="M52" s="25"/>
      <c r="N52" s="25"/>
      <c r="O52" s="25"/>
      <c r="P52" s="25" t="str">
        <f>IF(AND(A52="",B52="",H52=""),"",IF(OR(A52="",B52="",C52="",E52="",F52="",H52="",AND(A52="client",COUNTIF(الزبائن!$A$6:$A$505,B52)=0),AND(A52="proposed_name",COUNTIF('أسماء مقترحة'!$A$6:$A$505,B52)=0)),"REVIEW","READY"))</f>
        <v/>
      </c>
      <c r="Q52" s="27" t="str">
        <f>IF(P52="","",IF(P52="READY","",TRIM(IF(A52="","missing entity_type; ","")&amp;IF(B52="","missing entity_key; ","")&amp;IF(C52="","missing referrer_order; ","")&amp;IF(E52="","missing referrer_type; ","")&amp;IF(F52="","missing referral_origin_channel; ","")&amp;IF(H52="","missing referrer_name_snapshot; ","")&amp;IF(AND(A52="client",COUNTIF(الزبائن!$A$6:$A$505,B52)=0),"client key not found; ","")&amp;IF(AND(A52="proposed_name",COUNTIF('أسماء مقترحة'!$A$6:$A$505,B52)=0),"proposed_name key not found; ",""))))</f>
        <v/>
      </c>
    </row>
    <row r="53" spans="1:17">
      <c r="A53" s="23"/>
      <c r="B53" s="24"/>
      <c r="C53" s="25"/>
      <c r="D53" s="25"/>
      <c r="E53" s="25"/>
      <c r="F53" s="25"/>
      <c r="G53" s="24"/>
      <c r="H53" s="25"/>
      <c r="I53" s="32"/>
      <c r="J53" s="25"/>
      <c r="K53" s="24"/>
      <c r="L53" s="25"/>
      <c r="M53" s="25"/>
      <c r="N53" s="25"/>
      <c r="O53" s="25"/>
      <c r="P53" s="25" t="str">
        <f>IF(AND(A53="",B53="",H53=""),"",IF(OR(A53="",B53="",C53="",E53="",F53="",H53="",AND(A53="client",COUNTIF(الزبائن!$A$6:$A$505,B53)=0),AND(A53="proposed_name",COUNTIF('أسماء مقترحة'!$A$6:$A$505,B53)=0)),"REVIEW","READY"))</f>
        <v/>
      </c>
      <c r="Q53" s="27" t="str">
        <f>IF(P53="","",IF(P53="READY","",TRIM(IF(A53="","missing entity_type; ","")&amp;IF(B53="","missing entity_key; ","")&amp;IF(C53="","missing referrer_order; ","")&amp;IF(E53="","missing referrer_type; ","")&amp;IF(F53="","missing referral_origin_channel; ","")&amp;IF(H53="","missing referrer_name_snapshot; ","")&amp;IF(AND(A53="client",COUNTIF(الزبائن!$A$6:$A$505,B53)=0),"client key not found; ","")&amp;IF(AND(A53="proposed_name",COUNTIF('أسماء مقترحة'!$A$6:$A$505,B53)=0),"proposed_name key not found; ",""))))</f>
        <v/>
      </c>
    </row>
    <row r="54" spans="1:17">
      <c r="A54" s="23"/>
      <c r="B54" s="24"/>
      <c r="C54" s="25"/>
      <c r="D54" s="25"/>
      <c r="E54" s="25"/>
      <c r="F54" s="25"/>
      <c r="G54" s="24"/>
      <c r="H54" s="25"/>
      <c r="I54" s="32"/>
      <c r="J54" s="25"/>
      <c r="K54" s="24"/>
      <c r="L54" s="25"/>
      <c r="M54" s="25"/>
      <c r="N54" s="25"/>
      <c r="O54" s="25"/>
      <c r="P54" s="25" t="str">
        <f>IF(AND(A54="",B54="",H54=""),"",IF(OR(A54="",B54="",C54="",E54="",F54="",H54="",AND(A54="client",COUNTIF(الزبائن!$A$6:$A$505,B54)=0),AND(A54="proposed_name",COUNTIF('أسماء مقترحة'!$A$6:$A$505,B54)=0)),"REVIEW","READY"))</f>
        <v/>
      </c>
      <c r="Q54" s="27" t="str">
        <f>IF(P54="","",IF(P54="READY","",TRIM(IF(A54="","missing entity_type; ","")&amp;IF(B54="","missing entity_key; ","")&amp;IF(C54="","missing referrer_order; ","")&amp;IF(E54="","missing referrer_type; ","")&amp;IF(F54="","missing referral_origin_channel; ","")&amp;IF(H54="","missing referrer_name_snapshot; ","")&amp;IF(AND(A54="client",COUNTIF(الزبائن!$A$6:$A$505,B54)=0),"client key not found; ","")&amp;IF(AND(A54="proposed_name",COUNTIF('أسماء مقترحة'!$A$6:$A$505,B54)=0),"proposed_name key not found; ",""))))</f>
        <v/>
      </c>
    </row>
    <row r="55" spans="1:17">
      <c r="A55" s="23"/>
      <c r="B55" s="24"/>
      <c r="C55" s="25"/>
      <c r="D55" s="25"/>
      <c r="E55" s="25"/>
      <c r="F55" s="25"/>
      <c r="G55" s="24"/>
      <c r="H55" s="25"/>
      <c r="I55" s="32"/>
      <c r="J55" s="25"/>
      <c r="K55" s="24"/>
      <c r="L55" s="25"/>
      <c r="M55" s="25"/>
      <c r="N55" s="25"/>
      <c r="O55" s="25"/>
      <c r="P55" s="25" t="str">
        <f>IF(AND(A55="",B55="",H55=""),"",IF(OR(A55="",B55="",C55="",E55="",F55="",H55="",AND(A55="client",COUNTIF(الزبائن!$A$6:$A$505,B55)=0),AND(A55="proposed_name",COUNTIF('أسماء مقترحة'!$A$6:$A$505,B55)=0)),"REVIEW","READY"))</f>
        <v/>
      </c>
      <c r="Q55" s="27" t="str">
        <f>IF(P55="","",IF(P55="READY","",TRIM(IF(A55="","missing entity_type; ","")&amp;IF(B55="","missing entity_key; ","")&amp;IF(C55="","missing referrer_order; ","")&amp;IF(E55="","missing referrer_type; ","")&amp;IF(F55="","missing referral_origin_channel; ","")&amp;IF(H55="","missing referrer_name_snapshot; ","")&amp;IF(AND(A55="client",COUNTIF(الزبائن!$A$6:$A$505,B55)=0),"client key not found; ","")&amp;IF(AND(A55="proposed_name",COUNTIF('أسماء مقترحة'!$A$6:$A$505,B55)=0),"proposed_name key not found; ",""))))</f>
        <v/>
      </c>
    </row>
    <row r="56" spans="1:17">
      <c r="A56" s="23"/>
      <c r="B56" s="24"/>
      <c r="C56" s="25"/>
      <c r="D56" s="25"/>
      <c r="E56" s="25"/>
      <c r="F56" s="25"/>
      <c r="G56" s="24"/>
      <c r="H56" s="25"/>
      <c r="I56" s="32"/>
      <c r="J56" s="25"/>
      <c r="K56" s="24"/>
      <c r="L56" s="25"/>
      <c r="M56" s="25"/>
      <c r="N56" s="25"/>
      <c r="O56" s="25"/>
      <c r="P56" s="25" t="str">
        <f>IF(AND(A56="",B56="",H56=""),"",IF(OR(A56="",B56="",C56="",E56="",F56="",H56="",AND(A56="client",COUNTIF(الزبائن!$A$6:$A$505,B56)=0),AND(A56="proposed_name",COUNTIF('أسماء مقترحة'!$A$6:$A$505,B56)=0)),"REVIEW","READY"))</f>
        <v/>
      </c>
      <c r="Q56" s="27" t="str">
        <f>IF(P56="","",IF(P56="READY","",TRIM(IF(A56="","missing entity_type; ","")&amp;IF(B56="","missing entity_key; ","")&amp;IF(C56="","missing referrer_order; ","")&amp;IF(E56="","missing referrer_type; ","")&amp;IF(F56="","missing referral_origin_channel; ","")&amp;IF(H56="","missing referrer_name_snapshot; ","")&amp;IF(AND(A56="client",COUNTIF(الزبائن!$A$6:$A$505,B56)=0),"client key not found; ","")&amp;IF(AND(A56="proposed_name",COUNTIF('أسماء مقترحة'!$A$6:$A$505,B56)=0),"proposed_name key not found; ",""))))</f>
        <v/>
      </c>
    </row>
    <row r="57" spans="1:17">
      <c r="A57" s="23"/>
      <c r="B57" s="24"/>
      <c r="C57" s="25"/>
      <c r="D57" s="25"/>
      <c r="E57" s="25"/>
      <c r="F57" s="25"/>
      <c r="G57" s="24"/>
      <c r="H57" s="25"/>
      <c r="I57" s="32"/>
      <c r="J57" s="25"/>
      <c r="K57" s="24"/>
      <c r="L57" s="25"/>
      <c r="M57" s="25"/>
      <c r="N57" s="25"/>
      <c r="O57" s="25"/>
      <c r="P57" s="25" t="str">
        <f>IF(AND(A57="",B57="",H57=""),"",IF(OR(A57="",B57="",C57="",E57="",F57="",H57="",AND(A57="client",COUNTIF(الزبائن!$A$6:$A$505,B57)=0),AND(A57="proposed_name",COUNTIF('أسماء مقترحة'!$A$6:$A$505,B57)=0)),"REVIEW","READY"))</f>
        <v/>
      </c>
      <c r="Q57" s="27" t="str">
        <f>IF(P57="","",IF(P57="READY","",TRIM(IF(A57="","missing entity_type; ","")&amp;IF(B57="","missing entity_key; ","")&amp;IF(C57="","missing referrer_order; ","")&amp;IF(E57="","missing referrer_type; ","")&amp;IF(F57="","missing referral_origin_channel; ","")&amp;IF(H57="","missing referrer_name_snapshot; ","")&amp;IF(AND(A57="client",COUNTIF(الزبائن!$A$6:$A$505,B57)=0),"client key not found; ","")&amp;IF(AND(A57="proposed_name",COUNTIF('أسماء مقترحة'!$A$6:$A$505,B57)=0),"proposed_name key not found; ",""))))</f>
        <v/>
      </c>
    </row>
    <row r="58" spans="1:17">
      <c r="A58" s="23"/>
      <c r="B58" s="24"/>
      <c r="C58" s="25"/>
      <c r="D58" s="25"/>
      <c r="E58" s="25"/>
      <c r="F58" s="25"/>
      <c r="G58" s="24"/>
      <c r="H58" s="25"/>
      <c r="I58" s="32"/>
      <c r="J58" s="25"/>
      <c r="K58" s="24"/>
      <c r="L58" s="25"/>
      <c r="M58" s="25"/>
      <c r="N58" s="25"/>
      <c r="O58" s="25"/>
      <c r="P58" s="25" t="str">
        <f>IF(AND(A58="",B58="",H58=""),"",IF(OR(A58="",B58="",C58="",E58="",F58="",H58="",AND(A58="client",COUNTIF(الزبائن!$A$6:$A$505,B58)=0),AND(A58="proposed_name",COUNTIF('أسماء مقترحة'!$A$6:$A$505,B58)=0)),"REVIEW","READY"))</f>
        <v/>
      </c>
      <c r="Q58" s="27" t="str">
        <f>IF(P58="","",IF(P58="READY","",TRIM(IF(A58="","missing entity_type; ","")&amp;IF(B58="","missing entity_key; ","")&amp;IF(C58="","missing referrer_order; ","")&amp;IF(E58="","missing referrer_type; ","")&amp;IF(F58="","missing referral_origin_channel; ","")&amp;IF(H58="","missing referrer_name_snapshot; ","")&amp;IF(AND(A58="client",COUNTIF(الزبائن!$A$6:$A$505,B58)=0),"client key not found; ","")&amp;IF(AND(A58="proposed_name",COUNTIF('أسماء مقترحة'!$A$6:$A$505,B58)=0),"proposed_name key not found; ",""))))</f>
        <v/>
      </c>
    </row>
    <row r="59" spans="1:17">
      <c r="A59" s="23"/>
      <c r="B59" s="24"/>
      <c r="C59" s="25"/>
      <c r="D59" s="25"/>
      <c r="E59" s="25"/>
      <c r="F59" s="25"/>
      <c r="G59" s="24"/>
      <c r="H59" s="25"/>
      <c r="I59" s="32"/>
      <c r="J59" s="25"/>
      <c r="K59" s="24"/>
      <c r="L59" s="25"/>
      <c r="M59" s="25"/>
      <c r="N59" s="25"/>
      <c r="O59" s="25"/>
      <c r="P59" s="25" t="str">
        <f>IF(AND(A59="",B59="",H59=""),"",IF(OR(A59="",B59="",C59="",E59="",F59="",H59="",AND(A59="client",COUNTIF(الزبائن!$A$6:$A$505,B59)=0),AND(A59="proposed_name",COUNTIF('أسماء مقترحة'!$A$6:$A$505,B59)=0)),"REVIEW","READY"))</f>
        <v/>
      </c>
      <c r="Q59" s="27" t="str">
        <f>IF(P59="","",IF(P59="READY","",TRIM(IF(A59="","missing entity_type; ","")&amp;IF(B59="","missing entity_key; ","")&amp;IF(C59="","missing referrer_order; ","")&amp;IF(E59="","missing referrer_type; ","")&amp;IF(F59="","missing referral_origin_channel; ","")&amp;IF(H59="","missing referrer_name_snapshot; ","")&amp;IF(AND(A59="client",COUNTIF(الزبائن!$A$6:$A$505,B59)=0),"client key not found; ","")&amp;IF(AND(A59="proposed_name",COUNTIF('أسماء مقترحة'!$A$6:$A$505,B59)=0),"proposed_name key not found; ",""))))</f>
        <v/>
      </c>
    </row>
    <row r="60" spans="1:17">
      <c r="A60" s="23"/>
      <c r="B60" s="24"/>
      <c r="C60" s="25"/>
      <c r="D60" s="25"/>
      <c r="E60" s="25"/>
      <c r="F60" s="25"/>
      <c r="G60" s="24"/>
      <c r="H60" s="25"/>
      <c r="I60" s="32"/>
      <c r="J60" s="25"/>
      <c r="K60" s="24"/>
      <c r="L60" s="25"/>
      <c r="M60" s="25"/>
      <c r="N60" s="25"/>
      <c r="O60" s="25"/>
      <c r="P60" s="25" t="str">
        <f>IF(AND(A60="",B60="",H60=""),"",IF(OR(A60="",B60="",C60="",E60="",F60="",H60="",AND(A60="client",COUNTIF(الزبائن!$A$6:$A$505,B60)=0),AND(A60="proposed_name",COUNTIF('أسماء مقترحة'!$A$6:$A$505,B60)=0)),"REVIEW","READY"))</f>
        <v/>
      </c>
      <c r="Q60" s="27" t="str">
        <f>IF(P60="","",IF(P60="READY","",TRIM(IF(A60="","missing entity_type; ","")&amp;IF(B60="","missing entity_key; ","")&amp;IF(C60="","missing referrer_order; ","")&amp;IF(E60="","missing referrer_type; ","")&amp;IF(F60="","missing referral_origin_channel; ","")&amp;IF(H60="","missing referrer_name_snapshot; ","")&amp;IF(AND(A60="client",COUNTIF(الزبائن!$A$6:$A$505,B60)=0),"client key not found; ","")&amp;IF(AND(A60="proposed_name",COUNTIF('أسماء مقترحة'!$A$6:$A$505,B60)=0),"proposed_name key not found; ",""))))</f>
        <v/>
      </c>
    </row>
    <row r="61" spans="1:17">
      <c r="A61" s="23"/>
      <c r="B61" s="24"/>
      <c r="C61" s="25"/>
      <c r="D61" s="25"/>
      <c r="E61" s="25"/>
      <c r="F61" s="25"/>
      <c r="G61" s="24"/>
      <c r="H61" s="25"/>
      <c r="I61" s="32"/>
      <c r="J61" s="25"/>
      <c r="K61" s="24"/>
      <c r="L61" s="25"/>
      <c r="M61" s="25"/>
      <c r="N61" s="25"/>
      <c r="O61" s="25"/>
      <c r="P61" s="25" t="str">
        <f>IF(AND(A61="",B61="",H61=""),"",IF(OR(A61="",B61="",C61="",E61="",F61="",H61="",AND(A61="client",COUNTIF(الزبائن!$A$6:$A$505,B61)=0),AND(A61="proposed_name",COUNTIF('أسماء مقترحة'!$A$6:$A$505,B61)=0)),"REVIEW","READY"))</f>
        <v/>
      </c>
      <c r="Q61" s="27" t="str">
        <f>IF(P61="","",IF(P61="READY","",TRIM(IF(A61="","missing entity_type; ","")&amp;IF(B61="","missing entity_key; ","")&amp;IF(C61="","missing referrer_order; ","")&amp;IF(E61="","missing referrer_type; ","")&amp;IF(F61="","missing referral_origin_channel; ","")&amp;IF(H61="","missing referrer_name_snapshot; ","")&amp;IF(AND(A61="client",COUNTIF(الزبائن!$A$6:$A$505,B61)=0),"client key not found; ","")&amp;IF(AND(A61="proposed_name",COUNTIF('أسماء مقترحة'!$A$6:$A$505,B61)=0),"proposed_name key not found; ",""))))</f>
        <v/>
      </c>
    </row>
    <row r="62" spans="1:17">
      <c r="A62" s="23"/>
      <c r="B62" s="24"/>
      <c r="C62" s="25"/>
      <c r="D62" s="25"/>
      <c r="E62" s="25"/>
      <c r="F62" s="25"/>
      <c r="G62" s="24"/>
      <c r="H62" s="25"/>
      <c r="I62" s="32"/>
      <c r="J62" s="25"/>
      <c r="K62" s="24"/>
      <c r="L62" s="25"/>
      <c r="M62" s="25"/>
      <c r="N62" s="25"/>
      <c r="O62" s="25"/>
      <c r="P62" s="25" t="str">
        <f>IF(AND(A62="",B62="",H62=""),"",IF(OR(A62="",B62="",C62="",E62="",F62="",H62="",AND(A62="client",COUNTIF(الزبائن!$A$6:$A$505,B62)=0),AND(A62="proposed_name",COUNTIF('أسماء مقترحة'!$A$6:$A$505,B62)=0)),"REVIEW","READY"))</f>
        <v/>
      </c>
      <c r="Q62" s="27" t="str">
        <f>IF(P62="","",IF(P62="READY","",TRIM(IF(A62="","missing entity_type; ","")&amp;IF(B62="","missing entity_key; ","")&amp;IF(C62="","missing referrer_order; ","")&amp;IF(E62="","missing referrer_type; ","")&amp;IF(F62="","missing referral_origin_channel; ","")&amp;IF(H62="","missing referrer_name_snapshot; ","")&amp;IF(AND(A62="client",COUNTIF(الزبائن!$A$6:$A$505,B62)=0),"client key not found; ","")&amp;IF(AND(A62="proposed_name",COUNTIF('أسماء مقترحة'!$A$6:$A$505,B62)=0),"proposed_name key not found; ",""))))</f>
        <v/>
      </c>
    </row>
    <row r="63" spans="1:17">
      <c r="A63" s="23"/>
      <c r="B63" s="24"/>
      <c r="C63" s="25"/>
      <c r="D63" s="25"/>
      <c r="E63" s="25"/>
      <c r="F63" s="25"/>
      <c r="G63" s="24"/>
      <c r="H63" s="25"/>
      <c r="I63" s="32"/>
      <c r="J63" s="25"/>
      <c r="K63" s="24"/>
      <c r="L63" s="25"/>
      <c r="M63" s="25"/>
      <c r="N63" s="25"/>
      <c r="O63" s="25"/>
      <c r="P63" s="25" t="str">
        <f>IF(AND(A63="",B63="",H63=""),"",IF(OR(A63="",B63="",C63="",E63="",F63="",H63="",AND(A63="client",COUNTIF(الزبائن!$A$6:$A$505,B63)=0),AND(A63="proposed_name",COUNTIF('أسماء مقترحة'!$A$6:$A$505,B63)=0)),"REVIEW","READY"))</f>
        <v/>
      </c>
      <c r="Q63" s="27" t="str">
        <f>IF(P63="","",IF(P63="READY","",TRIM(IF(A63="","missing entity_type; ","")&amp;IF(B63="","missing entity_key; ","")&amp;IF(C63="","missing referrer_order; ","")&amp;IF(E63="","missing referrer_type; ","")&amp;IF(F63="","missing referral_origin_channel; ","")&amp;IF(H63="","missing referrer_name_snapshot; ","")&amp;IF(AND(A63="client",COUNTIF(الزبائن!$A$6:$A$505,B63)=0),"client key not found; ","")&amp;IF(AND(A63="proposed_name",COUNTIF('أسماء مقترحة'!$A$6:$A$505,B63)=0),"proposed_name key not found; ",""))))</f>
        <v/>
      </c>
    </row>
    <row r="64" spans="1:17">
      <c r="A64" s="23"/>
      <c r="B64" s="24"/>
      <c r="C64" s="25"/>
      <c r="D64" s="25"/>
      <c r="E64" s="25"/>
      <c r="F64" s="25"/>
      <c r="G64" s="24"/>
      <c r="H64" s="25"/>
      <c r="I64" s="32"/>
      <c r="J64" s="25"/>
      <c r="K64" s="24"/>
      <c r="L64" s="25"/>
      <c r="M64" s="25"/>
      <c r="N64" s="25"/>
      <c r="O64" s="25"/>
      <c r="P64" s="25" t="str">
        <f>IF(AND(A64="",B64="",H64=""),"",IF(OR(A64="",B64="",C64="",E64="",F64="",H64="",AND(A64="client",COUNTIF(الزبائن!$A$6:$A$505,B64)=0),AND(A64="proposed_name",COUNTIF('أسماء مقترحة'!$A$6:$A$505,B64)=0)),"REVIEW","READY"))</f>
        <v/>
      </c>
      <c r="Q64" s="27" t="str">
        <f>IF(P64="","",IF(P64="READY","",TRIM(IF(A64="","missing entity_type; ","")&amp;IF(B64="","missing entity_key; ","")&amp;IF(C64="","missing referrer_order; ","")&amp;IF(E64="","missing referrer_type; ","")&amp;IF(F64="","missing referral_origin_channel; ","")&amp;IF(H64="","missing referrer_name_snapshot; ","")&amp;IF(AND(A64="client",COUNTIF(الزبائن!$A$6:$A$505,B64)=0),"client key not found; ","")&amp;IF(AND(A64="proposed_name",COUNTIF('أسماء مقترحة'!$A$6:$A$505,B64)=0),"proposed_name key not found; ",""))))</f>
        <v/>
      </c>
    </row>
    <row r="65" spans="1:17">
      <c r="A65" s="23"/>
      <c r="B65" s="24"/>
      <c r="C65" s="25"/>
      <c r="D65" s="25"/>
      <c r="E65" s="25"/>
      <c r="F65" s="25"/>
      <c r="G65" s="24"/>
      <c r="H65" s="25"/>
      <c r="I65" s="32"/>
      <c r="J65" s="25"/>
      <c r="K65" s="24"/>
      <c r="L65" s="25"/>
      <c r="M65" s="25"/>
      <c r="N65" s="25"/>
      <c r="O65" s="25"/>
      <c r="P65" s="25" t="str">
        <f>IF(AND(A65="",B65="",H65=""),"",IF(OR(A65="",B65="",C65="",E65="",F65="",H65="",AND(A65="client",COUNTIF(الزبائن!$A$6:$A$505,B65)=0),AND(A65="proposed_name",COUNTIF('أسماء مقترحة'!$A$6:$A$505,B65)=0)),"REVIEW","READY"))</f>
        <v/>
      </c>
      <c r="Q65" s="27" t="str">
        <f>IF(P65="","",IF(P65="READY","",TRIM(IF(A65="","missing entity_type; ","")&amp;IF(B65="","missing entity_key; ","")&amp;IF(C65="","missing referrer_order; ","")&amp;IF(E65="","missing referrer_type; ","")&amp;IF(F65="","missing referral_origin_channel; ","")&amp;IF(H65="","missing referrer_name_snapshot; ","")&amp;IF(AND(A65="client",COUNTIF(الزبائن!$A$6:$A$505,B65)=0),"client key not found; ","")&amp;IF(AND(A65="proposed_name",COUNTIF('أسماء مقترحة'!$A$6:$A$505,B65)=0),"proposed_name key not found; ",""))))</f>
        <v/>
      </c>
    </row>
    <row r="66" spans="1:17">
      <c r="A66" s="23"/>
      <c r="B66" s="24"/>
      <c r="C66" s="25"/>
      <c r="D66" s="25"/>
      <c r="E66" s="25"/>
      <c r="F66" s="25"/>
      <c r="G66" s="24"/>
      <c r="H66" s="25"/>
      <c r="I66" s="32"/>
      <c r="J66" s="25"/>
      <c r="K66" s="24"/>
      <c r="L66" s="25"/>
      <c r="M66" s="25"/>
      <c r="N66" s="25"/>
      <c r="O66" s="25"/>
      <c r="P66" s="25" t="str">
        <f>IF(AND(A66="",B66="",H66=""),"",IF(OR(A66="",B66="",C66="",E66="",F66="",H66="",AND(A66="client",COUNTIF(الزبائن!$A$6:$A$505,B66)=0),AND(A66="proposed_name",COUNTIF('أسماء مقترحة'!$A$6:$A$505,B66)=0)),"REVIEW","READY"))</f>
        <v/>
      </c>
      <c r="Q66" s="27" t="str">
        <f>IF(P66="","",IF(P66="READY","",TRIM(IF(A66="","missing entity_type; ","")&amp;IF(B66="","missing entity_key; ","")&amp;IF(C66="","missing referrer_order; ","")&amp;IF(E66="","missing referrer_type; ","")&amp;IF(F66="","missing referral_origin_channel; ","")&amp;IF(H66="","missing referrer_name_snapshot; ","")&amp;IF(AND(A66="client",COUNTIF(الزبائن!$A$6:$A$505,B66)=0),"client key not found; ","")&amp;IF(AND(A66="proposed_name",COUNTIF('أسماء مقترحة'!$A$6:$A$505,B66)=0),"proposed_name key not found; ",""))))</f>
        <v/>
      </c>
    </row>
    <row r="67" spans="1:17">
      <c r="A67" s="23"/>
      <c r="B67" s="24"/>
      <c r="C67" s="25"/>
      <c r="D67" s="25"/>
      <c r="E67" s="25"/>
      <c r="F67" s="25"/>
      <c r="G67" s="24"/>
      <c r="H67" s="25"/>
      <c r="I67" s="32"/>
      <c r="J67" s="25"/>
      <c r="K67" s="24"/>
      <c r="L67" s="25"/>
      <c r="M67" s="25"/>
      <c r="N67" s="25"/>
      <c r="O67" s="25"/>
      <c r="P67" s="25" t="str">
        <f>IF(AND(A67="",B67="",H67=""),"",IF(OR(A67="",B67="",C67="",E67="",F67="",H67="",AND(A67="client",COUNTIF(الزبائن!$A$6:$A$505,B67)=0),AND(A67="proposed_name",COUNTIF('أسماء مقترحة'!$A$6:$A$505,B67)=0)),"REVIEW","READY"))</f>
        <v/>
      </c>
      <c r="Q67" s="27" t="str">
        <f>IF(P67="","",IF(P67="READY","",TRIM(IF(A67="","missing entity_type; ","")&amp;IF(B67="","missing entity_key; ","")&amp;IF(C67="","missing referrer_order; ","")&amp;IF(E67="","missing referrer_type; ","")&amp;IF(F67="","missing referral_origin_channel; ","")&amp;IF(H67="","missing referrer_name_snapshot; ","")&amp;IF(AND(A67="client",COUNTIF(الزبائن!$A$6:$A$505,B67)=0),"client key not found; ","")&amp;IF(AND(A67="proposed_name",COUNTIF('أسماء مقترحة'!$A$6:$A$505,B67)=0),"proposed_name key not found; ",""))))</f>
        <v/>
      </c>
    </row>
    <row r="68" spans="1:17">
      <c r="A68" s="23"/>
      <c r="B68" s="24"/>
      <c r="C68" s="25"/>
      <c r="D68" s="25"/>
      <c r="E68" s="25"/>
      <c r="F68" s="25"/>
      <c r="G68" s="24"/>
      <c r="H68" s="25"/>
      <c r="I68" s="32"/>
      <c r="J68" s="25"/>
      <c r="K68" s="24"/>
      <c r="L68" s="25"/>
      <c r="M68" s="25"/>
      <c r="N68" s="25"/>
      <c r="O68" s="25"/>
      <c r="P68" s="25" t="str">
        <f>IF(AND(A68="",B68="",H68=""),"",IF(OR(A68="",B68="",C68="",E68="",F68="",H68="",AND(A68="client",COUNTIF(الزبائن!$A$6:$A$505,B68)=0),AND(A68="proposed_name",COUNTIF('أسماء مقترحة'!$A$6:$A$505,B68)=0)),"REVIEW","READY"))</f>
        <v/>
      </c>
      <c r="Q68" s="27" t="str">
        <f>IF(P68="","",IF(P68="READY","",TRIM(IF(A68="","missing entity_type; ","")&amp;IF(B68="","missing entity_key; ","")&amp;IF(C68="","missing referrer_order; ","")&amp;IF(E68="","missing referrer_type; ","")&amp;IF(F68="","missing referral_origin_channel; ","")&amp;IF(H68="","missing referrer_name_snapshot; ","")&amp;IF(AND(A68="client",COUNTIF(الزبائن!$A$6:$A$505,B68)=0),"client key not found; ","")&amp;IF(AND(A68="proposed_name",COUNTIF('أسماء مقترحة'!$A$6:$A$505,B68)=0),"proposed_name key not found; ",""))))</f>
        <v/>
      </c>
    </row>
    <row r="69" spans="1:17">
      <c r="A69" s="23"/>
      <c r="B69" s="24"/>
      <c r="C69" s="25"/>
      <c r="D69" s="25"/>
      <c r="E69" s="25"/>
      <c r="F69" s="25"/>
      <c r="G69" s="24"/>
      <c r="H69" s="25"/>
      <c r="I69" s="32"/>
      <c r="J69" s="25"/>
      <c r="K69" s="24"/>
      <c r="L69" s="25"/>
      <c r="M69" s="25"/>
      <c r="N69" s="25"/>
      <c r="O69" s="25"/>
      <c r="P69" s="25" t="str">
        <f>IF(AND(A69="",B69="",H69=""),"",IF(OR(A69="",B69="",C69="",E69="",F69="",H69="",AND(A69="client",COUNTIF(الزبائن!$A$6:$A$505,B69)=0),AND(A69="proposed_name",COUNTIF('أسماء مقترحة'!$A$6:$A$505,B69)=0)),"REVIEW","READY"))</f>
        <v/>
      </c>
      <c r="Q69" s="27" t="str">
        <f>IF(P69="","",IF(P69="READY","",TRIM(IF(A69="","missing entity_type; ","")&amp;IF(B69="","missing entity_key; ","")&amp;IF(C69="","missing referrer_order; ","")&amp;IF(E69="","missing referrer_type; ","")&amp;IF(F69="","missing referral_origin_channel; ","")&amp;IF(H69="","missing referrer_name_snapshot; ","")&amp;IF(AND(A69="client",COUNTIF(الزبائن!$A$6:$A$505,B69)=0),"client key not found; ","")&amp;IF(AND(A69="proposed_name",COUNTIF('أسماء مقترحة'!$A$6:$A$505,B69)=0),"proposed_name key not found; ",""))))</f>
        <v/>
      </c>
    </row>
    <row r="70" spans="1:17">
      <c r="A70" s="23"/>
      <c r="B70" s="24"/>
      <c r="C70" s="25"/>
      <c r="D70" s="25"/>
      <c r="E70" s="25"/>
      <c r="F70" s="25"/>
      <c r="G70" s="24"/>
      <c r="H70" s="25"/>
      <c r="I70" s="32"/>
      <c r="J70" s="25"/>
      <c r="K70" s="24"/>
      <c r="L70" s="25"/>
      <c r="M70" s="25"/>
      <c r="N70" s="25"/>
      <c r="O70" s="25"/>
      <c r="P70" s="25" t="str">
        <f>IF(AND(A70="",B70="",H70=""),"",IF(OR(A70="",B70="",C70="",E70="",F70="",H70="",AND(A70="client",COUNTIF(الزبائن!$A$6:$A$505,B70)=0),AND(A70="proposed_name",COUNTIF('أسماء مقترحة'!$A$6:$A$505,B70)=0)),"REVIEW","READY"))</f>
        <v/>
      </c>
      <c r="Q70" s="27" t="str">
        <f>IF(P70="","",IF(P70="READY","",TRIM(IF(A70="","missing entity_type; ","")&amp;IF(B70="","missing entity_key; ","")&amp;IF(C70="","missing referrer_order; ","")&amp;IF(E70="","missing referrer_type; ","")&amp;IF(F70="","missing referral_origin_channel; ","")&amp;IF(H70="","missing referrer_name_snapshot; ","")&amp;IF(AND(A70="client",COUNTIF(الزبائن!$A$6:$A$505,B70)=0),"client key not found; ","")&amp;IF(AND(A70="proposed_name",COUNTIF('أسماء مقترحة'!$A$6:$A$505,B70)=0),"proposed_name key not found; ",""))))</f>
        <v/>
      </c>
    </row>
    <row r="71" spans="1:17">
      <c r="A71" s="23"/>
      <c r="B71" s="24"/>
      <c r="C71" s="25"/>
      <c r="D71" s="25"/>
      <c r="E71" s="25"/>
      <c r="F71" s="25"/>
      <c r="G71" s="24"/>
      <c r="H71" s="25"/>
      <c r="I71" s="32"/>
      <c r="J71" s="25"/>
      <c r="K71" s="24"/>
      <c r="L71" s="25"/>
      <c r="M71" s="25"/>
      <c r="N71" s="25"/>
      <c r="O71" s="25"/>
      <c r="P71" s="25" t="str">
        <f>IF(AND(A71="",B71="",H71=""),"",IF(OR(A71="",B71="",C71="",E71="",F71="",H71="",AND(A71="client",COUNTIF(الزبائن!$A$6:$A$505,B71)=0),AND(A71="proposed_name",COUNTIF('أسماء مقترحة'!$A$6:$A$505,B71)=0)),"REVIEW","READY"))</f>
        <v/>
      </c>
      <c r="Q71" s="27" t="str">
        <f>IF(P71="","",IF(P71="READY","",TRIM(IF(A71="","missing entity_type; ","")&amp;IF(B71="","missing entity_key; ","")&amp;IF(C71="","missing referrer_order; ","")&amp;IF(E71="","missing referrer_type; ","")&amp;IF(F71="","missing referral_origin_channel; ","")&amp;IF(H71="","missing referrer_name_snapshot; ","")&amp;IF(AND(A71="client",COUNTIF(الزبائن!$A$6:$A$505,B71)=0),"client key not found; ","")&amp;IF(AND(A71="proposed_name",COUNTIF('أسماء مقترحة'!$A$6:$A$505,B71)=0),"proposed_name key not found; ",""))))</f>
        <v/>
      </c>
    </row>
    <row r="72" spans="1:17">
      <c r="A72" s="23"/>
      <c r="B72" s="24"/>
      <c r="C72" s="25"/>
      <c r="D72" s="25"/>
      <c r="E72" s="25"/>
      <c r="F72" s="25"/>
      <c r="G72" s="24"/>
      <c r="H72" s="25"/>
      <c r="I72" s="32"/>
      <c r="J72" s="25"/>
      <c r="K72" s="24"/>
      <c r="L72" s="25"/>
      <c r="M72" s="25"/>
      <c r="N72" s="25"/>
      <c r="O72" s="25"/>
      <c r="P72" s="25" t="str">
        <f>IF(AND(A72="",B72="",H72=""),"",IF(OR(A72="",B72="",C72="",E72="",F72="",H72="",AND(A72="client",COUNTIF(الزبائن!$A$6:$A$505,B72)=0),AND(A72="proposed_name",COUNTIF('أسماء مقترحة'!$A$6:$A$505,B72)=0)),"REVIEW","READY"))</f>
        <v/>
      </c>
      <c r="Q72" s="27" t="str">
        <f>IF(P72="","",IF(P72="READY","",TRIM(IF(A72="","missing entity_type; ","")&amp;IF(B72="","missing entity_key; ","")&amp;IF(C72="","missing referrer_order; ","")&amp;IF(E72="","missing referrer_type; ","")&amp;IF(F72="","missing referral_origin_channel; ","")&amp;IF(H72="","missing referrer_name_snapshot; ","")&amp;IF(AND(A72="client",COUNTIF(الزبائن!$A$6:$A$505,B72)=0),"client key not found; ","")&amp;IF(AND(A72="proposed_name",COUNTIF('أسماء مقترحة'!$A$6:$A$505,B72)=0),"proposed_name key not found; ",""))))</f>
        <v/>
      </c>
    </row>
    <row r="73" spans="1:17">
      <c r="A73" s="23"/>
      <c r="B73" s="24"/>
      <c r="C73" s="25"/>
      <c r="D73" s="25"/>
      <c r="E73" s="25"/>
      <c r="F73" s="25"/>
      <c r="G73" s="24"/>
      <c r="H73" s="25"/>
      <c r="I73" s="32"/>
      <c r="J73" s="25"/>
      <c r="K73" s="24"/>
      <c r="L73" s="25"/>
      <c r="M73" s="25"/>
      <c r="N73" s="25"/>
      <c r="O73" s="25"/>
      <c r="P73" s="25" t="str">
        <f>IF(AND(A73="",B73="",H73=""),"",IF(OR(A73="",B73="",C73="",E73="",F73="",H73="",AND(A73="client",COUNTIF(الزبائن!$A$6:$A$505,B73)=0),AND(A73="proposed_name",COUNTIF('أسماء مقترحة'!$A$6:$A$505,B73)=0)),"REVIEW","READY"))</f>
        <v/>
      </c>
      <c r="Q73" s="27" t="str">
        <f>IF(P73="","",IF(P73="READY","",TRIM(IF(A73="","missing entity_type; ","")&amp;IF(B73="","missing entity_key; ","")&amp;IF(C73="","missing referrer_order; ","")&amp;IF(E73="","missing referrer_type; ","")&amp;IF(F73="","missing referral_origin_channel; ","")&amp;IF(H73="","missing referrer_name_snapshot; ","")&amp;IF(AND(A73="client",COUNTIF(الزبائن!$A$6:$A$505,B73)=0),"client key not found; ","")&amp;IF(AND(A73="proposed_name",COUNTIF('أسماء مقترحة'!$A$6:$A$505,B73)=0),"proposed_name key not found; ",""))))</f>
        <v/>
      </c>
    </row>
    <row r="74" spans="1:17">
      <c r="A74" s="23"/>
      <c r="B74" s="24"/>
      <c r="C74" s="25"/>
      <c r="D74" s="25"/>
      <c r="E74" s="25"/>
      <c r="F74" s="25"/>
      <c r="G74" s="24"/>
      <c r="H74" s="25"/>
      <c r="I74" s="32"/>
      <c r="J74" s="25"/>
      <c r="K74" s="24"/>
      <c r="L74" s="25"/>
      <c r="M74" s="25"/>
      <c r="N74" s="25"/>
      <c r="O74" s="25"/>
      <c r="P74" s="25" t="str">
        <f>IF(AND(A74="",B74="",H74=""),"",IF(OR(A74="",B74="",C74="",E74="",F74="",H74="",AND(A74="client",COUNTIF(الزبائن!$A$6:$A$505,B74)=0),AND(A74="proposed_name",COUNTIF('أسماء مقترحة'!$A$6:$A$505,B74)=0)),"REVIEW","READY"))</f>
        <v/>
      </c>
      <c r="Q74" s="27" t="str">
        <f>IF(P74="","",IF(P74="READY","",TRIM(IF(A74="","missing entity_type; ","")&amp;IF(B74="","missing entity_key; ","")&amp;IF(C74="","missing referrer_order; ","")&amp;IF(E74="","missing referrer_type; ","")&amp;IF(F74="","missing referral_origin_channel; ","")&amp;IF(H74="","missing referrer_name_snapshot; ","")&amp;IF(AND(A74="client",COUNTIF(الزبائن!$A$6:$A$505,B74)=0),"client key not found; ","")&amp;IF(AND(A74="proposed_name",COUNTIF('أسماء مقترحة'!$A$6:$A$505,B74)=0),"proposed_name key not found; ",""))))</f>
        <v/>
      </c>
    </row>
    <row r="75" spans="1:17">
      <c r="A75" s="23"/>
      <c r="B75" s="24"/>
      <c r="C75" s="25"/>
      <c r="D75" s="25"/>
      <c r="E75" s="25"/>
      <c r="F75" s="25"/>
      <c r="G75" s="24"/>
      <c r="H75" s="25"/>
      <c r="I75" s="32"/>
      <c r="J75" s="25"/>
      <c r="K75" s="24"/>
      <c r="L75" s="25"/>
      <c r="M75" s="25"/>
      <c r="N75" s="25"/>
      <c r="O75" s="25"/>
      <c r="P75" s="25" t="str">
        <f>IF(AND(A75="",B75="",H75=""),"",IF(OR(A75="",B75="",C75="",E75="",F75="",H75="",AND(A75="client",COUNTIF(الزبائن!$A$6:$A$505,B75)=0),AND(A75="proposed_name",COUNTIF('أسماء مقترحة'!$A$6:$A$505,B75)=0)),"REVIEW","READY"))</f>
        <v/>
      </c>
      <c r="Q75" s="27" t="str">
        <f>IF(P75="","",IF(P75="READY","",TRIM(IF(A75="","missing entity_type; ","")&amp;IF(B75="","missing entity_key; ","")&amp;IF(C75="","missing referrer_order; ","")&amp;IF(E75="","missing referrer_type; ","")&amp;IF(F75="","missing referral_origin_channel; ","")&amp;IF(H75="","missing referrer_name_snapshot; ","")&amp;IF(AND(A75="client",COUNTIF(الزبائن!$A$6:$A$505,B75)=0),"client key not found; ","")&amp;IF(AND(A75="proposed_name",COUNTIF('أسماء مقترحة'!$A$6:$A$505,B75)=0),"proposed_name key not found; ",""))))</f>
        <v/>
      </c>
    </row>
    <row r="76" spans="1:17">
      <c r="A76" s="23"/>
      <c r="B76" s="24"/>
      <c r="C76" s="25"/>
      <c r="D76" s="25"/>
      <c r="E76" s="25"/>
      <c r="F76" s="25"/>
      <c r="G76" s="24"/>
      <c r="H76" s="25"/>
      <c r="I76" s="32"/>
      <c r="J76" s="25"/>
      <c r="K76" s="24"/>
      <c r="L76" s="25"/>
      <c r="M76" s="25"/>
      <c r="N76" s="25"/>
      <c r="O76" s="25"/>
      <c r="P76" s="25" t="str">
        <f>IF(AND(A76="",B76="",H76=""),"",IF(OR(A76="",B76="",C76="",E76="",F76="",H76="",AND(A76="client",COUNTIF(الزبائن!$A$6:$A$505,B76)=0),AND(A76="proposed_name",COUNTIF('أسماء مقترحة'!$A$6:$A$505,B76)=0)),"REVIEW","READY"))</f>
        <v/>
      </c>
      <c r="Q76" s="27" t="str">
        <f>IF(P76="","",IF(P76="READY","",TRIM(IF(A76="","missing entity_type; ","")&amp;IF(B76="","missing entity_key; ","")&amp;IF(C76="","missing referrer_order; ","")&amp;IF(E76="","missing referrer_type; ","")&amp;IF(F76="","missing referral_origin_channel; ","")&amp;IF(H76="","missing referrer_name_snapshot; ","")&amp;IF(AND(A76="client",COUNTIF(الزبائن!$A$6:$A$505,B76)=0),"client key not found; ","")&amp;IF(AND(A76="proposed_name",COUNTIF('أسماء مقترحة'!$A$6:$A$505,B76)=0),"proposed_name key not found; ",""))))</f>
        <v/>
      </c>
    </row>
    <row r="77" spans="1:17">
      <c r="A77" s="23"/>
      <c r="B77" s="24"/>
      <c r="C77" s="25"/>
      <c r="D77" s="25"/>
      <c r="E77" s="25"/>
      <c r="F77" s="25"/>
      <c r="G77" s="24"/>
      <c r="H77" s="25"/>
      <c r="I77" s="32"/>
      <c r="J77" s="25"/>
      <c r="K77" s="24"/>
      <c r="L77" s="25"/>
      <c r="M77" s="25"/>
      <c r="N77" s="25"/>
      <c r="O77" s="25"/>
      <c r="P77" s="25" t="str">
        <f>IF(AND(A77="",B77="",H77=""),"",IF(OR(A77="",B77="",C77="",E77="",F77="",H77="",AND(A77="client",COUNTIF(الزبائن!$A$6:$A$505,B77)=0),AND(A77="proposed_name",COUNTIF('أسماء مقترحة'!$A$6:$A$505,B77)=0)),"REVIEW","READY"))</f>
        <v/>
      </c>
      <c r="Q77" s="27" t="str">
        <f>IF(P77="","",IF(P77="READY","",TRIM(IF(A77="","missing entity_type; ","")&amp;IF(B77="","missing entity_key; ","")&amp;IF(C77="","missing referrer_order; ","")&amp;IF(E77="","missing referrer_type; ","")&amp;IF(F77="","missing referral_origin_channel; ","")&amp;IF(H77="","missing referrer_name_snapshot; ","")&amp;IF(AND(A77="client",COUNTIF(الزبائن!$A$6:$A$505,B77)=0),"client key not found; ","")&amp;IF(AND(A77="proposed_name",COUNTIF('أسماء مقترحة'!$A$6:$A$505,B77)=0),"proposed_name key not found; ",""))))</f>
        <v/>
      </c>
    </row>
    <row r="78" spans="1:17">
      <c r="A78" s="23"/>
      <c r="B78" s="24"/>
      <c r="C78" s="25"/>
      <c r="D78" s="25"/>
      <c r="E78" s="25"/>
      <c r="F78" s="25"/>
      <c r="G78" s="24"/>
      <c r="H78" s="25"/>
      <c r="I78" s="32"/>
      <c r="J78" s="25"/>
      <c r="K78" s="24"/>
      <c r="L78" s="25"/>
      <c r="M78" s="25"/>
      <c r="N78" s="25"/>
      <c r="O78" s="25"/>
      <c r="P78" s="25" t="str">
        <f>IF(AND(A78="",B78="",H78=""),"",IF(OR(A78="",B78="",C78="",E78="",F78="",H78="",AND(A78="client",COUNTIF(الزبائن!$A$6:$A$505,B78)=0),AND(A78="proposed_name",COUNTIF('أسماء مقترحة'!$A$6:$A$505,B78)=0)),"REVIEW","READY"))</f>
        <v/>
      </c>
      <c r="Q78" s="27" t="str">
        <f>IF(P78="","",IF(P78="READY","",TRIM(IF(A78="","missing entity_type; ","")&amp;IF(B78="","missing entity_key; ","")&amp;IF(C78="","missing referrer_order; ","")&amp;IF(E78="","missing referrer_type; ","")&amp;IF(F78="","missing referral_origin_channel; ","")&amp;IF(H78="","missing referrer_name_snapshot; ","")&amp;IF(AND(A78="client",COUNTIF(الزبائن!$A$6:$A$505,B78)=0),"client key not found; ","")&amp;IF(AND(A78="proposed_name",COUNTIF('أسماء مقترحة'!$A$6:$A$505,B78)=0),"proposed_name key not found; ",""))))</f>
        <v/>
      </c>
    </row>
    <row r="79" spans="1:17">
      <c r="A79" s="23"/>
      <c r="B79" s="24"/>
      <c r="C79" s="25"/>
      <c r="D79" s="25"/>
      <c r="E79" s="25"/>
      <c r="F79" s="25"/>
      <c r="G79" s="24"/>
      <c r="H79" s="25"/>
      <c r="I79" s="32"/>
      <c r="J79" s="25"/>
      <c r="K79" s="24"/>
      <c r="L79" s="25"/>
      <c r="M79" s="25"/>
      <c r="N79" s="25"/>
      <c r="O79" s="25"/>
      <c r="P79" s="25" t="str">
        <f>IF(AND(A79="",B79="",H79=""),"",IF(OR(A79="",B79="",C79="",E79="",F79="",H79="",AND(A79="client",COUNTIF(الزبائن!$A$6:$A$505,B79)=0),AND(A79="proposed_name",COUNTIF('أسماء مقترحة'!$A$6:$A$505,B79)=0)),"REVIEW","READY"))</f>
        <v/>
      </c>
      <c r="Q79" s="27" t="str">
        <f>IF(P79="","",IF(P79="READY","",TRIM(IF(A79="","missing entity_type; ","")&amp;IF(B79="","missing entity_key; ","")&amp;IF(C79="","missing referrer_order; ","")&amp;IF(E79="","missing referrer_type; ","")&amp;IF(F79="","missing referral_origin_channel; ","")&amp;IF(H79="","missing referrer_name_snapshot; ","")&amp;IF(AND(A79="client",COUNTIF(الزبائن!$A$6:$A$505,B79)=0),"client key not found; ","")&amp;IF(AND(A79="proposed_name",COUNTIF('أسماء مقترحة'!$A$6:$A$505,B79)=0),"proposed_name key not found; ",""))))</f>
        <v/>
      </c>
    </row>
    <row r="80" spans="1:17">
      <c r="A80" s="23"/>
      <c r="B80" s="24"/>
      <c r="C80" s="25"/>
      <c r="D80" s="25"/>
      <c r="E80" s="25"/>
      <c r="F80" s="25"/>
      <c r="G80" s="24"/>
      <c r="H80" s="25"/>
      <c r="I80" s="32"/>
      <c r="J80" s="25"/>
      <c r="K80" s="24"/>
      <c r="L80" s="25"/>
      <c r="M80" s="25"/>
      <c r="N80" s="25"/>
      <c r="O80" s="25"/>
      <c r="P80" s="25" t="str">
        <f>IF(AND(A80="",B80="",H80=""),"",IF(OR(A80="",B80="",C80="",E80="",F80="",H80="",AND(A80="client",COUNTIF(الزبائن!$A$6:$A$505,B80)=0),AND(A80="proposed_name",COUNTIF('أسماء مقترحة'!$A$6:$A$505,B80)=0)),"REVIEW","READY"))</f>
        <v/>
      </c>
      <c r="Q80" s="27" t="str">
        <f>IF(P80="","",IF(P80="READY","",TRIM(IF(A80="","missing entity_type; ","")&amp;IF(B80="","missing entity_key; ","")&amp;IF(C80="","missing referrer_order; ","")&amp;IF(E80="","missing referrer_type; ","")&amp;IF(F80="","missing referral_origin_channel; ","")&amp;IF(H80="","missing referrer_name_snapshot; ","")&amp;IF(AND(A80="client",COUNTIF(الزبائن!$A$6:$A$505,B80)=0),"client key not found; ","")&amp;IF(AND(A80="proposed_name",COUNTIF('أسماء مقترحة'!$A$6:$A$505,B80)=0),"proposed_name key not found; ",""))))</f>
        <v/>
      </c>
    </row>
    <row r="81" spans="1:17">
      <c r="A81" s="23"/>
      <c r="B81" s="24"/>
      <c r="C81" s="25"/>
      <c r="D81" s="25"/>
      <c r="E81" s="25"/>
      <c r="F81" s="25"/>
      <c r="G81" s="24"/>
      <c r="H81" s="25"/>
      <c r="I81" s="32"/>
      <c r="J81" s="25"/>
      <c r="K81" s="24"/>
      <c r="L81" s="25"/>
      <c r="M81" s="25"/>
      <c r="N81" s="25"/>
      <c r="O81" s="25"/>
      <c r="P81" s="25" t="str">
        <f>IF(AND(A81="",B81="",H81=""),"",IF(OR(A81="",B81="",C81="",E81="",F81="",H81="",AND(A81="client",COUNTIF(الزبائن!$A$6:$A$505,B81)=0),AND(A81="proposed_name",COUNTIF('أسماء مقترحة'!$A$6:$A$505,B81)=0)),"REVIEW","READY"))</f>
        <v/>
      </c>
      <c r="Q81" s="27" t="str">
        <f>IF(P81="","",IF(P81="READY","",TRIM(IF(A81="","missing entity_type; ","")&amp;IF(B81="","missing entity_key; ","")&amp;IF(C81="","missing referrer_order; ","")&amp;IF(E81="","missing referrer_type; ","")&amp;IF(F81="","missing referral_origin_channel; ","")&amp;IF(H81="","missing referrer_name_snapshot; ","")&amp;IF(AND(A81="client",COUNTIF(الزبائن!$A$6:$A$505,B81)=0),"client key not found; ","")&amp;IF(AND(A81="proposed_name",COUNTIF('أسماء مقترحة'!$A$6:$A$505,B81)=0),"proposed_name key not found; ",""))))</f>
        <v/>
      </c>
    </row>
    <row r="82" spans="1:17">
      <c r="A82" s="23"/>
      <c r="B82" s="24"/>
      <c r="C82" s="25"/>
      <c r="D82" s="25"/>
      <c r="E82" s="25"/>
      <c r="F82" s="25"/>
      <c r="G82" s="24"/>
      <c r="H82" s="25"/>
      <c r="I82" s="32"/>
      <c r="J82" s="25"/>
      <c r="K82" s="24"/>
      <c r="L82" s="25"/>
      <c r="M82" s="25"/>
      <c r="N82" s="25"/>
      <c r="O82" s="25"/>
      <c r="P82" s="25" t="str">
        <f>IF(AND(A82="",B82="",H82=""),"",IF(OR(A82="",B82="",C82="",E82="",F82="",H82="",AND(A82="client",COUNTIF(الزبائن!$A$6:$A$505,B82)=0),AND(A82="proposed_name",COUNTIF('أسماء مقترحة'!$A$6:$A$505,B82)=0)),"REVIEW","READY"))</f>
        <v/>
      </c>
      <c r="Q82" s="27" t="str">
        <f>IF(P82="","",IF(P82="READY","",TRIM(IF(A82="","missing entity_type; ","")&amp;IF(B82="","missing entity_key; ","")&amp;IF(C82="","missing referrer_order; ","")&amp;IF(E82="","missing referrer_type; ","")&amp;IF(F82="","missing referral_origin_channel; ","")&amp;IF(H82="","missing referrer_name_snapshot; ","")&amp;IF(AND(A82="client",COUNTIF(الزبائن!$A$6:$A$505,B82)=0),"client key not found; ","")&amp;IF(AND(A82="proposed_name",COUNTIF('أسماء مقترحة'!$A$6:$A$505,B82)=0),"proposed_name key not found; ",""))))</f>
        <v/>
      </c>
    </row>
    <row r="83" spans="1:17">
      <c r="A83" s="23"/>
      <c r="B83" s="24"/>
      <c r="C83" s="25"/>
      <c r="D83" s="25"/>
      <c r="E83" s="25"/>
      <c r="F83" s="25"/>
      <c r="G83" s="24"/>
      <c r="H83" s="25"/>
      <c r="I83" s="32"/>
      <c r="J83" s="25"/>
      <c r="K83" s="24"/>
      <c r="L83" s="25"/>
      <c r="M83" s="25"/>
      <c r="N83" s="25"/>
      <c r="O83" s="25"/>
      <c r="P83" s="25" t="str">
        <f>IF(AND(A83="",B83="",H83=""),"",IF(OR(A83="",B83="",C83="",E83="",F83="",H83="",AND(A83="client",COUNTIF(الزبائن!$A$6:$A$505,B83)=0),AND(A83="proposed_name",COUNTIF('أسماء مقترحة'!$A$6:$A$505,B83)=0)),"REVIEW","READY"))</f>
        <v/>
      </c>
      <c r="Q83" s="27" t="str">
        <f>IF(P83="","",IF(P83="READY","",TRIM(IF(A83="","missing entity_type; ","")&amp;IF(B83="","missing entity_key; ","")&amp;IF(C83="","missing referrer_order; ","")&amp;IF(E83="","missing referrer_type; ","")&amp;IF(F83="","missing referral_origin_channel; ","")&amp;IF(H83="","missing referrer_name_snapshot; ","")&amp;IF(AND(A83="client",COUNTIF(الزبائن!$A$6:$A$505,B83)=0),"client key not found; ","")&amp;IF(AND(A83="proposed_name",COUNTIF('أسماء مقترحة'!$A$6:$A$505,B83)=0),"proposed_name key not found; ",""))))</f>
        <v/>
      </c>
    </row>
    <row r="84" spans="1:17">
      <c r="A84" s="23"/>
      <c r="B84" s="24"/>
      <c r="C84" s="25"/>
      <c r="D84" s="25"/>
      <c r="E84" s="25"/>
      <c r="F84" s="25"/>
      <c r="G84" s="24"/>
      <c r="H84" s="25"/>
      <c r="I84" s="32"/>
      <c r="J84" s="25"/>
      <c r="K84" s="24"/>
      <c r="L84" s="25"/>
      <c r="M84" s="25"/>
      <c r="N84" s="25"/>
      <c r="O84" s="25"/>
      <c r="P84" s="25" t="str">
        <f>IF(AND(A84="",B84="",H84=""),"",IF(OR(A84="",B84="",C84="",E84="",F84="",H84="",AND(A84="client",COUNTIF(الزبائن!$A$6:$A$505,B84)=0),AND(A84="proposed_name",COUNTIF('أسماء مقترحة'!$A$6:$A$505,B84)=0)),"REVIEW","READY"))</f>
        <v/>
      </c>
      <c r="Q84" s="27" t="str">
        <f>IF(P84="","",IF(P84="READY","",TRIM(IF(A84="","missing entity_type; ","")&amp;IF(B84="","missing entity_key; ","")&amp;IF(C84="","missing referrer_order; ","")&amp;IF(E84="","missing referrer_type; ","")&amp;IF(F84="","missing referral_origin_channel; ","")&amp;IF(H84="","missing referrer_name_snapshot; ","")&amp;IF(AND(A84="client",COUNTIF(الزبائن!$A$6:$A$505,B84)=0),"client key not found; ","")&amp;IF(AND(A84="proposed_name",COUNTIF('أسماء مقترحة'!$A$6:$A$505,B84)=0),"proposed_name key not found; ",""))))</f>
        <v/>
      </c>
    </row>
    <row r="85" spans="1:17">
      <c r="A85" s="23"/>
      <c r="B85" s="24"/>
      <c r="C85" s="25"/>
      <c r="D85" s="25"/>
      <c r="E85" s="25"/>
      <c r="F85" s="25"/>
      <c r="G85" s="24"/>
      <c r="H85" s="25"/>
      <c r="I85" s="32"/>
      <c r="J85" s="25"/>
      <c r="K85" s="24"/>
      <c r="L85" s="25"/>
      <c r="M85" s="25"/>
      <c r="N85" s="25"/>
      <c r="O85" s="25"/>
      <c r="P85" s="25" t="str">
        <f>IF(AND(A85="",B85="",H85=""),"",IF(OR(A85="",B85="",C85="",E85="",F85="",H85="",AND(A85="client",COUNTIF(الزبائن!$A$6:$A$505,B85)=0),AND(A85="proposed_name",COUNTIF('أسماء مقترحة'!$A$6:$A$505,B85)=0)),"REVIEW","READY"))</f>
        <v/>
      </c>
      <c r="Q85" s="27" t="str">
        <f>IF(P85="","",IF(P85="READY","",TRIM(IF(A85="","missing entity_type; ","")&amp;IF(B85="","missing entity_key; ","")&amp;IF(C85="","missing referrer_order; ","")&amp;IF(E85="","missing referrer_type; ","")&amp;IF(F85="","missing referral_origin_channel; ","")&amp;IF(H85="","missing referrer_name_snapshot; ","")&amp;IF(AND(A85="client",COUNTIF(الزبائن!$A$6:$A$505,B85)=0),"client key not found; ","")&amp;IF(AND(A85="proposed_name",COUNTIF('أسماء مقترحة'!$A$6:$A$505,B85)=0),"proposed_name key not found; ",""))))</f>
        <v/>
      </c>
    </row>
    <row r="86" spans="1:17">
      <c r="A86" s="23"/>
      <c r="B86" s="24"/>
      <c r="C86" s="25"/>
      <c r="D86" s="25"/>
      <c r="E86" s="25"/>
      <c r="F86" s="25"/>
      <c r="G86" s="24"/>
      <c r="H86" s="25"/>
      <c r="I86" s="32"/>
      <c r="J86" s="25"/>
      <c r="K86" s="24"/>
      <c r="L86" s="25"/>
      <c r="M86" s="25"/>
      <c r="N86" s="25"/>
      <c r="O86" s="25"/>
      <c r="P86" s="25" t="str">
        <f>IF(AND(A86="",B86="",H86=""),"",IF(OR(A86="",B86="",C86="",E86="",F86="",H86="",AND(A86="client",COUNTIF(الزبائن!$A$6:$A$505,B86)=0),AND(A86="proposed_name",COUNTIF('أسماء مقترحة'!$A$6:$A$505,B86)=0)),"REVIEW","READY"))</f>
        <v/>
      </c>
      <c r="Q86" s="27" t="str">
        <f>IF(P86="","",IF(P86="READY","",TRIM(IF(A86="","missing entity_type; ","")&amp;IF(B86="","missing entity_key; ","")&amp;IF(C86="","missing referrer_order; ","")&amp;IF(E86="","missing referrer_type; ","")&amp;IF(F86="","missing referral_origin_channel; ","")&amp;IF(H86="","missing referrer_name_snapshot; ","")&amp;IF(AND(A86="client",COUNTIF(الزبائن!$A$6:$A$505,B86)=0),"client key not found; ","")&amp;IF(AND(A86="proposed_name",COUNTIF('أسماء مقترحة'!$A$6:$A$505,B86)=0),"proposed_name key not found; ",""))))</f>
        <v/>
      </c>
    </row>
    <row r="87" spans="1:17">
      <c r="A87" s="23"/>
      <c r="B87" s="24"/>
      <c r="C87" s="25"/>
      <c r="D87" s="25"/>
      <c r="E87" s="25"/>
      <c r="F87" s="25"/>
      <c r="G87" s="24"/>
      <c r="H87" s="25"/>
      <c r="I87" s="32"/>
      <c r="J87" s="25"/>
      <c r="K87" s="24"/>
      <c r="L87" s="25"/>
      <c r="M87" s="25"/>
      <c r="N87" s="25"/>
      <c r="O87" s="25"/>
      <c r="P87" s="25" t="str">
        <f>IF(AND(A87="",B87="",H87=""),"",IF(OR(A87="",B87="",C87="",E87="",F87="",H87="",AND(A87="client",COUNTIF(الزبائن!$A$6:$A$505,B87)=0),AND(A87="proposed_name",COUNTIF('أسماء مقترحة'!$A$6:$A$505,B87)=0)),"REVIEW","READY"))</f>
        <v/>
      </c>
      <c r="Q87" s="27" t="str">
        <f>IF(P87="","",IF(P87="READY","",TRIM(IF(A87="","missing entity_type; ","")&amp;IF(B87="","missing entity_key; ","")&amp;IF(C87="","missing referrer_order; ","")&amp;IF(E87="","missing referrer_type; ","")&amp;IF(F87="","missing referral_origin_channel; ","")&amp;IF(H87="","missing referrer_name_snapshot; ","")&amp;IF(AND(A87="client",COUNTIF(الزبائن!$A$6:$A$505,B87)=0),"client key not found; ","")&amp;IF(AND(A87="proposed_name",COUNTIF('أسماء مقترحة'!$A$6:$A$505,B87)=0),"proposed_name key not found; ",""))))</f>
        <v/>
      </c>
    </row>
    <row r="88" spans="1:17">
      <c r="A88" s="23"/>
      <c r="B88" s="24"/>
      <c r="C88" s="25"/>
      <c r="D88" s="25"/>
      <c r="E88" s="25"/>
      <c r="F88" s="25"/>
      <c r="G88" s="24"/>
      <c r="H88" s="25"/>
      <c r="I88" s="32"/>
      <c r="J88" s="25"/>
      <c r="K88" s="24"/>
      <c r="L88" s="25"/>
      <c r="M88" s="25"/>
      <c r="N88" s="25"/>
      <c r="O88" s="25"/>
      <c r="P88" s="25" t="str">
        <f>IF(AND(A88="",B88="",H88=""),"",IF(OR(A88="",B88="",C88="",E88="",F88="",H88="",AND(A88="client",COUNTIF(الزبائن!$A$6:$A$505,B88)=0),AND(A88="proposed_name",COUNTIF('أسماء مقترحة'!$A$6:$A$505,B88)=0)),"REVIEW","READY"))</f>
        <v/>
      </c>
      <c r="Q88" s="27" t="str">
        <f>IF(P88="","",IF(P88="READY","",TRIM(IF(A88="","missing entity_type; ","")&amp;IF(B88="","missing entity_key; ","")&amp;IF(C88="","missing referrer_order; ","")&amp;IF(E88="","missing referrer_type; ","")&amp;IF(F88="","missing referral_origin_channel; ","")&amp;IF(H88="","missing referrer_name_snapshot; ","")&amp;IF(AND(A88="client",COUNTIF(الزبائن!$A$6:$A$505,B88)=0),"client key not found; ","")&amp;IF(AND(A88="proposed_name",COUNTIF('أسماء مقترحة'!$A$6:$A$505,B88)=0),"proposed_name key not found; ",""))))</f>
        <v/>
      </c>
    </row>
    <row r="89" spans="1:17">
      <c r="A89" s="23"/>
      <c r="B89" s="24"/>
      <c r="C89" s="25"/>
      <c r="D89" s="25"/>
      <c r="E89" s="25"/>
      <c r="F89" s="25"/>
      <c r="G89" s="24"/>
      <c r="H89" s="25"/>
      <c r="I89" s="32"/>
      <c r="J89" s="25"/>
      <c r="K89" s="24"/>
      <c r="L89" s="25"/>
      <c r="M89" s="25"/>
      <c r="N89" s="25"/>
      <c r="O89" s="25"/>
      <c r="P89" s="25" t="str">
        <f>IF(AND(A89="",B89="",H89=""),"",IF(OR(A89="",B89="",C89="",E89="",F89="",H89="",AND(A89="client",COUNTIF(الزبائن!$A$6:$A$505,B89)=0),AND(A89="proposed_name",COUNTIF('أسماء مقترحة'!$A$6:$A$505,B89)=0)),"REVIEW","READY"))</f>
        <v/>
      </c>
      <c r="Q89" s="27" t="str">
        <f>IF(P89="","",IF(P89="READY","",TRIM(IF(A89="","missing entity_type; ","")&amp;IF(B89="","missing entity_key; ","")&amp;IF(C89="","missing referrer_order; ","")&amp;IF(E89="","missing referrer_type; ","")&amp;IF(F89="","missing referral_origin_channel; ","")&amp;IF(H89="","missing referrer_name_snapshot; ","")&amp;IF(AND(A89="client",COUNTIF(الزبائن!$A$6:$A$505,B89)=0),"client key not found; ","")&amp;IF(AND(A89="proposed_name",COUNTIF('أسماء مقترحة'!$A$6:$A$505,B89)=0),"proposed_name key not found; ",""))))</f>
        <v/>
      </c>
    </row>
    <row r="90" spans="1:17">
      <c r="A90" s="23"/>
      <c r="B90" s="24"/>
      <c r="C90" s="25"/>
      <c r="D90" s="25"/>
      <c r="E90" s="25"/>
      <c r="F90" s="25"/>
      <c r="G90" s="24"/>
      <c r="H90" s="25"/>
      <c r="I90" s="32"/>
      <c r="J90" s="25"/>
      <c r="K90" s="24"/>
      <c r="L90" s="25"/>
      <c r="M90" s="25"/>
      <c r="N90" s="25"/>
      <c r="O90" s="25"/>
      <c r="P90" s="25" t="str">
        <f>IF(AND(A90="",B90="",H90=""),"",IF(OR(A90="",B90="",C90="",E90="",F90="",H90="",AND(A90="client",COUNTIF(الزبائن!$A$6:$A$505,B90)=0),AND(A90="proposed_name",COUNTIF('أسماء مقترحة'!$A$6:$A$505,B90)=0)),"REVIEW","READY"))</f>
        <v/>
      </c>
      <c r="Q90" s="27" t="str">
        <f>IF(P90="","",IF(P90="READY","",TRIM(IF(A90="","missing entity_type; ","")&amp;IF(B90="","missing entity_key; ","")&amp;IF(C90="","missing referrer_order; ","")&amp;IF(E90="","missing referrer_type; ","")&amp;IF(F90="","missing referral_origin_channel; ","")&amp;IF(H90="","missing referrer_name_snapshot; ","")&amp;IF(AND(A90="client",COUNTIF(الزبائن!$A$6:$A$505,B90)=0),"client key not found; ","")&amp;IF(AND(A90="proposed_name",COUNTIF('أسماء مقترحة'!$A$6:$A$505,B90)=0),"proposed_name key not found; ",""))))</f>
        <v/>
      </c>
    </row>
    <row r="91" spans="1:17">
      <c r="A91" s="23"/>
      <c r="B91" s="24"/>
      <c r="C91" s="25"/>
      <c r="D91" s="25"/>
      <c r="E91" s="25"/>
      <c r="F91" s="25"/>
      <c r="G91" s="24"/>
      <c r="H91" s="25"/>
      <c r="I91" s="32"/>
      <c r="J91" s="25"/>
      <c r="K91" s="24"/>
      <c r="L91" s="25"/>
      <c r="M91" s="25"/>
      <c r="N91" s="25"/>
      <c r="O91" s="25"/>
      <c r="P91" s="25" t="str">
        <f>IF(AND(A91="",B91="",H91=""),"",IF(OR(A91="",B91="",C91="",E91="",F91="",H91="",AND(A91="client",COUNTIF(الزبائن!$A$6:$A$505,B91)=0),AND(A91="proposed_name",COUNTIF('أسماء مقترحة'!$A$6:$A$505,B91)=0)),"REVIEW","READY"))</f>
        <v/>
      </c>
      <c r="Q91" s="27" t="str">
        <f>IF(P91="","",IF(P91="READY","",TRIM(IF(A91="","missing entity_type; ","")&amp;IF(B91="","missing entity_key; ","")&amp;IF(C91="","missing referrer_order; ","")&amp;IF(E91="","missing referrer_type; ","")&amp;IF(F91="","missing referral_origin_channel; ","")&amp;IF(H91="","missing referrer_name_snapshot; ","")&amp;IF(AND(A91="client",COUNTIF(الزبائن!$A$6:$A$505,B91)=0),"client key not found; ","")&amp;IF(AND(A91="proposed_name",COUNTIF('أسماء مقترحة'!$A$6:$A$505,B91)=0),"proposed_name key not found; ",""))))</f>
        <v/>
      </c>
    </row>
    <row r="92" spans="1:17">
      <c r="A92" s="23"/>
      <c r="B92" s="24"/>
      <c r="C92" s="25"/>
      <c r="D92" s="25"/>
      <c r="E92" s="25"/>
      <c r="F92" s="25"/>
      <c r="G92" s="24"/>
      <c r="H92" s="25"/>
      <c r="I92" s="32"/>
      <c r="J92" s="25"/>
      <c r="K92" s="24"/>
      <c r="L92" s="25"/>
      <c r="M92" s="25"/>
      <c r="N92" s="25"/>
      <c r="O92" s="25"/>
      <c r="P92" s="25" t="str">
        <f>IF(AND(A92="",B92="",H92=""),"",IF(OR(A92="",B92="",C92="",E92="",F92="",H92="",AND(A92="client",COUNTIF(الزبائن!$A$6:$A$505,B92)=0),AND(A92="proposed_name",COUNTIF('أسماء مقترحة'!$A$6:$A$505,B92)=0)),"REVIEW","READY"))</f>
        <v/>
      </c>
      <c r="Q92" s="27" t="str">
        <f>IF(P92="","",IF(P92="READY","",TRIM(IF(A92="","missing entity_type; ","")&amp;IF(B92="","missing entity_key; ","")&amp;IF(C92="","missing referrer_order; ","")&amp;IF(E92="","missing referrer_type; ","")&amp;IF(F92="","missing referral_origin_channel; ","")&amp;IF(H92="","missing referrer_name_snapshot; ","")&amp;IF(AND(A92="client",COUNTIF(الزبائن!$A$6:$A$505,B92)=0),"client key not found; ","")&amp;IF(AND(A92="proposed_name",COUNTIF('أسماء مقترحة'!$A$6:$A$505,B92)=0),"proposed_name key not found; ",""))))</f>
        <v/>
      </c>
    </row>
    <row r="93" spans="1:17">
      <c r="A93" s="23"/>
      <c r="B93" s="24"/>
      <c r="C93" s="25"/>
      <c r="D93" s="25"/>
      <c r="E93" s="25"/>
      <c r="F93" s="25"/>
      <c r="G93" s="24"/>
      <c r="H93" s="25"/>
      <c r="I93" s="32"/>
      <c r="J93" s="25"/>
      <c r="K93" s="24"/>
      <c r="L93" s="25"/>
      <c r="M93" s="25"/>
      <c r="N93" s="25"/>
      <c r="O93" s="25"/>
      <c r="P93" s="25" t="str">
        <f>IF(AND(A93="",B93="",H93=""),"",IF(OR(A93="",B93="",C93="",E93="",F93="",H93="",AND(A93="client",COUNTIF(الزبائن!$A$6:$A$505,B93)=0),AND(A93="proposed_name",COUNTIF('أسماء مقترحة'!$A$6:$A$505,B93)=0)),"REVIEW","READY"))</f>
        <v/>
      </c>
      <c r="Q93" s="27" t="str">
        <f>IF(P93="","",IF(P93="READY","",TRIM(IF(A93="","missing entity_type; ","")&amp;IF(B93="","missing entity_key; ","")&amp;IF(C93="","missing referrer_order; ","")&amp;IF(E93="","missing referrer_type; ","")&amp;IF(F93="","missing referral_origin_channel; ","")&amp;IF(H93="","missing referrer_name_snapshot; ","")&amp;IF(AND(A93="client",COUNTIF(الزبائن!$A$6:$A$505,B93)=0),"client key not found; ","")&amp;IF(AND(A93="proposed_name",COUNTIF('أسماء مقترحة'!$A$6:$A$505,B93)=0),"proposed_name key not found; ",""))))</f>
        <v/>
      </c>
    </row>
    <row r="94" spans="1:17">
      <c r="A94" s="23"/>
      <c r="B94" s="24"/>
      <c r="C94" s="25"/>
      <c r="D94" s="25"/>
      <c r="E94" s="25"/>
      <c r="F94" s="25"/>
      <c r="G94" s="24"/>
      <c r="H94" s="25"/>
      <c r="I94" s="32"/>
      <c r="J94" s="25"/>
      <c r="K94" s="24"/>
      <c r="L94" s="25"/>
      <c r="M94" s="25"/>
      <c r="N94" s="25"/>
      <c r="O94" s="25"/>
      <c r="P94" s="25" t="str">
        <f>IF(AND(A94="",B94="",H94=""),"",IF(OR(A94="",B94="",C94="",E94="",F94="",H94="",AND(A94="client",COUNTIF(الزبائن!$A$6:$A$505,B94)=0),AND(A94="proposed_name",COUNTIF('أسماء مقترحة'!$A$6:$A$505,B94)=0)),"REVIEW","READY"))</f>
        <v/>
      </c>
      <c r="Q94" s="27" t="str">
        <f>IF(P94="","",IF(P94="READY","",TRIM(IF(A94="","missing entity_type; ","")&amp;IF(B94="","missing entity_key; ","")&amp;IF(C94="","missing referrer_order; ","")&amp;IF(E94="","missing referrer_type; ","")&amp;IF(F94="","missing referral_origin_channel; ","")&amp;IF(H94="","missing referrer_name_snapshot; ","")&amp;IF(AND(A94="client",COUNTIF(الزبائن!$A$6:$A$505,B94)=0),"client key not found; ","")&amp;IF(AND(A94="proposed_name",COUNTIF('أسماء مقترحة'!$A$6:$A$505,B94)=0),"proposed_name key not found; ",""))))</f>
        <v/>
      </c>
    </row>
    <row r="95" spans="1:17">
      <c r="A95" s="23"/>
      <c r="B95" s="24"/>
      <c r="C95" s="25"/>
      <c r="D95" s="25"/>
      <c r="E95" s="25"/>
      <c r="F95" s="25"/>
      <c r="G95" s="24"/>
      <c r="H95" s="25"/>
      <c r="I95" s="32"/>
      <c r="J95" s="25"/>
      <c r="K95" s="24"/>
      <c r="L95" s="25"/>
      <c r="M95" s="25"/>
      <c r="N95" s="25"/>
      <c r="O95" s="25"/>
      <c r="P95" s="25" t="str">
        <f>IF(AND(A95="",B95="",H95=""),"",IF(OR(A95="",B95="",C95="",E95="",F95="",H95="",AND(A95="client",COUNTIF(الزبائن!$A$6:$A$505,B95)=0),AND(A95="proposed_name",COUNTIF('أسماء مقترحة'!$A$6:$A$505,B95)=0)),"REVIEW","READY"))</f>
        <v/>
      </c>
      <c r="Q95" s="27" t="str">
        <f>IF(P95="","",IF(P95="READY","",TRIM(IF(A95="","missing entity_type; ","")&amp;IF(B95="","missing entity_key; ","")&amp;IF(C95="","missing referrer_order; ","")&amp;IF(E95="","missing referrer_type; ","")&amp;IF(F95="","missing referral_origin_channel; ","")&amp;IF(H95="","missing referrer_name_snapshot; ","")&amp;IF(AND(A95="client",COUNTIF(الزبائن!$A$6:$A$505,B95)=0),"client key not found; ","")&amp;IF(AND(A95="proposed_name",COUNTIF('أسماء مقترحة'!$A$6:$A$505,B95)=0),"proposed_name key not found; ",""))))</f>
        <v/>
      </c>
    </row>
    <row r="96" spans="1:17">
      <c r="A96" s="23"/>
      <c r="B96" s="24"/>
      <c r="C96" s="25"/>
      <c r="D96" s="25"/>
      <c r="E96" s="25"/>
      <c r="F96" s="25"/>
      <c r="G96" s="24"/>
      <c r="H96" s="25"/>
      <c r="I96" s="32"/>
      <c r="J96" s="25"/>
      <c r="K96" s="24"/>
      <c r="L96" s="25"/>
      <c r="M96" s="25"/>
      <c r="N96" s="25"/>
      <c r="O96" s="25"/>
      <c r="P96" s="25" t="str">
        <f>IF(AND(A96="",B96="",H96=""),"",IF(OR(A96="",B96="",C96="",E96="",F96="",H96="",AND(A96="client",COUNTIF(الزبائن!$A$6:$A$505,B96)=0),AND(A96="proposed_name",COUNTIF('أسماء مقترحة'!$A$6:$A$505,B96)=0)),"REVIEW","READY"))</f>
        <v/>
      </c>
      <c r="Q96" s="27" t="str">
        <f>IF(P96="","",IF(P96="READY","",TRIM(IF(A96="","missing entity_type; ","")&amp;IF(B96="","missing entity_key; ","")&amp;IF(C96="","missing referrer_order; ","")&amp;IF(E96="","missing referrer_type; ","")&amp;IF(F96="","missing referral_origin_channel; ","")&amp;IF(H96="","missing referrer_name_snapshot; ","")&amp;IF(AND(A96="client",COUNTIF(الزبائن!$A$6:$A$505,B96)=0),"client key not found; ","")&amp;IF(AND(A96="proposed_name",COUNTIF('أسماء مقترحة'!$A$6:$A$505,B96)=0),"proposed_name key not found; ",""))))</f>
        <v/>
      </c>
    </row>
    <row r="97" spans="1:17">
      <c r="A97" s="23"/>
      <c r="B97" s="24"/>
      <c r="C97" s="25"/>
      <c r="D97" s="25"/>
      <c r="E97" s="25"/>
      <c r="F97" s="25"/>
      <c r="G97" s="24"/>
      <c r="H97" s="25"/>
      <c r="I97" s="32"/>
      <c r="J97" s="25"/>
      <c r="K97" s="24"/>
      <c r="L97" s="25"/>
      <c r="M97" s="25"/>
      <c r="N97" s="25"/>
      <c r="O97" s="25"/>
      <c r="P97" s="25" t="str">
        <f>IF(AND(A97="",B97="",H97=""),"",IF(OR(A97="",B97="",C97="",E97="",F97="",H97="",AND(A97="client",COUNTIF(الزبائن!$A$6:$A$505,B97)=0),AND(A97="proposed_name",COUNTIF('أسماء مقترحة'!$A$6:$A$505,B97)=0)),"REVIEW","READY"))</f>
        <v/>
      </c>
      <c r="Q97" s="27" t="str">
        <f>IF(P97="","",IF(P97="READY","",TRIM(IF(A97="","missing entity_type; ","")&amp;IF(B97="","missing entity_key; ","")&amp;IF(C97="","missing referrer_order; ","")&amp;IF(E97="","missing referrer_type; ","")&amp;IF(F97="","missing referral_origin_channel; ","")&amp;IF(H97="","missing referrer_name_snapshot; ","")&amp;IF(AND(A97="client",COUNTIF(الزبائن!$A$6:$A$505,B97)=0),"client key not found; ","")&amp;IF(AND(A97="proposed_name",COUNTIF('أسماء مقترحة'!$A$6:$A$505,B97)=0),"proposed_name key not found; ",""))))</f>
        <v/>
      </c>
    </row>
    <row r="98" spans="1:17">
      <c r="A98" s="23"/>
      <c r="B98" s="24"/>
      <c r="C98" s="25"/>
      <c r="D98" s="25"/>
      <c r="E98" s="25"/>
      <c r="F98" s="25"/>
      <c r="G98" s="24"/>
      <c r="H98" s="25"/>
      <c r="I98" s="32"/>
      <c r="J98" s="25"/>
      <c r="K98" s="24"/>
      <c r="L98" s="25"/>
      <c r="M98" s="25"/>
      <c r="N98" s="25"/>
      <c r="O98" s="25"/>
      <c r="P98" s="25" t="str">
        <f>IF(AND(A98="",B98="",H98=""),"",IF(OR(A98="",B98="",C98="",E98="",F98="",H98="",AND(A98="client",COUNTIF(الزبائن!$A$6:$A$505,B98)=0),AND(A98="proposed_name",COUNTIF('أسماء مقترحة'!$A$6:$A$505,B98)=0)),"REVIEW","READY"))</f>
        <v/>
      </c>
      <c r="Q98" s="27" t="str">
        <f>IF(P98="","",IF(P98="READY","",TRIM(IF(A98="","missing entity_type; ","")&amp;IF(B98="","missing entity_key; ","")&amp;IF(C98="","missing referrer_order; ","")&amp;IF(E98="","missing referrer_type; ","")&amp;IF(F98="","missing referral_origin_channel; ","")&amp;IF(H98="","missing referrer_name_snapshot; ","")&amp;IF(AND(A98="client",COUNTIF(الزبائن!$A$6:$A$505,B98)=0),"client key not found; ","")&amp;IF(AND(A98="proposed_name",COUNTIF('أسماء مقترحة'!$A$6:$A$505,B98)=0),"proposed_name key not found; ",""))))</f>
        <v/>
      </c>
    </row>
    <row r="99" spans="1:17">
      <c r="A99" s="23"/>
      <c r="B99" s="24"/>
      <c r="C99" s="25"/>
      <c r="D99" s="25"/>
      <c r="E99" s="25"/>
      <c r="F99" s="25"/>
      <c r="G99" s="24"/>
      <c r="H99" s="25"/>
      <c r="I99" s="32"/>
      <c r="J99" s="25"/>
      <c r="K99" s="24"/>
      <c r="L99" s="25"/>
      <c r="M99" s="25"/>
      <c r="N99" s="25"/>
      <c r="O99" s="25"/>
      <c r="P99" s="25" t="str">
        <f>IF(AND(A99="",B99="",H99=""),"",IF(OR(A99="",B99="",C99="",E99="",F99="",H99="",AND(A99="client",COUNTIF(الزبائن!$A$6:$A$505,B99)=0),AND(A99="proposed_name",COUNTIF('أسماء مقترحة'!$A$6:$A$505,B99)=0)),"REVIEW","READY"))</f>
        <v/>
      </c>
      <c r="Q99" s="27" t="str">
        <f>IF(P99="","",IF(P99="READY","",TRIM(IF(A99="","missing entity_type; ","")&amp;IF(B99="","missing entity_key; ","")&amp;IF(C99="","missing referrer_order; ","")&amp;IF(E99="","missing referrer_type; ","")&amp;IF(F99="","missing referral_origin_channel; ","")&amp;IF(H99="","missing referrer_name_snapshot; ","")&amp;IF(AND(A99="client",COUNTIF(الزبائن!$A$6:$A$505,B99)=0),"client key not found; ","")&amp;IF(AND(A99="proposed_name",COUNTIF('أسماء مقترحة'!$A$6:$A$505,B99)=0),"proposed_name key not found; ",""))))</f>
        <v/>
      </c>
    </row>
    <row r="100" spans="1:17">
      <c r="A100" s="23"/>
      <c r="B100" s="24"/>
      <c r="C100" s="25"/>
      <c r="D100" s="25"/>
      <c r="E100" s="25"/>
      <c r="F100" s="25"/>
      <c r="G100" s="24"/>
      <c r="H100" s="25"/>
      <c r="I100" s="32"/>
      <c r="J100" s="25"/>
      <c r="K100" s="24"/>
      <c r="L100" s="25"/>
      <c r="M100" s="25"/>
      <c r="N100" s="25"/>
      <c r="O100" s="25"/>
      <c r="P100" s="25" t="str">
        <f>IF(AND(A100="",B100="",H100=""),"",IF(OR(A100="",B100="",C100="",E100="",F100="",H100="",AND(A100="client",COUNTIF(الزبائن!$A$6:$A$505,B100)=0),AND(A100="proposed_name",COUNTIF('أسماء مقترحة'!$A$6:$A$505,B100)=0)),"REVIEW","READY"))</f>
        <v/>
      </c>
      <c r="Q100" s="27" t="str">
        <f>IF(P100="","",IF(P100="READY","",TRIM(IF(A100="","missing entity_type; ","")&amp;IF(B100="","missing entity_key; ","")&amp;IF(C100="","missing referrer_order; ","")&amp;IF(E100="","missing referrer_type; ","")&amp;IF(F100="","missing referral_origin_channel; ","")&amp;IF(H100="","missing referrer_name_snapshot; ","")&amp;IF(AND(A100="client",COUNTIF(الزبائن!$A$6:$A$505,B100)=0),"client key not found; ","")&amp;IF(AND(A100="proposed_name",COUNTIF('أسماء مقترحة'!$A$6:$A$505,B100)=0),"proposed_name key not found; ",""))))</f>
        <v/>
      </c>
    </row>
    <row r="101" spans="1:17">
      <c r="A101" s="23"/>
      <c r="B101" s="24"/>
      <c r="C101" s="25"/>
      <c r="D101" s="25"/>
      <c r="E101" s="25"/>
      <c r="F101" s="25"/>
      <c r="G101" s="24"/>
      <c r="H101" s="25"/>
      <c r="I101" s="32"/>
      <c r="J101" s="25"/>
      <c r="K101" s="24"/>
      <c r="L101" s="25"/>
      <c r="M101" s="25"/>
      <c r="N101" s="25"/>
      <c r="O101" s="25"/>
      <c r="P101" s="25" t="str">
        <f>IF(AND(A101="",B101="",H101=""),"",IF(OR(A101="",B101="",C101="",E101="",F101="",H101="",AND(A101="client",COUNTIF(الزبائن!$A$6:$A$505,B101)=0),AND(A101="proposed_name",COUNTIF('أسماء مقترحة'!$A$6:$A$505,B101)=0)),"REVIEW","READY"))</f>
        <v/>
      </c>
      <c r="Q101" s="27" t="str">
        <f>IF(P101="","",IF(P101="READY","",TRIM(IF(A101="","missing entity_type; ","")&amp;IF(B101="","missing entity_key; ","")&amp;IF(C101="","missing referrer_order; ","")&amp;IF(E101="","missing referrer_type; ","")&amp;IF(F101="","missing referral_origin_channel; ","")&amp;IF(H101="","missing referrer_name_snapshot; ","")&amp;IF(AND(A101="client",COUNTIF(الزبائن!$A$6:$A$505,B101)=0),"client key not found; ","")&amp;IF(AND(A101="proposed_name",COUNTIF('أسماء مقترحة'!$A$6:$A$505,B101)=0),"proposed_name key not found; ",""))))</f>
        <v/>
      </c>
    </row>
    <row r="102" spans="1:17">
      <c r="A102" s="23"/>
      <c r="B102" s="24"/>
      <c r="C102" s="25"/>
      <c r="D102" s="25"/>
      <c r="E102" s="25"/>
      <c r="F102" s="25"/>
      <c r="G102" s="24"/>
      <c r="H102" s="25"/>
      <c r="I102" s="32"/>
      <c r="J102" s="25"/>
      <c r="K102" s="24"/>
      <c r="L102" s="25"/>
      <c r="M102" s="25"/>
      <c r="N102" s="25"/>
      <c r="O102" s="25"/>
      <c r="P102" s="25" t="str">
        <f>IF(AND(A102="",B102="",H102=""),"",IF(OR(A102="",B102="",C102="",E102="",F102="",H102="",AND(A102="client",COUNTIF(الزبائن!$A$6:$A$505,B102)=0),AND(A102="proposed_name",COUNTIF('أسماء مقترحة'!$A$6:$A$505,B102)=0)),"REVIEW","READY"))</f>
        <v/>
      </c>
      <c r="Q102" s="27" t="str">
        <f>IF(P102="","",IF(P102="READY","",TRIM(IF(A102="","missing entity_type; ","")&amp;IF(B102="","missing entity_key; ","")&amp;IF(C102="","missing referrer_order; ","")&amp;IF(E102="","missing referrer_type; ","")&amp;IF(F102="","missing referral_origin_channel; ","")&amp;IF(H102="","missing referrer_name_snapshot; ","")&amp;IF(AND(A102="client",COUNTIF(الزبائن!$A$6:$A$505,B102)=0),"client key not found; ","")&amp;IF(AND(A102="proposed_name",COUNTIF('أسماء مقترحة'!$A$6:$A$505,B102)=0),"proposed_name key not found; ",""))))</f>
        <v/>
      </c>
    </row>
    <row r="103" spans="1:17">
      <c r="A103" s="23"/>
      <c r="B103" s="24"/>
      <c r="C103" s="25"/>
      <c r="D103" s="25"/>
      <c r="E103" s="25"/>
      <c r="F103" s="25"/>
      <c r="G103" s="24"/>
      <c r="H103" s="25"/>
      <c r="I103" s="32"/>
      <c r="J103" s="25"/>
      <c r="K103" s="24"/>
      <c r="L103" s="25"/>
      <c r="M103" s="25"/>
      <c r="N103" s="25"/>
      <c r="O103" s="25"/>
      <c r="P103" s="25" t="str">
        <f>IF(AND(A103="",B103="",H103=""),"",IF(OR(A103="",B103="",C103="",E103="",F103="",H103="",AND(A103="client",COUNTIF(الزبائن!$A$6:$A$505,B103)=0),AND(A103="proposed_name",COUNTIF('أسماء مقترحة'!$A$6:$A$505,B103)=0)),"REVIEW","READY"))</f>
        <v/>
      </c>
      <c r="Q103" s="27" t="str">
        <f>IF(P103="","",IF(P103="READY","",TRIM(IF(A103="","missing entity_type; ","")&amp;IF(B103="","missing entity_key; ","")&amp;IF(C103="","missing referrer_order; ","")&amp;IF(E103="","missing referrer_type; ","")&amp;IF(F103="","missing referral_origin_channel; ","")&amp;IF(H103="","missing referrer_name_snapshot; ","")&amp;IF(AND(A103="client",COUNTIF(الزبائن!$A$6:$A$505,B103)=0),"client key not found; ","")&amp;IF(AND(A103="proposed_name",COUNTIF('أسماء مقترحة'!$A$6:$A$505,B103)=0),"proposed_name key not found; ",""))))</f>
        <v/>
      </c>
    </row>
    <row r="104" spans="1:17">
      <c r="A104" s="23"/>
      <c r="B104" s="24"/>
      <c r="C104" s="25"/>
      <c r="D104" s="25"/>
      <c r="E104" s="25"/>
      <c r="F104" s="25"/>
      <c r="G104" s="24"/>
      <c r="H104" s="25"/>
      <c r="I104" s="32"/>
      <c r="J104" s="25"/>
      <c r="K104" s="24"/>
      <c r="L104" s="25"/>
      <c r="M104" s="25"/>
      <c r="N104" s="25"/>
      <c r="O104" s="25"/>
      <c r="P104" s="25" t="str">
        <f>IF(AND(A104="",B104="",H104=""),"",IF(OR(A104="",B104="",C104="",E104="",F104="",H104="",AND(A104="client",COUNTIF(الزبائن!$A$6:$A$505,B104)=0),AND(A104="proposed_name",COUNTIF('أسماء مقترحة'!$A$6:$A$505,B104)=0)),"REVIEW","READY"))</f>
        <v/>
      </c>
      <c r="Q104" s="27" t="str">
        <f>IF(P104="","",IF(P104="READY","",TRIM(IF(A104="","missing entity_type; ","")&amp;IF(B104="","missing entity_key; ","")&amp;IF(C104="","missing referrer_order; ","")&amp;IF(E104="","missing referrer_type; ","")&amp;IF(F104="","missing referral_origin_channel; ","")&amp;IF(H104="","missing referrer_name_snapshot; ","")&amp;IF(AND(A104="client",COUNTIF(الزبائن!$A$6:$A$505,B104)=0),"client key not found; ","")&amp;IF(AND(A104="proposed_name",COUNTIF('أسماء مقترحة'!$A$6:$A$505,B104)=0),"proposed_name key not found; ",""))))</f>
        <v/>
      </c>
    </row>
    <row r="105" spans="1:17">
      <c r="A105" s="23"/>
      <c r="B105" s="24"/>
      <c r="C105" s="25"/>
      <c r="D105" s="25"/>
      <c r="E105" s="25"/>
      <c r="F105" s="25"/>
      <c r="G105" s="24"/>
      <c r="H105" s="25"/>
      <c r="I105" s="32"/>
      <c r="J105" s="25"/>
      <c r="K105" s="24"/>
      <c r="L105" s="25"/>
      <c r="M105" s="25"/>
      <c r="N105" s="25"/>
      <c r="O105" s="25"/>
      <c r="P105" s="25" t="str">
        <f>IF(AND(A105="",B105="",H105=""),"",IF(OR(A105="",B105="",C105="",E105="",F105="",H105="",AND(A105="client",COUNTIF(الزبائن!$A$6:$A$505,B105)=0),AND(A105="proposed_name",COUNTIF('أسماء مقترحة'!$A$6:$A$505,B105)=0)),"REVIEW","READY"))</f>
        <v/>
      </c>
      <c r="Q105" s="27" t="str">
        <f>IF(P105="","",IF(P105="READY","",TRIM(IF(A105="","missing entity_type; ","")&amp;IF(B105="","missing entity_key; ","")&amp;IF(C105="","missing referrer_order; ","")&amp;IF(E105="","missing referrer_type; ","")&amp;IF(F105="","missing referral_origin_channel; ","")&amp;IF(H105="","missing referrer_name_snapshot; ","")&amp;IF(AND(A105="client",COUNTIF(الزبائن!$A$6:$A$505,B105)=0),"client key not found; ","")&amp;IF(AND(A105="proposed_name",COUNTIF('أسماء مقترحة'!$A$6:$A$505,B105)=0),"proposed_name key not found; ",""))))</f>
        <v/>
      </c>
    </row>
    <row r="106" spans="1:17">
      <c r="A106" s="23"/>
      <c r="B106" s="24"/>
      <c r="C106" s="25"/>
      <c r="D106" s="25"/>
      <c r="E106" s="25"/>
      <c r="F106" s="25"/>
      <c r="G106" s="24"/>
      <c r="H106" s="25"/>
      <c r="I106" s="32"/>
      <c r="J106" s="25"/>
      <c r="K106" s="24"/>
      <c r="L106" s="25"/>
      <c r="M106" s="25"/>
      <c r="N106" s="25"/>
      <c r="O106" s="25"/>
      <c r="P106" s="25" t="str">
        <f>IF(AND(A106="",B106="",H106=""),"",IF(OR(A106="",B106="",C106="",E106="",F106="",H106="",AND(A106="client",COUNTIF(الزبائن!$A$6:$A$505,B106)=0),AND(A106="proposed_name",COUNTIF('أسماء مقترحة'!$A$6:$A$505,B106)=0)),"REVIEW","READY"))</f>
        <v/>
      </c>
      <c r="Q106" s="27" t="str">
        <f>IF(P106="","",IF(P106="READY","",TRIM(IF(A106="","missing entity_type; ","")&amp;IF(B106="","missing entity_key; ","")&amp;IF(C106="","missing referrer_order; ","")&amp;IF(E106="","missing referrer_type; ","")&amp;IF(F106="","missing referral_origin_channel; ","")&amp;IF(H106="","missing referrer_name_snapshot; ","")&amp;IF(AND(A106="client",COUNTIF(الزبائن!$A$6:$A$505,B106)=0),"client key not found; ","")&amp;IF(AND(A106="proposed_name",COUNTIF('أسماء مقترحة'!$A$6:$A$505,B106)=0),"proposed_name key not found; ",""))))</f>
        <v/>
      </c>
    </row>
    <row r="107" spans="1:17">
      <c r="A107" s="23"/>
      <c r="B107" s="24"/>
      <c r="C107" s="25"/>
      <c r="D107" s="25"/>
      <c r="E107" s="25"/>
      <c r="F107" s="25"/>
      <c r="G107" s="24"/>
      <c r="H107" s="25"/>
      <c r="I107" s="32"/>
      <c r="J107" s="25"/>
      <c r="K107" s="24"/>
      <c r="L107" s="25"/>
      <c r="M107" s="25"/>
      <c r="N107" s="25"/>
      <c r="O107" s="25"/>
      <c r="P107" s="25" t="str">
        <f>IF(AND(A107="",B107="",H107=""),"",IF(OR(A107="",B107="",C107="",E107="",F107="",H107="",AND(A107="client",COUNTIF(الزبائن!$A$6:$A$505,B107)=0),AND(A107="proposed_name",COUNTIF('أسماء مقترحة'!$A$6:$A$505,B107)=0)),"REVIEW","READY"))</f>
        <v/>
      </c>
      <c r="Q107" s="27" t="str">
        <f>IF(P107="","",IF(P107="READY","",TRIM(IF(A107="","missing entity_type; ","")&amp;IF(B107="","missing entity_key; ","")&amp;IF(C107="","missing referrer_order; ","")&amp;IF(E107="","missing referrer_type; ","")&amp;IF(F107="","missing referral_origin_channel; ","")&amp;IF(H107="","missing referrer_name_snapshot; ","")&amp;IF(AND(A107="client",COUNTIF(الزبائن!$A$6:$A$505,B107)=0),"client key not found; ","")&amp;IF(AND(A107="proposed_name",COUNTIF('أسماء مقترحة'!$A$6:$A$505,B107)=0),"proposed_name key not found; ",""))))</f>
        <v/>
      </c>
    </row>
    <row r="108" spans="1:17">
      <c r="A108" s="23"/>
      <c r="B108" s="24"/>
      <c r="C108" s="25"/>
      <c r="D108" s="25"/>
      <c r="E108" s="25"/>
      <c r="F108" s="25"/>
      <c r="G108" s="24"/>
      <c r="H108" s="25"/>
      <c r="I108" s="32"/>
      <c r="J108" s="25"/>
      <c r="K108" s="24"/>
      <c r="L108" s="25"/>
      <c r="M108" s="25"/>
      <c r="N108" s="25"/>
      <c r="O108" s="25"/>
      <c r="P108" s="25" t="str">
        <f>IF(AND(A108="",B108="",H108=""),"",IF(OR(A108="",B108="",C108="",E108="",F108="",H108="",AND(A108="client",COUNTIF(الزبائن!$A$6:$A$505,B108)=0),AND(A108="proposed_name",COUNTIF('أسماء مقترحة'!$A$6:$A$505,B108)=0)),"REVIEW","READY"))</f>
        <v/>
      </c>
      <c r="Q108" s="27" t="str">
        <f>IF(P108="","",IF(P108="READY","",TRIM(IF(A108="","missing entity_type; ","")&amp;IF(B108="","missing entity_key; ","")&amp;IF(C108="","missing referrer_order; ","")&amp;IF(E108="","missing referrer_type; ","")&amp;IF(F108="","missing referral_origin_channel; ","")&amp;IF(H108="","missing referrer_name_snapshot; ","")&amp;IF(AND(A108="client",COUNTIF(الزبائن!$A$6:$A$505,B108)=0),"client key not found; ","")&amp;IF(AND(A108="proposed_name",COUNTIF('أسماء مقترحة'!$A$6:$A$505,B108)=0),"proposed_name key not found; ",""))))</f>
        <v/>
      </c>
    </row>
    <row r="109" spans="1:17">
      <c r="A109" s="23"/>
      <c r="B109" s="24"/>
      <c r="C109" s="25"/>
      <c r="D109" s="25"/>
      <c r="E109" s="25"/>
      <c r="F109" s="25"/>
      <c r="G109" s="24"/>
      <c r="H109" s="25"/>
      <c r="I109" s="32"/>
      <c r="J109" s="25"/>
      <c r="K109" s="24"/>
      <c r="L109" s="25"/>
      <c r="M109" s="25"/>
      <c r="N109" s="25"/>
      <c r="O109" s="25"/>
      <c r="P109" s="25" t="str">
        <f>IF(AND(A109="",B109="",H109=""),"",IF(OR(A109="",B109="",C109="",E109="",F109="",H109="",AND(A109="client",COUNTIF(الزبائن!$A$6:$A$505,B109)=0),AND(A109="proposed_name",COUNTIF('أسماء مقترحة'!$A$6:$A$505,B109)=0)),"REVIEW","READY"))</f>
        <v/>
      </c>
      <c r="Q109" s="27" t="str">
        <f>IF(P109="","",IF(P109="READY","",TRIM(IF(A109="","missing entity_type; ","")&amp;IF(B109="","missing entity_key; ","")&amp;IF(C109="","missing referrer_order; ","")&amp;IF(E109="","missing referrer_type; ","")&amp;IF(F109="","missing referral_origin_channel; ","")&amp;IF(H109="","missing referrer_name_snapshot; ","")&amp;IF(AND(A109="client",COUNTIF(الزبائن!$A$6:$A$505,B109)=0),"client key not found; ","")&amp;IF(AND(A109="proposed_name",COUNTIF('أسماء مقترحة'!$A$6:$A$505,B109)=0),"proposed_name key not found; ",""))))</f>
        <v/>
      </c>
    </row>
    <row r="110" spans="1:17">
      <c r="A110" s="23"/>
      <c r="B110" s="24"/>
      <c r="C110" s="25"/>
      <c r="D110" s="25"/>
      <c r="E110" s="25"/>
      <c r="F110" s="25"/>
      <c r="G110" s="24"/>
      <c r="H110" s="25"/>
      <c r="I110" s="32"/>
      <c r="J110" s="25"/>
      <c r="K110" s="24"/>
      <c r="L110" s="25"/>
      <c r="M110" s="25"/>
      <c r="N110" s="25"/>
      <c r="O110" s="25"/>
      <c r="P110" s="25" t="str">
        <f>IF(AND(A110="",B110="",H110=""),"",IF(OR(A110="",B110="",C110="",E110="",F110="",H110="",AND(A110="client",COUNTIF(الزبائن!$A$6:$A$505,B110)=0),AND(A110="proposed_name",COUNTIF('أسماء مقترحة'!$A$6:$A$505,B110)=0)),"REVIEW","READY"))</f>
        <v/>
      </c>
      <c r="Q110" s="27" t="str">
        <f>IF(P110="","",IF(P110="READY","",TRIM(IF(A110="","missing entity_type; ","")&amp;IF(B110="","missing entity_key; ","")&amp;IF(C110="","missing referrer_order; ","")&amp;IF(E110="","missing referrer_type; ","")&amp;IF(F110="","missing referral_origin_channel; ","")&amp;IF(H110="","missing referrer_name_snapshot; ","")&amp;IF(AND(A110="client",COUNTIF(الزبائن!$A$6:$A$505,B110)=0),"client key not found; ","")&amp;IF(AND(A110="proposed_name",COUNTIF('أسماء مقترحة'!$A$6:$A$505,B110)=0),"proposed_name key not found; ",""))))</f>
        <v/>
      </c>
    </row>
    <row r="111" spans="1:17">
      <c r="A111" s="23"/>
      <c r="B111" s="24"/>
      <c r="C111" s="25"/>
      <c r="D111" s="25"/>
      <c r="E111" s="25"/>
      <c r="F111" s="25"/>
      <c r="G111" s="24"/>
      <c r="H111" s="25"/>
      <c r="I111" s="32"/>
      <c r="J111" s="25"/>
      <c r="K111" s="24"/>
      <c r="L111" s="25"/>
      <c r="M111" s="25"/>
      <c r="N111" s="25"/>
      <c r="O111" s="25"/>
      <c r="P111" s="25" t="str">
        <f>IF(AND(A111="",B111="",H111=""),"",IF(OR(A111="",B111="",C111="",E111="",F111="",H111="",AND(A111="client",COUNTIF(الزبائن!$A$6:$A$505,B111)=0),AND(A111="proposed_name",COUNTIF('أسماء مقترحة'!$A$6:$A$505,B111)=0)),"REVIEW","READY"))</f>
        <v/>
      </c>
      <c r="Q111" s="27" t="str">
        <f>IF(P111="","",IF(P111="READY","",TRIM(IF(A111="","missing entity_type; ","")&amp;IF(B111="","missing entity_key; ","")&amp;IF(C111="","missing referrer_order; ","")&amp;IF(E111="","missing referrer_type; ","")&amp;IF(F111="","missing referral_origin_channel; ","")&amp;IF(H111="","missing referrer_name_snapshot; ","")&amp;IF(AND(A111="client",COUNTIF(الزبائن!$A$6:$A$505,B111)=0),"client key not found; ","")&amp;IF(AND(A111="proposed_name",COUNTIF('أسماء مقترحة'!$A$6:$A$505,B111)=0),"proposed_name key not found; ",""))))</f>
        <v/>
      </c>
    </row>
    <row r="112" spans="1:17">
      <c r="A112" s="23"/>
      <c r="B112" s="24"/>
      <c r="C112" s="25"/>
      <c r="D112" s="25"/>
      <c r="E112" s="25"/>
      <c r="F112" s="25"/>
      <c r="G112" s="24"/>
      <c r="H112" s="25"/>
      <c r="I112" s="32"/>
      <c r="J112" s="25"/>
      <c r="K112" s="24"/>
      <c r="L112" s="25"/>
      <c r="M112" s="25"/>
      <c r="N112" s="25"/>
      <c r="O112" s="25"/>
      <c r="P112" s="25" t="str">
        <f>IF(AND(A112="",B112="",H112=""),"",IF(OR(A112="",B112="",C112="",E112="",F112="",H112="",AND(A112="client",COUNTIF(الزبائن!$A$6:$A$505,B112)=0),AND(A112="proposed_name",COUNTIF('أسماء مقترحة'!$A$6:$A$505,B112)=0)),"REVIEW","READY"))</f>
        <v/>
      </c>
      <c r="Q112" s="27" t="str">
        <f>IF(P112="","",IF(P112="READY","",TRIM(IF(A112="","missing entity_type; ","")&amp;IF(B112="","missing entity_key; ","")&amp;IF(C112="","missing referrer_order; ","")&amp;IF(E112="","missing referrer_type; ","")&amp;IF(F112="","missing referral_origin_channel; ","")&amp;IF(H112="","missing referrer_name_snapshot; ","")&amp;IF(AND(A112="client",COUNTIF(الزبائن!$A$6:$A$505,B112)=0),"client key not found; ","")&amp;IF(AND(A112="proposed_name",COUNTIF('أسماء مقترحة'!$A$6:$A$505,B112)=0),"proposed_name key not found; ",""))))</f>
        <v/>
      </c>
    </row>
    <row r="113" spans="1:17">
      <c r="A113" s="23"/>
      <c r="B113" s="24"/>
      <c r="C113" s="25"/>
      <c r="D113" s="25"/>
      <c r="E113" s="25"/>
      <c r="F113" s="25"/>
      <c r="G113" s="24"/>
      <c r="H113" s="25"/>
      <c r="I113" s="32"/>
      <c r="J113" s="25"/>
      <c r="K113" s="24"/>
      <c r="L113" s="25"/>
      <c r="M113" s="25"/>
      <c r="N113" s="25"/>
      <c r="O113" s="25"/>
      <c r="P113" s="25" t="str">
        <f>IF(AND(A113="",B113="",H113=""),"",IF(OR(A113="",B113="",C113="",E113="",F113="",H113="",AND(A113="client",COUNTIF(الزبائن!$A$6:$A$505,B113)=0),AND(A113="proposed_name",COUNTIF('أسماء مقترحة'!$A$6:$A$505,B113)=0)),"REVIEW","READY"))</f>
        <v/>
      </c>
      <c r="Q113" s="27" t="str">
        <f>IF(P113="","",IF(P113="READY","",TRIM(IF(A113="","missing entity_type; ","")&amp;IF(B113="","missing entity_key; ","")&amp;IF(C113="","missing referrer_order; ","")&amp;IF(E113="","missing referrer_type; ","")&amp;IF(F113="","missing referral_origin_channel; ","")&amp;IF(H113="","missing referrer_name_snapshot; ","")&amp;IF(AND(A113="client",COUNTIF(الزبائن!$A$6:$A$505,B113)=0),"client key not found; ","")&amp;IF(AND(A113="proposed_name",COUNTIF('أسماء مقترحة'!$A$6:$A$505,B113)=0),"proposed_name key not found; ",""))))</f>
        <v/>
      </c>
    </row>
    <row r="114" spans="1:17">
      <c r="A114" s="23"/>
      <c r="B114" s="24"/>
      <c r="C114" s="25"/>
      <c r="D114" s="25"/>
      <c r="E114" s="25"/>
      <c r="F114" s="25"/>
      <c r="G114" s="24"/>
      <c r="H114" s="25"/>
      <c r="I114" s="32"/>
      <c r="J114" s="25"/>
      <c r="K114" s="24"/>
      <c r="L114" s="25"/>
      <c r="M114" s="25"/>
      <c r="N114" s="25"/>
      <c r="O114" s="25"/>
      <c r="P114" s="25" t="str">
        <f>IF(AND(A114="",B114="",H114=""),"",IF(OR(A114="",B114="",C114="",E114="",F114="",H114="",AND(A114="client",COUNTIF(الزبائن!$A$6:$A$505,B114)=0),AND(A114="proposed_name",COUNTIF('أسماء مقترحة'!$A$6:$A$505,B114)=0)),"REVIEW","READY"))</f>
        <v/>
      </c>
      <c r="Q114" s="27" t="str">
        <f>IF(P114="","",IF(P114="READY","",TRIM(IF(A114="","missing entity_type; ","")&amp;IF(B114="","missing entity_key; ","")&amp;IF(C114="","missing referrer_order; ","")&amp;IF(E114="","missing referrer_type; ","")&amp;IF(F114="","missing referral_origin_channel; ","")&amp;IF(H114="","missing referrer_name_snapshot; ","")&amp;IF(AND(A114="client",COUNTIF(الزبائن!$A$6:$A$505,B114)=0),"client key not found; ","")&amp;IF(AND(A114="proposed_name",COUNTIF('أسماء مقترحة'!$A$6:$A$505,B114)=0),"proposed_name key not found; ",""))))</f>
        <v/>
      </c>
    </row>
    <row r="115" spans="1:17">
      <c r="A115" s="23"/>
      <c r="B115" s="24"/>
      <c r="C115" s="25"/>
      <c r="D115" s="25"/>
      <c r="E115" s="25"/>
      <c r="F115" s="25"/>
      <c r="G115" s="24"/>
      <c r="H115" s="25"/>
      <c r="I115" s="32"/>
      <c r="J115" s="25"/>
      <c r="K115" s="24"/>
      <c r="L115" s="25"/>
      <c r="M115" s="25"/>
      <c r="N115" s="25"/>
      <c r="O115" s="25"/>
      <c r="P115" s="25" t="str">
        <f>IF(AND(A115="",B115="",H115=""),"",IF(OR(A115="",B115="",C115="",E115="",F115="",H115="",AND(A115="client",COUNTIF(الزبائن!$A$6:$A$505,B115)=0),AND(A115="proposed_name",COUNTIF('أسماء مقترحة'!$A$6:$A$505,B115)=0)),"REVIEW","READY"))</f>
        <v/>
      </c>
      <c r="Q115" s="27" t="str">
        <f>IF(P115="","",IF(P115="READY","",TRIM(IF(A115="","missing entity_type; ","")&amp;IF(B115="","missing entity_key; ","")&amp;IF(C115="","missing referrer_order; ","")&amp;IF(E115="","missing referrer_type; ","")&amp;IF(F115="","missing referral_origin_channel; ","")&amp;IF(H115="","missing referrer_name_snapshot; ","")&amp;IF(AND(A115="client",COUNTIF(الزبائن!$A$6:$A$505,B115)=0),"client key not found; ","")&amp;IF(AND(A115="proposed_name",COUNTIF('أسماء مقترحة'!$A$6:$A$505,B115)=0),"proposed_name key not found; ",""))))</f>
        <v/>
      </c>
    </row>
    <row r="116" spans="1:17">
      <c r="A116" s="23"/>
      <c r="B116" s="24"/>
      <c r="C116" s="25"/>
      <c r="D116" s="25"/>
      <c r="E116" s="25"/>
      <c r="F116" s="25"/>
      <c r="G116" s="24"/>
      <c r="H116" s="25"/>
      <c r="I116" s="32"/>
      <c r="J116" s="25"/>
      <c r="K116" s="24"/>
      <c r="L116" s="25"/>
      <c r="M116" s="25"/>
      <c r="N116" s="25"/>
      <c r="O116" s="25"/>
      <c r="P116" s="25" t="str">
        <f>IF(AND(A116="",B116="",H116=""),"",IF(OR(A116="",B116="",C116="",E116="",F116="",H116="",AND(A116="client",COUNTIF(الزبائن!$A$6:$A$505,B116)=0),AND(A116="proposed_name",COUNTIF('أسماء مقترحة'!$A$6:$A$505,B116)=0)),"REVIEW","READY"))</f>
        <v/>
      </c>
      <c r="Q116" s="27" t="str">
        <f>IF(P116="","",IF(P116="READY","",TRIM(IF(A116="","missing entity_type; ","")&amp;IF(B116="","missing entity_key; ","")&amp;IF(C116="","missing referrer_order; ","")&amp;IF(E116="","missing referrer_type; ","")&amp;IF(F116="","missing referral_origin_channel; ","")&amp;IF(H116="","missing referrer_name_snapshot; ","")&amp;IF(AND(A116="client",COUNTIF(الزبائن!$A$6:$A$505,B116)=0),"client key not found; ","")&amp;IF(AND(A116="proposed_name",COUNTIF('أسماء مقترحة'!$A$6:$A$505,B116)=0),"proposed_name key not found; ",""))))</f>
        <v/>
      </c>
    </row>
    <row r="117" spans="1:17">
      <c r="A117" s="23"/>
      <c r="B117" s="24"/>
      <c r="C117" s="25"/>
      <c r="D117" s="25"/>
      <c r="E117" s="25"/>
      <c r="F117" s="25"/>
      <c r="G117" s="24"/>
      <c r="H117" s="25"/>
      <c r="I117" s="32"/>
      <c r="J117" s="25"/>
      <c r="K117" s="24"/>
      <c r="L117" s="25"/>
      <c r="M117" s="25"/>
      <c r="N117" s="25"/>
      <c r="O117" s="25"/>
      <c r="P117" s="25" t="str">
        <f>IF(AND(A117="",B117="",H117=""),"",IF(OR(A117="",B117="",C117="",E117="",F117="",H117="",AND(A117="client",COUNTIF(الزبائن!$A$6:$A$505,B117)=0),AND(A117="proposed_name",COUNTIF('أسماء مقترحة'!$A$6:$A$505,B117)=0)),"REVIEW","READY"))</f>
        <v/>
      </c>
      <c r="Q117" s="27" t="str">
        <f>IF(P117="","",IF(P117="READY","",TRIM(IF(A117="","missing entity_type; ","")&amp;IF(B117="","missing entity_key; ","")&amp;IF(C117="","missing referrer_order; ","")&amp;IF(E117="","missing referrer_type; ","")&amp;IF(F117="","missing referral_origin_channel; ","")&amp;IF(H117="","missing referrer_name_snapshot; ","")&amp;IF(AND(A117="client",COUNTIF(الزبائن!$A$6:$A$505,B117)=0),"client key not found; ","")&amp;IF(AND(A117="proposed_name",COUNTIF('أسماء مقترحة'!$A$6:$A$505,B117)=0),"proposed_name key not found; ",""))))</f>
        <v/>
      </c>
    </row>
    <row r="118" spans="1:17">
      <c r="A118" s="23"/>
      <c r="B118" s="24"/>
      <c r="C118" s="25"/>
      <c r="D118" s="25"/>
      <c r="E118" s="25"/>
      <c r="F118" s="25"/>
      <c r="G118" s="24"/>
      <c r="H118" s="25"/>
      <c r="I118" s="32"/>
      <c r="J118" s="25"/>
      <c r="K118" s="24"/>
      <c r="L118" s="25"/>
      <c r="M118" s="25"/>
      <c r="N118" s="25"/>
      <c r="O118" s="25"/>
      <c r="P118" s="25" t="str">
        <f>IF(AND(A118="",B118="",H118=""),"",IF(OR(A118="",B118="",C118="",E118="",F118="",H118="",AND(A118="client",COUNTIF(الزبائن!$A$6:$A$505,B118)=0),AND(A118="proposed_name",COUNTIF('أسماء مقترحة'!$A$6:$A$505,B118)=0)),"REVIEW","READY"))</f>
        <v/>
      </c>
      <c r="Q118" s="27" t="str">
        <f>IF(P118="","",IF(P118="READY","",TRIM(IF(A118="","missing entity_type; ","")&amp;IF(B118="","missing entity_key; ","")&amp;IF(C118="","missing referrer_order; ","")&amp;IF(E118="","missing referrer_type; ","")&amp;IF(F118="","missing referral_origin_channel; ","")&amp;IF(H118="","missing referrer_name_snapshot; ","")&amp;IF(AND(A118="client",COUNTIF(الزبائن!$A$6:$A$505,B118)=0),"client key not found; ","")&amp;IF(AND(A118="proposed_name",COUNTIF('أسماء مقترحة'!$A$6:$A$505,B118)=0),"proposed_name key not found; ",""))))</f>
        <v/>
      </c>
    </row>
    <row r="119" spans="1:17">
      <c r="A119" s="23"/>
      <c r="B119" s="24"/>
      <c r="C119" s="25"/>
      <c r="D119" s="25"/>
      <c r="E119" s="25"/>
      <c r="F119" s="25"/>
      <c r="G119" s="24"/>
      <c r="H119" s="25"/>
      <c r="I119" s="32"/>
      <c r="J119" s="25"/>
      <c r="K119" s="24"/>
      <c r="L119" s="25"/>
      <c r="M119" s="25"/>
      <c r="N119" s="25"/>
      <c r="O119" s="25"/>
      <c r="P119" s="25" t="str">
        <f>IF(AND(A119="",B119="",H119=""),"",IF(OR(A119="",B119="",C119="",E119="",F119="",H119="",AND(A119="client",COUNTIF(الزبائن!$A$6:$A$505,B119)=0),AND(A119="proposed_name",COUNTIF('أسماء مقترحة'!$A$6:$A$505,B119)=0)),"REVIEW","READY"))</f>
        <v/>
      </c>
      <c r="Q119" s="27" t="str">
        <f>IF(P119="","",IF(P119="READY","",TRIM(IF(A119="","missing entity_type; ","")&amp;IF(B119="","missing entity_key; ","")&amp;IF(C119="","missing referrer_order; ","")&amp;IF(E119="","missing referrer_type; ","")&amp;IF(F119="","missing referral_origin_channel; ","")&amp;IF(H119="","missing referrer_name_snapshot; ","")&amp;IF(AND(A119="client",COUNTIF(الزبائن!$A$6:$A$505,B119)=0),"client key not found; ","")&amp;IF(AND(A119="proposed_name",COUNTIF('أسماء مقترحة'!$A$6:$A$505,B119)=0),"proposed_name key not found; ",""))))</f>
        <v/>
      </c>
    </row>
    <row r="120" spans="1:17">
      <c r="A120" s="23"/>
      <c r="B120" s="24"/>
      <c r="C120" s="25"/>
      <c r="D120" s="25"/>
      <c r="E120" s="25"/>
      <c r="F120" s="25"/>
      <c r="G120" s="24"/>
      <c r="H120" s="25"/>
      <c r="I120" s="32"/>
      <c r="J120" s="25"/>
      <c r="K120" s="24"/>
      <c r="L120" s="25"/>
      <c r="M120" s="25"/>
      <c r="N120" s="25"/>
      <c r="O120" s="25"/>
      <c r="P120" s="25" t="str">
        <f>IF(AND(A120="",B120="",H120=""),"",IF(OR(A120="",B120="",C120="",E120="",F120="",H120="",AND(A120="client",COUNTIF(الزبائن!$A$6:$A$505,B120)=0),AND(A120="proposed_name",COUNTIF('أسماء مقترحة'!$A$6:$A$505,B120)=0)),"REVIEW","READY"))</f>
        <v/>
      </c>
      <c r="Q120" s="27" t="str">
        <f>IF(P120="","",IF(P120="READY","",TRIM(IF(A120="","missing entity_type; ","")&amp;IF(B120="","missing entity_key; ","")&amp;IF(C120="","missing referrer_order; ","")&amp;IF(E120="","missing referrer_type; ","")&amp;IF(F120="","missing referral_origin_channel; ","")&amp;IF(H120="","missing referrer_name_snapshot; ","")&amp;IF(AND(A120="client",COUNTIF(الزبائن!$A$6:$A$505,B120)=0),"client key not found; ","")&amp;IF(AND(A120="proposed_name",COUNTIF('أسماء مقترحة'!$A$6:$A$505,B120)=0),"proposed_name key not found; ",""))))</f>
        <v/>
      </c>
    </row>
    <row r="121" spans="1:17">
      <c r="A121" s="23"/>
      <c r="B121" s="24"/>
      <c r="C121" s="25"/>
      <c r="D121" s="25"/>
      <c r="E121" s="25"/>
      <c r="F121" s="25"/>
      <c r="G121" s="24"/>
      <c r="H121" s="25"/>
      <c r="I121" s="32"/>
      <c r="J121" s="25"/>
      <c r="K121" s="24"/>
      <c r="L121" s="25"/>
      <c r="M121" s="25"/>
      <c r="N121" s="25"/>
      <c r="O121" s="25"/>
      <c r="P121" s="25" t="str">
        <f>IF(AND(A121="",B121="",H121=""),"",IF(OR(A121="",B121="",C121="",E121="",F121="",H121="",AND(A121="client",COUNTIF(الزبائن!$A$6:$A$505,B121)=0),AND(A121="proposed_name",COUNTIF('أسماء مقترحة'!$A$6:$A$505,B121)=0)),"REVIEW","READY"))</f>
        <v/>
      </c>
      <c r="Q121" s="27" t="str">
        <f>IF(P121="","",IF(P121="READY","",TRIM(IF(A121="","missing entity_type; ","")&amp;IF(B121="","missing entity_key; ","")&amp;IF(C121="","missing referrer_order; ","")&amp;IF(E121="","missing referrer_type; ","")&amp;IF(F121="","missing referral_origin_channel; ","")&amp;IF(H121="","missing referrer_name_snapshot; ","")&amp;IF(AND(A121="client",COUNTIF(الزبائن!$A$6:$A$505,B121)=0),"client key not found; ","")&amp;IF(AND(A121="proposed_name",COUNTIF('أسماء مقترحة'!$A$6:$A$505,B121)=0),"proposed_name key not found; ",""))))</f>
        <v/>
      </c>
    </row>
    <row r="122" spans="1:17">
      <c r="A122" s="23"/>
      <c r="B122" s="24"/>
      <c r="C122" s="25"/>
      <c r="D122" s="25"/>
      <c r="E122" s="25"/>
      <c r="F122" s="25"/>
      <c r="G122" s="24"/>
      <c r="H122" s="25"/>
      <c r="I122" s="32"/>
      <c r="J122" s="25"/>
      <c r="K122" s="24"/>
      <c r="L122" s="25"/>
      <c r="M122" s="25"/>
      <c r="N122" s="25"/>
      <c r="O122" s="25"/>
      <c r="P122" s="25" t="str">
        <f>IF(AND(A122="",B122="",H122=""),"",IF(OR(A122="",B122="",C122="",E122="",F122="",H122="",AND(A122="client",COUNTIF(الزبائن!$A$6:$A$505,B122)=0),AND(A122="proposed_name",COUNTIF('أسماء مقترحة'!$A$6:$A$505,B122)=0)),"REVIEW","READY"))</f>
        <v/>
      </c>
      <c r="Q122" s="27" t="str">
        <f>IF(P122="","",IF(P122="READY","",TRIM(IF(A122="","missing entity_type; ","")&amp;IF(B122="","missing entity_key; ","")&amp;IF(C122="","missing referrer_order; ","")&amp;IF(E122="","missing referrer_type; ","")&amp;IF(F122="","missing referral_origin_channel; ","")&amp;IF(H122="","missing referrer_name_snapshot; ","")&amp;IF(AND(A122="client",COUNTIF(الزبائن!$A$6:$A$505,B122)=0),"client key not found; ","")&amp;IF(AND(A122="proposed_name",COUNTIF('أسماء مقترحة'!$A$6:$A$505,B122)=0),"proposed_name key not found; ",""))))</f>
        <v/>
      </c>
    </row>
    <row r="123" spans="1:17">
      <c r="A123" s="23"/>
      <c r="B123" s="24"/>
      <c r="C123" s="25"/>
      <c r="D123" s="25"/>
      <c r="E123" s="25"/>
      <c r="F123" s="25"/>
      <c r="G123" s="24"/>
      <c r="H123" s="25"/>
      <c r="I123" s="32"/>
      <c r="J123" s="25"/>
      <c r="K123" s="24"/>
      <c r="L123" s="25"/>
      <c r="M123" s="25"/>
      <c r="N123" s="25"/>
      <c r="O123" s="25"/>
      <c r="P123" s="25" t="str">
        <f>IF(AND(A123="",B123="",H123=""),"",IF(OR(A123="",B123="",C123="",E123="",F123="",H123="",AND(A123="client",COUNTIF(الزبائن!$A$6:$A$505,B123)=0),AND(A123="proposed_name",COUNTIF('أسماء مقترحة'!$A$6:$A$505,B123)=0)),"REVIEW","READY"))</f>
        <v/>
      </c>
      <c r="Q123" s="27" t="str">
        <f>IF(P123="","",IF(P123="READY","",TRIM(IF(A123="","missing entity_type; ","")&amp;IF(B123="","missing entity_key; ","")&amp;IF(C123="","missing referrer_order; ","")&amp;IF(E123="","missing referrer_type; ","")&amp;IF(F123="","missing referral_origin_channel; ","")&amp;IF(H123="","missing referrer_name_snapshot; ","")&amp;IF(AND(A123="client",COUNTIF(الزبائن!$A$6:$A$505,B123)=0),"client key not found; ","")&amp;IF(AND(A123="proposed_name",COUNTIF('أسماء مقترحة'!$A$6:$A$505,B123)=0),"proposed_name key not found; ",""))))</f>
        <v/>
      </c>
    </row>
    <row r="124" spans="1:17">
      <c r="A124" s="23"/>
      <c r="B124" s="24"/>
      <c r="C124" s="25"/>
      <c r="D124" s="25"/>
      <c r="E124" s="25"/>
      <c r="F124" s="25"/>
      <c r="G124" s="24"/>
      <c r="H124" s="25"/>
      <c r="I124" s="32"/>
      <c r="J124" s="25"/>
      <c r="K124" s="24"/>
      <c r="L124" s="25"/>
      <c r="M124" s="25"/>
      <c r="N124" s="25"/>
      <c r="O124" s="25"/>
      <c r="P124" s="25" t="str">
        <f>IF(AND(A124="",B124="",H124=""),"",IF(OR(A124="",B124="",C124="",E124="",F124="",H124="",AND(A124="client",COUNTIF(الزبائن!$A$6:$A$505,B124)=0),AND(A124="proposed_name",COUNTIF('أسماء مقترحة'!$A$6:$A$505,B124)=0)),"REVIEW","READY"))</f>
        <v/>
      </c>
      <c r="Q124" s="27" t="str">
        <f>IF(P124="","",IF(P124="READY","",TRIM(IF(A124="","missing entity_type; ","")&amp;IF(B124="","missing entity_key; ","")&amp;IF(C124="","missing referrer_order; ","")&amp;IF(E124="","missing referrer_type; ","")&amp;IF(F124="","missing referral_origin_channel; ","")&amp;IF(H124="","missing referrer_name_snapshot; ","")&amp;IF(AND(A124="client",COUNTIF(الزبائن!$A$6:$A$505,B124)=0),"client key not found; ","")&amp;IF(AND(A124="proposed_name",COUNTIF('أسماء مقترحة'!$A$6:$A$505,B124)=0),"proposed_name key not found; ",""))))</f>
        <v/>
      </c>
    </row>
    <row r="125" spans="1:17">
      <c r="A125" s="23"/>
      <c r="B125" s="24"/>
      <c r="C125" s="25"/>
      <c r="D125" s="25"/>
      <c r="E125" s="25"/>
      <c r="F125" s="25"/>
      <c r="G125" s="24"/>
      <c r="H125" s="25"/>
      <c r="I125" s="32"/>
      <c r="J125" s="25"/>
      <c r="K125" s="24"/>
      <c r="L125" s="25"/>
      <c r="M125" s="25"/>
      <c r="N125" s="25"/>
      <c r="O125" s="25"/>
      <c r="P125" s="25" t="str">
        <f>IF(AND(A125="",B125="",H125=""),"",IF(OR(A125="",B125="",C125="",E125="",F125="",H125="",AND(A125="client",COUNTIF(الزبائن!$A$6:$A$505,B125)=0),AND(A125="proposed_name",COUNTIF('أسماء مقترحة'!$A$6:$A$505,B125)=0)),"REVIEW","READY"))</f>
        <v/>
      </c>
      <c r="Q125" s="27" t="str">
        <f>IF(P125="","",IF(P125="READY","",TRIM(IF(A125="","missing entity_type; ","")&amp;IF(B125="","missing entity_key; ","")&amp;IF(C125="","missing referrer_order; ","")&amp;IF(E125="","missing referrer_type; ","")&amp;IF(F125="","missing referral_origin_channel; ","")&amp;IF(H125="","missing referrer_name_snapshot; ","")&amp;IF(AND(A125="client",COUNTIF(الزبائن!$A$6:$A$505,B125)=0),"client key not found; ","")&amp;IF(AND(A125="proposed_name",COUNTIF('أسماء مقترحة'!$A$6:$A$505,B125)=0),"proposed_name key not found; ",""))))</f>
        <v/>
      </c>
    </row>
    <row r="126" spans="1:17">
      <c r="A126" s="23"/>
      <c r="B126" s="24"/>
      <c r="C126" s="25"/>
      <c r="D126" s="25"/>
      <c r="E126" s="25"/>
      <c r="F126" s="25"/>
      <c r="G126" s="24"/>
      <c r="H126" s="25"/>
      <c r="I126" s="32"/>
      <c r="J126" s="25"/>
      <c r="K126" s="24"/>
      <c r="L126" s="25"/>
      <c r="M126" s="25"/>
      <c r="N126" s="25"/>
      <c r="O126" s="25"/>
      <c r="P126" s="25" t="str">
        <f>IF(AND(A126="",B126="",H126=""),"",IF(OR(A126="",B126="",C126="",E126="",F126="",H126="",AND(A126="client",COUNTIF(الزبائن!$A$6:$A$505,B126)=0),AND(A126="proposed_name",COUNTIF('أسماء مقترحة'!$A$6:$A$505,B126)=0)),"REVIEW","READY"))</f>
        <v/>
      </c>
      <c r="Q126" s="27" t="str">
        <f>IF(P126="","",IF(P126="READY","",TRIM(IF(A126="","missing entity_type; ","")&amp;IF(B126="","missing entity_key; ","")&amp;IF(C126="","missing referrer_order; ","")&amp;IF(E126="","missing referrer_type; ","")&amp;IF(F126="","missing referral_origin_channel; ","")&amp;IF(H126="","missing referrer_name_snapshot; ","")&amp;IF(AND(A126="client",COUNTIF(الزبائن!$A$6:$A$505,B126)=0),"client key not found; ","")&amp;IF(AND(A126="proposed_name",COUNTIF('أسماء مقترحة'!$A$6:$A$505,B126)=0),"proposed_name key not found; ",""))))</f>
        <v/>
      </c>
    </row>
    <row r="127" spans="1:17">
      <c r="A127" s="23"/>
      <c r="B127" s="24"/>
      <c r="C127" s="25"/>
      <c r="D127" s="25"/>
      <c r="E127" s="25"/>
      <c r="F127" s="25"/>
      <c r="G127" s="24"/>
      <c r="H127" s="25"/>
      <c r="I127" s="32"/>
      <c r="J127" s="25"/>
      <c r="K127" s="24"/>
      <c r="L127" s="25"/>
      <c r="M127" s="25"/>
      <c r="N127" s="25"/>
      <c r="O127" s="25"/>
      <c r="P127" s="25" t="str">
        <f>IF(AND(A127="",B127="",H127=""),"",IF(OR(A127="",B127="",C127="",E127="",F127="",H127="",AND(A127="client",COUNTIF(الزبائن!$A$6:$A$505,B127)=0),AND(A127="proposed_name",COUNTIF('أسماء مقترحة'!$A$6:$A$505,B127)=0)),"REVIEW","READY"))</f>
        <v/>
      </c>
      <c r="Q127" s="27" t="str">
        <f>IF(P127="","",IF(P127="READY","",TRIM(IF(A127="","missing entity_type; ","")&amp;IF(B127="","missing entity_key; ","")&amp;IF(C127="","missing referrer_order; ","")&amp;IF(E127="","missing referrer_type; ","")&amp;IF(F127="","missing referral_origin_channel; ","")&amp;IF(H127="","missing referrer_name_snapshot; ","")&amp;IF(AND(A127="client",COUNTIF(الزبائن!$A$6:$A$505,B127)=0),"client key not found; ","")&amp;IF(AND(A127="proposed_name",COUNTIF('أسماء مقترحة'!$A$6:$A$505,B127)=0),"proposed_name key not found; ",""))))</f>
        <v/>
      </c>
    </row>
    <row r="128" spans="1:17">
      <c r="A128" s="23"/>
      <c r="B128" s="24"/>
      <c r="C128" s="25"/>
      <c r="D128" s="25"/>
      <c r="E128" s="25"/>
      <c r="F128" s="25"/>
      <c r="G128" s="24"/>
      <c r="H128" s="25"/>
      <c r="I128" s="32"/>
      <c r="J128" s="25"/>
      <c r="K128" s="24"/>
      <c r="L128" s="25"/>
      <c r="M128" s="25"/>
      <c r="N128" s="25"/>
      <c r="O128" s="25"/>
      <c r="P128" s="25" t="str">
        <f>IF(AND(A128="",B128="",H128=""),"",IF(OR(A128="",B128="",C128="",E128="",F128="",H128="",AND(A128="client",COUNTIF(الزبائن!$A$6:$A$505,B128)=0),AND(A128="proposed_name",COUNTIF('أسماء مقترحة'!$A$6:$A$505,B128)=0)),"REVIEW","READY"))</f>
        <v/>
      </c>
      <c r="Q128" s="27" t="str">
        <f>IF(P128="","",IF(P128="READY","",TRIM(IF(A128="","missing entity_type; ","")&amp;IF(B128="","missing entity_key; ","")&amp;IF(C128="","missing referrer_order; ","")&amp;IF(E128="","missing referrer_type; ","")&amp;IF(F128="","missing referral_origin_channel; ","")&amp;IF(H128="","missing referrer_name_snapshot; ","")&amp;IF(AND(A128="client",COUNTIF(الزبائن!$A$6:$A$505,B128)=0),"client key not found; ","")&amp;IF(AND(A128="proposed_name",COUNTIF('أسماء مقترحة'!$A$6:$A$505,B128)=0),"proposed_name key not found; ",""))))</f>
        <v/>
      </c>
    </row>
    <row r="129" spans="1:17">
      <c r="A129" s="23"/>
      <c r="B129" s="24"/>
      <c r="C129" s="25"/>
      <c r="D129" s="25"/>
      <c r="E129" s="25"/>
      <c r="F129" s="25"/>
      <c r="G129" s="24"/>
      <c r="H129" s="25"/>
      <c r="I129" s="32"/>
      <c r="J129" s="25"/>
      <c r="K129" s="24"/>
      <c r="L129" s="25"/>
      <c r="M129" s="25"/>
      <c r="N129" s="25"/>
      <c r="O129" s="25"/>
      <c r="P129" s="25" t="str">
        <f>IF(AND(A129="",B129="",H129=""),"",IF(OR(A129="",B129="",C129="",E129="",F129="",H129="",AND(A129="client",COUNTIF(الزبائن!$A$6:$A$505,B129)=0),AND(A129="proposed_name",COUNTIF('أسماء مقترحة'!$A$6:$A$505,B129)=0)),"REVIEW","READY"))</f>
        <v/>
      </c>
      <c r="Q129" s="27" t="str">
        <f>IF(P129="","",IF(P129="READY","",TRIM(IF(A129="","missing entity_type; ","")&amp;IF(B129="","missing entity_key; ","")&amp;IF(C129="","missing referrer_order; ","")&amp;IF(E129="","missing referrer_type; ","")&amp;IF(F129="","missing referral_origin_channel; ","")&amp;IF(H129="","missing referrer_name_snapshot; ","")&amp;IF(AND(A129="client",COUNTIF(الزبائن!$A$6:$A$505,B129)=0),"client key not found; ","")&amp;IF(AND(A129="proposed_name",COUNTIF('أسماء مقترحة'!$A$6:$A$505,B129)=0),"proposed_name key not found; ",""))))</f>
        <v/>
      </c>
    </row>
    <row r="130" spans="1:17">
      <c r="A130" s="23"/>
      <c r="B130" s="24"/>
      <c r="C130" s="25"/>
      <c r="D130" s="25"/>
      <c r="E130" s="25"/>
      <c r="F130" s="25"/>
      <c r="G130" s="24"/>
      <c r="H130" s="25"/>
      <c r="I130" s="32"/>
      <c r="J130" s="25"/>
      <c r="K130" s="24"/>
      <c r="L130" s="25"/>
      <c r="M130" s="25"/>
      <c r="N130" s="25"/>
      <c r="O130" s="25"/>
      <c r="P130" s="25" t="str">
        <f>IF(AND(A130="",B130="",H130=""),"",IF(OR(A130="",B130="",C130="",E130="",F130="",H130="",AND(A130="client",COUNTIF(الزبائن!$A$6:$A$505,B130)=0),AND(A130="proposed_name",COUNTIF('أسماء مقترحة'!$A$6:$A$505,B130)=0)),"REVIEW","READY"))</f>
        <v/>
      </c>
      <c r="Q130" s="27" t="str">
        <f>IF(P130="","",IF(P130="READY","",TRIM(IF(A130="","missing entity_type; ","")&amp;IF(B130="","missing entity_key; ","")&amp;IF(C130="","missing referrer_order; ","")&amp;IF(E130="","missing referrer_type; ","")&amp;IF(F130="","missing referral_origin_channel; ","")&amp;IF(H130="","missing referrer_name_snapshot; ","")&amp;IF(AND(A130="client",COUNTIF(الزبائن!$A$6:$A$505,B130)=0),"client key not found; ","")&amp;IF(AND(A130="proposed_name",COUNTIF('أسماء مقترحة'!$A$6:$A$505,B130)=0),"proposed_name key not found; ",""))))</f>
        <v/>
      </c>
    </row>
    <row r="131" spans="1:17">
      <c r="A131" s="23"/>
      <c r="B131" s="24"/>
      <c r="C131" s="25"/>
      <c r="D131" s="25"/>
      <c r="E131" s="25"/>
      <c r="F131" s="25"/>
      <c r="G131" s="24"/>
      <c r="H131" s="25"/>
      <c r="I131" s="32"/>
      <c r="J131" s="25"/>
      <c r="K131" s="24"/>
      <c r="L131" s="25"/>
      <c r="M131" s="25"/>
      <c r="N131" s="25"/>
      <c r="O131" s="25"/>
      <c r="P131" s="25" t="str">
        <f>IF(AND(A131="",B131="",H131=""),"",IF(OR(A131="",B131="",C131="",E131="",F131="",H131="",AND(A131="client",COUNTIF(الزبائن!$A$6:$A$505,B131)=0),AND(A131="proposed_name",COUNTIF('أسماء مقترحة'!$A$6:$A$505,B131)=0)),"REVIEW","READY"))</f>
        <v/>
      </c>
      <c r="Q131" s="27" t="str">
        <f>IF(P131="","",IF(P131="READY","",TRIM(IF(A131="","missing entity_type; ","")&amp;IF(B131="","missing entity_key; ","")&amp;IF(C131="","missing referrer_order; ","")&amp;IF(E131="","missing referrer_type; ","")&amp;IF(F131="","missing referral_origin_channel; ","")&amp;IF(H131="","missing referrer_name_snapshot; ","")&amp;IF(AND(A131="client",COUNTIF(الزبائن!$A$6:$A$505,B131)=0),"client key not found; ","")&amp;IF(AND(A131="proposed_name",COUNTIF('أسماء مقترحة'!$A$6:$A$505,B131)=0),"proposed_name key not found; ",""))))</f>
        <v/>
      </c>
    </row>
    <row r="132" spans="1:17">
      <c r="A132" s="23"/>
      <c r="B132" s="24"/>
      <c r="C132" s="25"/>
      <c r="D132" s="25"/>
      <c r="E132" s="25"/>
      <c r="F132" s="25"/>
      <c r="G132" s="24"/>
      <c r="H132" s="25"/>
      <c r="I132" s="32"/>
      <c r="J132" s="25"/>
      <c r="K132" s="24"/>
      <c r="L132" s="25"/>
      <c r="M132" s="25"/>
      <c r="N132" s="25"/>
      <c r="O132" s="25"/>
      <c r="P132" s="25" t="str">
        <f>IF(AND(A132="",B132="",H132=""),"",IF(OR(A132="",B132="",C132="",E132="",F132="",H132="",AND(A132="client",COUNTIF(الزبائن!$A$6:$A$505,B132)=0),AND(A132="proposed_name",COUNTIF('أسماء مقترحة'!$A$6:$A$505,B132)=0)),"REVIEW","READY"))</f>
        <v/>
      </c>
      <c r="Q132" s="27" t="str">
        <f>IF(P132="","",IF(P132="READY","",TRIM(IF(A132="","missing entity_type; ","")&amp;IF(B132="","missing entity_key; ","")&amp;IF(C132="","missing referrer_order; ","")&amp;IF(E132="","missing referrer_type; ","")&amp;IF(F132="","missing referral_origin_channel; ","")&amp;IF(H132="","missing referrer_name_snapshot; ","")&amp;IF(AND(A132="client",COUNTIF(الزبائن!$A$6:$A$505,B132)=0),"client key not found; ","")&amp;IF(AND(A132="proposed_name",COUNTIF('أسماء مقترحة'!$A$6:$A$505,B132)=0),"proposed_name key not found; ",""))))</f>
        <v/>
      </c>
    </row>
    <row r="133" spans="1:17">
      <c r="A133" s="23"/>
      <c r="B133" s="24"/>
      <c r="C133" s="25"/>
      <c r="D133" s="25"/>
      <c r="E133" s="25"/>
      <c r="F133" s="25"/>
      <c r="G133" s="24"/>
      <c r="H133" s="25"/>
      <c r="I133" s="32"/>
      <c r="J133" s="25"/>
      <c r="K133" s="24"/>
      <c r="L133" s="25"/>
      <c r="M133" s="25"/>
      <c r="N133" s="25"/>
      <c r="O133" s="25"/>
      <c r="P133" s="25" t="str">
        <f>IF(AND(A133="",B133="",H133=""),"",IF(OR(A133="",B133="",C133="",E133="",F133="",H133="",AND(A133="client",COUNTIF(الزبائن!$A$6:$A$505,B133)=0),AND(A133="proposed_name",COUNTIF('أسماء مقترحة'!$A$6:$A$505,B133)=0)),"REVIEW","READY"))</f>
        <v/>
      </c>
      <c r="Q133" s="27" t="str">
        <f>IF(P133="","",IF(P133="READY","",TRIM(IF(A133="","missing entity_type; ","")&amp;IF(B133="","missing entity_key; ","")&amp;IF(C133="","missing referrer_order; ","")&amp;IF(E133="","missing referrer_type; ","")&amp;IF(F133="","missing referral_origin_channel; ","")&amp;IF(H133="","missing referrer_name_snapshot; ","")&amp;IF(AND(A133="client",COUNTIF(الزبائن!$A$6:$A$505,B133)=0),"client key not found; ","")&amp;IF(AND(A133="proposed_name",COUNTIF('أسماء مقترحة'!$A$6:$A$505,B133)=0),"proposed_name key not found; ",""))))</f>
        <v/>
      </c>
    </row>
    <row r="134" spans="1:17">
      <c r="A134" s="23"/>
      <c r="B134" s="24"/>
      <c r="C134" s="25"/>
      <c r="D134" s="25"/>
      <c r="E134" s="25"/>
      <c r="F134" s="25"/>
      <c r="G134" s="24"/>
      <c r="H134" s="25"/>
      <c r="I134" s="32"/>
      <c r="J134" s="25"/>
      <c r="K134" s="24"/>
      <c r="L134" s="25"/>
      <c r="M134" s="25"/>
      <c r="N134" s="25"/>
      <c r="O134" s="25"/>
      <c r="P134" s="25" t="str">
        <f>IF(AND(A134="",B134="",H134=""),"",IF(OR(A134="",B134="",C134="",E134="",F134="",H134="",AND(A134="client",COUNTIF(الزبائن!$A$6:$A$505,B134)=0),AND(A134="proposed_name",COUNTIF('أسماء مقترحة'!$A$6:$A$505,B134)=0)),"REVIEW","READY"))</f>
        <v/>
      </c>
      <c r="Q134" s="27" t="str">
        <f>IF(P134="","",IF(P134="READY","",TRIM(IF(A134="","missing entity_type; ","")&amp;IF(B134="","missing entity_key; ","")&amp;IF(C134="","missing referrer_order; ","")&amp;IF(E134="","missing referrer_type; ","")&amp;IF(F134="","missing referral_origin_channel; ","")&amp;IF(H134="","missing referrer_name_snapshot; ","")&amp;IF(AND(A134="client",COUNTIF(الزبائن!$A$6:$A$505,B134)=0),"client key not found; ","")&amp;IF(AND(A134="proposed_name",COUNTIF('أسماء مقترحة'!$A$6:$A$505,B134)=0),"proposed_name key not found; ",""))))</f>
        <v/>
      </c>
    </row>
    <row r="135" spans="1:17">
      <c r="A135" s="23"/>
      <c r="B135" s="24"/>
      <c r="C135" s="25"/>
      <c r="D135" s="25"/>
      <c r="E135" s="25"/>
      <c r="F135" s="25"/>
      <c r="G135" s="24"/>
      <c r="H135" s="25"/>
      <c r="I135" s="32"/>
      <c r="J135" s="25"/>
      <c r="K135" s="24"/>
      <c r="L135" s="25"/>
      <c r="M135" s="25"/>
      <c r="N135" s="25"/>
      <c r="O135" s="25"/>
      <c r="P135" s="25" t="str">
        <f>IF(AND(A135="",B135="",H135=""),"",IF(OR(A135="",B135="",C135="",E135="",F135="",H135="",AND(A135="client",COUNTIF(الزبائن!$A$6:$A$505,B135)=0),AND(A135="proposed_name",COUNTIF('أسماء مقترحة'!$A$6:$A$505,B135)=0)),"REVIEW","READY"))</f>
        <v/>
      </c>
      <c r="Q135" s="27" t="str">
        <f>IF(P135="","",IF(P135="READY","",TRIM(IF(A135="","missing entity_type; ","")&amp;IF(B135="","missing entity_key; ","")&amp;IF(C135="","missing referrer_order; ","")&amp;IF(E135="","missing referrer_type; ","")&amp;IF(F135="","missing referral_origin_channel; ","")&amp;IF(H135="","missing referrer_name_snapshot; ","")&amp;IF(AND(A135="client",COUNTIF(الزبائن!$A$6:$A$505,B135)=0),"client key not found; ","")&amp;IF(AND(A135="proposed_name",COUNTIF('أسماء مقترحة'!$A$6:$A$505,B135)=0),"proposed_name key not found; ",""))))</f>
        <v/>
      </c>
    </row>
    <row r="136" spans="1:17">
      <c r="A136" s="23"/>
      <c r="B136" s="24"/>
      <c r="C136" s="25"/>
      <c r="D136" s="25"/>
      <c r="E136" s="25"/>
      <c r="F136" s="25"/>
      <c r="G136" s="24"/>
      <c r="H136" s="25"/>
      <c r="I136" s="32"/>
      <c r="J136" s="25"/>
      <c r="K136" s="24"/>
      <c r="L136" s="25"/>
      <c r="M136" s="25"/>
      <c r="N136" s="25"/>
      <c r="O136" s="25"/>
      <c r="P136" s="25" t="str">
        <f>IF(AND(A136="",B136="",H136=""),"",IF(OR(A136="",B136="",C136="",E136="",F136="",H136="",AND(A136="client",COUNTIF(الزبائن!$A$6:$A$505,B136)=0),AND(A136="proposed_name",COUNTIF('أسماء مقترحة'!$A$6:$A$505,B136)=0)),"REVIEW","READY"))</f>
        <v/>
      </c>
      <c r="Q136" s="27" t="str">
        <f>IF(P136="","",IF(P136="READY","",TRIM(IF(A136="","missing entity_type; ","")&amp;IF(B136="","missing entity_key; ","")&amp;IF(C136="","missing referrer_order; ","")&amp;IF(E136="","missing referrer_type; ","")&amp;IF(F136="","missing referral_origin_channel; ","")&amp;IF(H136="","missing referrer_name_snapshot; ","")&amp;IF(AND(A136="client",COUNTIF(الزبائن!$A$6:$A$505,B136)=0),"client key not found; ","")&amp;IF(AND(A136="proposed_name",COUNTIF('أسماء مقترحة'!$A$6:$A$505,B136)=0),"proposed_name key not found; ",""))))</f>
        <v/>
      </c>
    </row>
    <row r="137" spans="1:17">
      <c r="A137" s="23"/>
      <c r="B137" s="24"/>
      <c r="C137" s="25"/>
      <c r="D137" s="25"/>
      <c r="E137" s="25"/>
      <c r="F137" s="25"/>
      <c r="G137" s="24"/>
      <c r="H137" s="25"/>
      <c r="I137" s="32"/>
      <c r="J137" s="25"/>
      <c r="K137" s="24"/>
      <c r="L137" s="25"/>
      <c r="M137" s="25"/>
      <c r="N137" s="25"/>
      <c r="O137" s="25"/>
      <c r="P137" s="25" t="str">
        <f>IF(AND(A137="",B137="",H137=""),"",IF(OR(A137="",B137="",C137="",E137="",F137="",H137="",AND(A137="client",COUNTIF(الزبائن!$A$6:$A$505,B137)=0),AND(A137="proposed_name",COUNTIF('أسماء مقترحة'!$A$6:$A$505,B137)=0)),"REVIEW","READY"))</f>
        <v/>
      </c>
      <c r="Q137" s="27" t="str">
        <f>IF(P137="","",IF(P137="READY","",TRIM(IF(A137="","missing entity_type; ","")&amp;IF(B137="","missing entity_key; ","")&amp;IF(C137="","missing referrer_order; ","")&amp;IF(E137="","missing referrer_type; ","")&amp;IF(F137="","missing referral_origin_channel; ","")&amp;IF(H137="","missing referrer_name_snapshot; ","")&amp;IF(AND(A137="client",COUNTIF(الزبائن!$A$6:$A$505,B137)=0),"client key not found; ","")&amp;IF(AND(A137="proposed_name",COUNTIF('أسماء مقترحة'!$A$6:$A$505,B137)=0),"proposed_name key not found; ",""))))</f>
        <v/>
      </c>
    </row>
    <row r="138" spans="1:17">
      <c r="A138" s="23"/>
      <c r="B138" s="24"/>
      <c r="C138" s="25"/>
      <c r="D138" s="25"/>
      <c r="E138" s="25"/>
      <c r="F138" s="25"/>
      <c r="G138" s="24"/>
      <c r="H138" s="25"/>
      <c r="I138" s="32"/>
      <c r="J138" s="25"/>
      <c r="K138" s="24"/>
      <c r="L138" s="25"/>
      <c r="M138" s="25"/>
      <c r="N138" s="25"/>
      <c r="O138" s="25"/>
      <c r="P138" s="25" t="str">
        <f>IF(AND(A138="",B138="",H138=""),"",IF(OR(A138="",B138="",C138="",E138="",F138="",H138="",AND(A138="client",COUNTIF(الزبائن!$A$6:$A$505,B138)=0),AND(A138="proposed_name",COUNTIF('أسماء مقترحة'!$A$6:$A$505,B138)=0)),"REVIEW","READY"))</f>
        <v/>
      </c>
      <c r="Q138" s="27" t="str">
        <f>IF(P138="","",IF(P138="READY","",TRIM(IF(A138="","missing entity_type; ","")&amp;IF(B138="","missing entity_key; ","")&amp;IF(C138="","missing referrer_order; ","")&amp;IF(E138="","missing referrer_type; ","")&amp;IF(F138="","missing referral_origin_channel; ","")&amp;IF(H138="","missing referrer_name_snapshot; ","")&amp;IF(AND(A138="client",COUNTIF(الزبائن!$A$6:$A$505,B138)=0),"client key not found; ","")&amp;IF(AND(A138="proposed_name",COUNTIF('أسماء مقترحة'!$A$6:$A$505,B138)=0),"proposed_name key not found; ",""))))</f>
        <v/>
      </c>
    </row>
    <row r="139" spans="1:17">
      <c r="A139" s="23"/>
      <c r="B139" s="24"/>
      <c r="C139" s="25"/>
      <c r="D139" s="25"/>
      <c r="E139" s="25"/>
      <c r="F139" s="25"/>
      <c r="G139" s="24"/>
      <c r="H139" s="25"/>
      <c r="I139" s="32"/>
      <c r="J139" s="25"/>
      <c r="K139" s="24"/>
      <c r="L139" s="25"/>
      <c r="M139" s="25"/>
      <c r="N139" s="25"/>
      <c r="O139" s="25"/>
      <c r="P139" s="25" t="str">
        <f>IF(AND(A139="",B139="",H139=""),"",IF(OR(A139="",B139="",C139="",E139="",F139="",H139="",AND(A139="client",COUNTIF(الزبائن!$A$6:$A$505,B139)=0),AND(A139="proposed_name",COUNTIF('أسماء مقترحة'!$A$6:$A$505,B139)=0)),"REVIEW","READY"))</f>
        <v/>
      </c>
      <c r="Q139" s="27" t="str">
        <f>IF(P139="","",IF(P139="READY","",TRIM(IF(A139="","missing entity_type; ","")&amp;IF(B139="","missing entity_key; ","")&amp;IF(C139="","missing referrer_order; ","")&amp;IF(E139="","missing referrer_type; ","")&amp;IF(F139="","missing referral_origin_channel; ","")&amp;IF(H139="","missing referrer_name_snapshot; ","")&amp;IF(AND(A139="client",COUNTIF(الزبائن!$A$6:$A$505,B139)=0),"client key not found; ","")&amp;IF(AND(A139="proposed_name",COUNTIF('أسماء مقترحة'!$A$6:$A$505,B139)=0),"proposed_name key not found; ",""))))</f>
        <v/>
      </c>
    </row>
    <row r="140" spans="1:17">
      <c r="A140" s="23"/>
      <c r="B140" s="24"/>
      <c r="C140" s="25"/>
      <c r="D140" s="25"/>
      <c r="E140" s="25"/>
      <c r="F140" s="25"/>
      <c r="G140" s="24"/>
      <c r="H140" s="25"/>
      <c r="I140" s="32"/>
      <c r="J140" s="25"/>
      <c r="K140" s="24"/>
      <c r="L140" s="25"/>
      <c r="M140" s="25"/>
      <c r="N140" s="25"/>
      <c r="O140" s="25"/>
      <c r="P140" s="25" t="str">
        <f>IF(AND(A140="",B140="",H140=""),"",IF(OR(A140="",B140="",C140="",E140="",F140="",H140="",AND(A140="client",COUNTIF(الزبائن!$A$6:$A$505,B140)=0),AND(A140="proposed_name",COUNTIF('أسماء مقترحة'!$A$6:$A$505,B140)=0)),"REVIEW","READY"))</f>
        <v/>
      </c>
      <c r="Q140" s="27" t="str">
        <f>IF(P140="","",IF(P140="READY","",TRIM(IF(A140="","missing entity_type; ","")&amp;IF(B140="","missing entity_key; ","")&amp;IF(C140="","missing referrer_order; ","")&amp;IF(E140="","missing referrer_type; ","")&amp;IF(F140="","missing referral_origin_channel; ","")&amp;IF(H140="","missing referrer_name_snapshot; ","")&amp;IF(AND(A140="client",COUNTIF(الزبائن!$A$6:$A$505,B140)=0),"client key not found; ","")&amp;IF(AND(A140="proposed_name",COUNTIF('أسماء مقترحة'!$A$6:$A$505,B140)=0),"proposed_name key not found; ",""))))</f>
        <v/>
      </c>
    </row>
    <row r="141" spans="1:17">
      <c r="A141" s="23"/>
      <c r="B141" s="24"/>
      <c r="C141" s="25"/>
      <c r="D141" s="25"/>
      <c r="E141" s="25"/>
      <c r="F141" s="25"/>
      <c r="G141" s="24"/>
      <c r="H141" s="25"/>
      <c r="I141" s="32"/>
      <c r="J141" s="25"/>
      <c r="K141" s="24"/>
      <c r="L141" s="25"/>
      <c r="M141" s="25"/>
      <c r="N141" s="25"/>
      <c r="O141" s="25"/>
      <c r="P141" s="25" t="str">
        <f>IF(AND(A141="",B141="",H141=""),"",IF(OR(A141="",B141="",C141="",E141="",F141="",H141="",AND(A141="client",COUNTIF(الزبائن!$A$6:$A$505,B141)=0),AND(A141="proposed_name",COUNTIF('أسماء مقترحة'!$A$6:$A$505,B141)=0)),"REVIEW","READY"))</f>
        <v/>
      </c>
      <c r="Q141" s="27" t="str">
        <f>IF(P141="","",IF(P141="READY","",TRIM(IF(A141="","missing entity_type; ","")&amp;IF(B141="","missing entity_key; ","")&amp;IF(C141="","missing referrer_order; ","")&amp;IF(E141="","missing referrer_type; ","")&amp;IF(F141="","missing referral_origin_channel; ","")&amp;IF(H141="","missing referrer_name_snapshot; ","")&amp;IF(AND(A141="client",COUNTIF(الزبائن!$A$6:$A$505,B141)=0),"client key not found; ","")&amp;IF(AND(A141="proposed_name",COUNTIF('أسماء مقترحة'!$A$6:$A$505,B141)=0),"proposed_name key not found; ",""))))</f>
        <v/>
      </c>
    </row>
    <row r="142" spans="1:17">
      <c r="A142" s="23"/>
      <c r="B142" s="24"/>
      <c r="C142" s="25"/>
      <c r="D142" s="25"/>
      <c r="E142" s="25"/>
      <c r="F142" s="25"/>
      <c r="G142" s="24"/>
      <c r="H142" s="25"/>
      <c r="I142" s="32"/>
      <c r="J142" s="25"/>
      <c r="K142" s="24"/>
      <c r="L142" s="25"/>
      <c r="M142" s="25"/>
      <c r="N142" s="25"/>
      <c r="O142" s="25"/>
      <c r="P142" s="25" t="str">
        <f>IF(AND(A142="",B142="",H142=""),"",IF(OR(A142="",B142="",C142="",E142="",F142="",H142="",AND(A142="client",COUNTIF(الزبائن!$A$6:$A$505,B142)=0),AND(A142="proposed_name",COUNTIF('أسماء مقترحة'!$A$6:$A$505,B142)=0)),"REVIEW","READY"))</f>
        <v/>
      </c>
      <c r="Q142" s="27" t="str">
        <f>IF(P142="","",IF(P142="READY","",TRIM(IF(A142="","missing entity_type; ","")&amp;IF(B142="","missing entity_key; ","")&amp;IF(C142="","missing referrer_order; ","")&amp;IF(E142="","missing referrer_type; ","")&amp;IF(F142="","missing referral_origin_channel; ","")&amp;IF(H142="","missing referrer_name_snapshot; ","")&amp;IF(AND(A142="client",COUNTIF(الزبائن!$A$6:$A$505,B142)=0),"client key not found; ","")&amp;IF(AND(A142="proposed_name",COUNTIF('أسماء مقترحة'!$A$6:$A$505,B142)=0),"proposed_name key not found; ",""))))</f>
        <v/>
      </c>
    </row>
    <row r="143" spans="1:17">
      <c r="A143" s="23"/>
      <c r="B143" s="24"/>
      <c r="C143" s="25"/>
      <c r="D143" s="25"/>
      <c r="E143" s="25"/>
      <c r="F143" s="25"/>
      <c r="G143" s="24"/>
      <c r="H143" s="25"/>
      <c r="I143" s="32"/>
      <c r="J143" s="25"/>
      <c r="K143" s="24"/>
      <c r="L143" s="25"/>
      <c r="M143" s="25"/>
      <c r="N143" s="25"/>
      <c r="O143" s="25"/>
      <c r="P143" s="25" t="str">
        <f>IF(AND(A143="",B143="",H143=""),"",IF(OR(A143="",B143="",C143="",E143="",F143="",H143="",AND(A143="client",COUNTIF(الزبائن!$A$6:$A$505,B143)=0),AND(A143="proposed_name",COUNTIF('أسماء مقترحة'!$A$6:$A$505,B143)=0)),"REVIEW","READY"))</f>
        <v/>
      </c>
      <c r="Q143" s="27" t="str">
        <f>IF(P143="","",IF(P143="READY","",TRIM(IF(A143="","missing entity_type; ","")&amp;IF(B143="","missing entity_key; ","")&amp;IF(C143="","missing referrer_order; ","")&amp;IF(E143="","missing referrer_type; ","")&amp;IF(F143="","missing referral_origin_channel; ","")&amp;IF(H143="","missing referrer_name_snapshot; ","")&amp;IF(AND(A143="client",COUNTIF(الزبائن!$A$6:$A$505,B143)=0),"client key not found; ","")&amp;IF(AND(A143="proposed_name",COUNTIF('أسماء مقترحة'!$A$6:$A$505,B143)=0),"proposed_name key not found; ",""))))</f>
        <v/>
      </c>
    </row>
    <row r="144" spans="1:17">
      <c r="A144" s="23"/>
      <c r="B144" s="24"/>
      <c r="C144" s="25"/>
      <c r="D144" s="25"/>
      <c r="E144" s="25"/>
      <c r="F144" s="25"/>
      <c r="G144" s="24"/>
      <c r="H144" s="25"/>
      <c r="I144" s="32"/>
      <c r="J144" s="25"/>
      <c r="K144" s="24"/>
      <c r="L144" s="25"/>
      <c r="M144" s="25"/>
      <c r="N144" s="25"/>
      <c r="O144" s="25"/>
      <c r="P144" s="25" t="str">
        <f>IF(AND(A144="",B144="",H144=""),"",IF(OR(A144="",B144="",C144="",E144="",F144="",H144="",AND(A144="client",COUNTIF(الزبائن!$A$6:$A$505,B144)=0),AND(A144="proposed_name",COUNTIF('أسماء مقترحة'!$A$6:$A$505,B144)=0)),"REVIEW","READY"))</f>
        <v/>
      </c>
      <c r="Q144" s="27" t="str">
        <f>IF(P144="","",IF(P144="READY","",TRIM(IF(A144="","missing entity_type; ","")&amp;IF(B144="","missing entity_key; ","")&amp;IF(C144="","missing referrer_order; ","")&amp;IF(E144="","missing referrer_type; ","")&amp;IF(F144="","missing referral_origin_channel; ","")&amp;IF(H144="","missing referrer_name_snapshot; ","")&amp;IF(AND(A144="client",COUNTIF(الزبائن!$A$6:$A$505,B144)=0),"client key not found; ","")&amp;IF(AND(A144="proposed_name",COUNTIF('أسماء مقترحة'!$A$6:$A$505,B144)=0),"proposed_name key not found; ",""))))</f>
        <v/>
      </c>
    </row>
    <row r="145" spans="1:17">
      <c r="A145" s="23"/>
      <c r="B145" s="24"/>
      <c r="C145" s="25"/>
      <c r="D145" s="25"/>
      <c r="E145" s="25"/>
      <c r="F145" s="25"/>
      <c r="G145" s="24"/>
      <c r="H145" s="25"/>
      <c r="I145" s="32"/>
      <c r="J145" s="25"/>
      <c r="K145" s="24"/>
      <c r="L145" s="25"/>
      <c r="M145" s="25"/>
      <c r="N145" s="25"/>
      <c r="O145" s="25"/>
      <c r="P145" s="25" t="str">
        <f>IF(AND(A145="",B145="",H145=""),"",IF(OR(A145="",B145="",C145="",E145="",F145="",H145="",AND(A145="client",COUNTIF(الزبائن!$A$6:$A$505,B145)=0),AND(A145="proposed_name",COUNTIF('أسماء مقترحة'!$A$6:$A$505,B145)=0)),"REVIEW","READY"))</f>
        <v/>
      </c>
      <c r="Q145" s="27" t="str">
        <f>IF(P145="","",IF(P145="READY","",TRIM(IF(A145="","missing entity_type; ","")&amp;IF(B145="","missing entity_key; ","")&amp;IF(C145="","missing referrer_order; ","")&amp;IF(E145="","missing referrer_type; ","")&amp;IF(F145="","missing referral_origin_channel; ","")&amp;IF(H145="","missing referrer_name_snapshot; ","")&amp;IF(AND(A145="client",COUNTIF(الزبائن!$A$6:$A$505,B145)=0),"client key not found; ","")&amp;IF(AND(A145="proposed_name",COUNTIF('أسماء مقترحة'!$A$6:$A$505,B145)=0),"proposed_name key not found; ",""))))</f>
        <v/>
      </c>
    </row>
    <row r="146" spans="1:17">
      <c r="A146" s="23"/>
      <c r="B146" s="24"/>
      <c r="C146" s="25"/>
      <c r="D146" s="25"/>
      <c r="E146" s="25"/>
      <c r="F146" s="25"/>
      <c r="G146" s="24"/>
      <c r="H146" s="25"/>
      <c r="I146" s="32"/>
      <c r="J146" s="25"/>
      <c r="K146" s="24"/>
      <c r="L146" s="25"/>
      <c r="M146" s="25"/>
      <c r="N146" s="25"/>
      <c r="O146" s="25"/>
      <c r="P146" s="25" t="str">
        <f>IF(AND(A146="",B146="",H146=""),"",IF(OR(A146="",B146="",C146="",E146="",F146="",H146="",AND(A146="client",COUNTIF(الزبائن!$A$6:$A$505,B146)=0),AND(A146="proposed_name",COUNTIF('أسماء مقترحة'!$A$6:$A$505,B146)=0)),"REVIEW","READY"))</f>
        <v/>
      </c>
      <c r="Q146" s="27" t="str">
        <f>IF(P146="","",IF(P146="READY","",TRIM(IF(A146="","missing entity_type; ","")&amp;IF(B146="","missing entity_key; ","")&amp;IF(C146="","missing referrer_order; ","")&amp;IF(E146="","missing referrer_type; ","")&amp;IF(F146="","missing referral_origin_channel; ","")&amp;IF(H146="","missing referrer_name_snapshot; ","")&amp;IF(AND(A146="client",COUNTIF(الزبائن!$A$6:$A$505,B146)=0),"client key not found; ","")&amp;IF(AND(A146="proposed_name",COUNTIF('أسماء مقترحة'!$A$6:$A$505,B146)=0),"proposed_name key not found; ",""))))</f>
        <v/>
      </c>
    </row>
    <row r="147" spans="1:17">
      <c r="A147" s="23"/>
      <c r="B147" s="24"/>
      <c r="C147" s="25"/>
      <c r="D147" s="25"/>
      <c r="E147" s="25"/>
      <c r="F147" s="25"/>
      <c r="G147" s="24"/>
      <c r="H147" s="25"/>
      <c r="I147" s="32"/>
      <c r="J147" s="25"/>
      <c r="K147" s="24"/>
      <c r="L147" s="25"/>
      <c r="M147" s="25"/>
      <c r="N147" s="25"/>
      <c r="O147" s="25"/>
      <c r="P147" s="25" t="str">
        <f>IF(AND(A147="",B147="",H147=""),"",IF(OR(A147="",B147="",C147="",E147="",F147="",H147="",AND(A147="client",COUNTIF(الزبائن!$A$6:$A$505,B147)=0),AND(A147="proposed_name",COUNTIF('أسماء مقترحة'!$A$6:$A$505,B147)=0)),"REVIEW","READY"))</f>
        <v/>
      </c>
      <c r="Q147" s="27" t="str">
        <f>IF(P147="","",IF(P147="READY","",TRIM(IF(A147="","missing entity_type; ","")&amp;IF(B147="","missing entity_key; ","")&amp;IF(C147="","missing referrer_order; ","")&amp;IF(E147="","missing referrer_type; ","")&amp;IF(F147="","missing referral_origin_channel; ","")&amp;IF(H147="","missing referrer_name_snapshot; ","")&amp;IF(AND(A147="client",COUNTIF(الزبائن!$A$6:$A$505,B147)=0),"client key not found; ","")&amp;IF(AND(A147="proposed_name",COUNTIF('أسماء مقترحة'!$A$6:$A$505,B147)=0),"proposed_name key not found; ",""))))</f>
        <v/>
      </c>
    </row>
    <row r="148" spans="1:17">
      <c r="A148" s="23"/>
      <c r="B148" s="24"/>
      <c r="C148" s="25"/>
      <c r="D148" s="25"/>
      <c r="E148" s="25"/>
      <c r="F148" s="25"/>
      <c r="G148" s="24"/>
      <c r="H148" s="25"/>
      <c r="I148" s="32"/>
      <c r="J148" s="25"/>
      <c r="K148" s="24"/>
      <c r="L148" s="25"/>
      <c r="M148" s="25"/>
      <c r="N148" s="25"/>
      <c r="O148" s="25"/>
      <c r="P148" s="25" t="str">
        <f>IF(AND(A148="",B148="",H148=""),"",IF(OR(A148="",B148="",C148="",E148="",F148="",H148="",AND(A148="client",COUNTIF(الزبائن!$A$6:$A$505,B148)=0),AND(A148="proposed_name",COUNTIF('أسماء مقترحة'!$A$6:$A$505,B148)=0)),"REVIEW","READY"))</f>
        <v/>
      </c>
      <c r="Q148" s="27" t="str">
        <f>IF(P148="","",IF(P148="READY","",TRIM(IF(A148="","missing entity_type; ","")&amp;IF(B148="","missing entity_key; ","")&amp;IF(C148="","missing referrer_order; ","")&amp;IF(E148="","missing referrer_type; ","")&amp;IF(F148="","missing referral_origin_channel; ","")&amp;IF(H148="","missing referrer_name_snapshot; ","")&amp;IF(AND(A148="client",COUNTIF(الزبائن!$A$6:$A$505,B148)=0),"client key not found; ","")&amp;IF(AND(A148="proposed_name",COUNTIF('أسماء مقترحة'!$A$6:$A$505,B148)=0),"proposed_name key not found; ",""))))</f>
        <v/>
      </c>
    </row>
    <row r="149" spans="1:17">
      <c r="A149" s="23"/>
      <c r="B149" s="24"/>
      <c r="C149" s="25"/>
      <c r="D149" s="25"/>
      <c r="E149" s="25"/>
      <c r="F149" s="25"/>
      <c r="G149" s="24"/>
      <c r="H149" s="25"/>
      <c r="I149" s="32"/>
      <c r="J149" s="25"/>
      <c r="K149" s="24"/>
      <c r="L149" s="25"/>
      <c r="M149" s="25"/>
      <c r="N149" s="25"/>
      <c r="O149" s="25"/>
      <c r="P149" s="25" t="str">
        <f>IF(AND(A149="",B149="",H149=""),"",IF(OR(A149="",B149="",C149="",E149="",F149="",H149="",AND(A149="client",COUNTIF(الزبائن!$A$6:$A$505,B149)=0),AND(A149="proposed_name",COUNTIF('أسماء مقترحة'!$A$6:$A$505,B149)=0)),"REVIEW","READY"))</f>
        <v/>
      </c>
      <c r="Q149" s="27" t="str">
        <f>IF(P149="","",IF(P149="READY","",TRIM(IF(A149="","missing entity_type; ","")&amp;IF(B149="","missing entity_key; ","")&amp;IF(C149="","missing referrer_order; ","")&amp;IF(E149="","missing referrer_type; ","")&amp;IF(F149="","missing referral_origin_channel; ","")&amp;IF(H149="","missing referrer_name_snapshot; ","")&amp;IF(AND(A149="client",COUNTIF(الزبائن!$A$6:$A$505,B149)=0),"client key not found; ","")&amp;IF(AND(A149="proposed_name",COUNTIF('أسماء مقترحة'!$A$6:$A$505,B149)=0),"proposed_name key not found; ",""))))</f>
        <v/>
      </c>
    </row>
    <row r="150" spans="1:17">
      <c r="A150" s="23"/>
      <c r="B150" s="24"/>
      <c r="C150" s="25"/>
      <c r="D150" s="25"/>
      <c r="E150" s="25"/>
      <c r="F150" s="25"/>
      <c r="G150" s="24"/>
      <c r="H150" s="25"/>
      <c r="I150" s="32"/>
      <c r="J150" s="25"/>
      <c r="K150" s="24"/>
      <c r="L150" s="25"/>
      <c r="M150" s="25"/>
      <c r="N150" s="25"/>
      <c r="O150" s="25"/>
      <c r="P150" s="25" t="str">
        <f>IF(AND(A150="",B150="",H150=""),"",IF(OR(A150="",B150="",C150="",E150="",F150="",H150="",AND(A150="client",COUNTIF(الزبائن!$A$6:$A$505,B150)=0),AND(A150="proposed_name",COUNTIF('أسماء مقترحة'!$A$6:$A$505,B150)=0)),"REVIEW","READY"))</f>
        <v/>
      </c>
      <c r="Q150" s="27" t="str">
        <f>IF(P150="","",IF(P150="READY","",TRIM(IF(A150="","missing entity_type; ","")&amp;IF(B150="","missing entity_key; ","")&amp;IF(C150="","missing referrer_order; ","")&amp;IF(E150="","missing referrer_type; ","")&amp;IF(F150="","missing referral_origin_channel; ","")&amp;IF(H150="","missing referrer_name_snapshot; ","")&amp;IF(AND(A150="client",COUNTIF(الزبائن!$A$6:$A$505,B150)=0),"client key not found; ","")&amp;IF(AND(A150="proposed_name",COUNTIF('أسماء مقترحة'!$A$6:$A$505,B150)=0),"proposed_name key not found; ",""))))</f>
        <v/>
      </c>
    </row>
    <row r="151" spans="1:17">
      <c r="A151" s="23"/>
      <c r="B151" s="24"/>
      <c r="C151" s="25"/>
      <c r="D151" s="25"/>
      <c r="E151" s="25"/>
      <c r="F151" s="25"/>
      <c r="G151" s="24"/>
      <c r="H151" s="25"/>
      <c r="I151" s="32"/>
      <c r="J151" s="25"/>
      <c r="K151" s="24"/>
      <c r="L151" s="25"/>
      <c r="M151" s="25"/>
      <c r="N151" s="25"/>
      <c r="O151" s="25"/>
      <c r="P151" s="25" t="str">
        <f>IF(AND(A151="",B151="",H151=""),"",IF(OR(A151="",B151="",C151="",E151="",F151="",H151="",AND(A151="client",COUNTIF(الزبائن!$A$6:$A$505,B151)=0),AND(A151="proposed_name",COUNTIF('أسماء مقترحة'!$A$6:$A$505,B151)=0)),"REVIEW","READY"))</f>
        <v/>
      </c>
      <c r="Q151" s="27" t="str">
        <f>IF(P151="","",IF(P151="READY","",TRIM(IF(A151="","missing entity_type; ","")&amp;IF(B151="","missing entity_key; ","")&amp;IF(C151="","missing referrer_order; ","")&amp;IF(E151="","missing referrer_type; ","")&amp;IF(F151="","missing referral_origin_channel; ","")&amp;IF(H151="","missing referrer_name_snapshot; ","")&amp;IF(AND(A151="client",COUNTIF(الزبائن!$A$6:$A$505,B151)=0),"client key not found; ","")&amp;IF(AND(A151="proposed_name",COUNTIF('أسماء مقترحة'!$A$6:$A$505,B151)=0),"proposed_name key not found; ",""))))</f>
        <v/>
      </c>
    </row>
    <row r="152" spans="1:17">
      <c r="A152" s="23"/>
      <c r="B152" s="24"/>
      <c r="C152" s="25"/>
      <c r="D152" s="25"/>
      <c r="E152" s="25"/>
      <c r="F152" s="25"/>
      <c r="G152" s="24"/>
      <c r="H152" s="25"/>
      <c r="I152" s="32"/>
      <c r="J152" s="25"/>
      <c r="K152" s="24"/>
      <c r="L152" s="25"/>
      <c r="M152" s="25"/>
      <c r="N152" s="25"/>
      <c r="O152" s="25"/>
      <c r="P152" s="25" t="str">
        <f>IF(AND(A152="",B152="",H152=""),"",IF(OR(A152="",B152="",C152="",E152="",F152="",H152="",AND(A152="client",COUNTIF(الزبائن!$A$6:$A$505,B152)=0),AND(A152="proposed_name",COUNTIF('أسماء مقترحة'!$A$6:$A$505,B152)=0)),"REVIEW","READY"))</f>
        <v/>
      </c>
      <c r="Q152" s="27" t="str">
        <f>IF(P152="","",IF(P152="READY","",TRIM(IF(A152="","missing entity_type; ","")&amp;IF(B152="","missing entity_key; ","")&amp;IF(C152="","missing referrer_order; ","")&amp;IF(E152="","missing referrer_type; ","")&amp;IF(F152="","missing referral_origin_channel; ","")&amp;IF(H152="","missing referrer_name_snapshot; ","")&amp;IF(AND(A152="client",COUNTIF(الزبائن!$A$6:$A$505,B152)=0),"client key not found; ","")&amp;IF(AND(A152="proposed_name",COUNTIF('أسماء مقترحة'!$A$6:$A$505,B152)=0),"proposed_name key not found; ",""))))</f>
        <v/>
      </c>
    </row>
    <row r="153" spans="1:17">
      <c r="A153" s="23"/>
      <c r="B153" s="24"/>
      <c r="C153" s="25"/>
      <c r="D153" s="25"/>
      <c r="E153" s="25"/>
      <c r="F153" s="25"/>
      <c r="G153" s="24"/>
      <c r="H153" s="25"/>
      <c r="I153" s="32"/>
      <c r="J153" s="25"/>
      <c r="K153" s="24"/>
      <c r="L153" s="25"/>
      <c r="M153" s="25"/>
      <c r="N153" s="25"/>
      <c r="O153" s="25"/>
      <c r="P153" s="25" t="str">
        <f>IF(AND(A153="",B153="",H153=""),"",IF(OR(A153="",B153="",C153="",E153="",F153="",H153="",AND(A153="client",COUNTIF(الزبائن!$A$6:$A$505,B153)=0),AND(A153="proposed_name",COUNTIF('أسماء مقترحة'!$A$6:$A$505,B153)=0)),"REVIEW","READY"))</f>
        <v/>
      </c>
      <c r="Q153" s="27" t="str">
        <f>IF(P153="","",IF(P153="READY","",TRIM(IF(A153="","missing entity_type; ","")&amp;IF(B153="","missing entity_key; ","")&amp;IF(C153="","missing referrer_order; ","")&amp;IF(E153="","missing referrer_type; ","")&amp;IF(F153="","missing referral_origin_channel; ","")&amp;IF(H153="","missing referrer_name_snapshot; ","")&amp;IF(AND(A153="client",COUNTIF(الزبائن!$A$6:$A$505,B153)=0),"client key not found; ","")&amp;IF(AND(A153="proposed_name",COUNTIF('أسماء مقترحة'!$A$6:$A$505,B153)=0),"proposed_name key not found; ",""))))</f>
        <v/>
      </c>
    </row>
    <row r="154" spans="1:17">
      <c r="A154" s="23"/>
      <c r="B154" s="24"/>
      <c r="C154" s="25"/>
      <c r="D154" s="25"/>
      <c r="E154" s="25"/>
      <c r="F154" s="25"/>
      <c r="G154" s="24"/>
      <c r="H154" s="25"/>
      <c r="I154" s="32"/>
      <c r="J154" s="25"/>
      <c r="K154" s="24"/>
      <c r="L154" s="25"/>
      <c r="M154" s="25"/>
      <c r="N154" s="25"/>
      <c r="O154" s="25"/>
      <c r="P154" s="25" t="str">
        <f>IF(AND(A154="",B154="",H154=""),"",IF(OR(A154="",B154="",C154="",E154="",F154="",H154="",AND(A154="client",COUNTIF(الزبائن!$A$6:$A$505,B154)=0),AND(A154="proposed_name",COUNTIF('أسماء مقترحة'!$A$6:$A$505,B154)=0)),"REVIEW","READY"))</f>
        <v/>
      </c>
      <c r="Q154" s="27" t="str">
        <f>IF(P154="","",IF(P154="READY","",TRIM(IF(A154="","missing entity_type; ","")&amp;IF(B154="","missing entity_key; ","")&amp;IF(C154="","missing referrer_order; ","")&amp;IF(E154="","missing referrer_type; ","")&amp;IF(F154="","missing referral_origin_channel; ","")&amp;IF(H154="","missing referrer_name_snapshot; ","")&amp;IF(AND(A154="client",COUNTIF(الزبائن!$A$6:$A$505,B154)=0),"client key not found; ","")&amp;IF(AND(A154="proposed_name",COUNTIF('أسماء مقترحة'!$A$6:$A$505,B154)=0),"proposed_name key not found; ",""))))</f>
        <v/>
      </c>
    </row>
    <row r="155" spans="1:17">
      <c r="A155" s="23"/>
      <c r="B155" s="24"/>
      <c r="C155" s="25"/>
      <c r="D155" s="25"/>
      <c r="E155" s="25"/>
      <c r="F155" s="25"/>
      <c r="G155" s="24"/>
      <c r="H155" s="25"/>
      <c r="I155" s="32"/>
      <c r="J155" s="25"/>
      <c r="K155" s="24"/>
      <c r="L155" s="25"/>
      <c r="M155" s="25"/>
      <c r="N155" s="25"/>
      <c r="O155" s="25"/>
      <c r="P155" s="25" t="str">
        <f>IF(AND(A155="",B155="",H155=""),"",IF(OR(A155="",B155="",C155="",E155="",F155="",H155="",AND(A155="client",COUNTIF(الزبائن!$A$6:$A$505,B155)=0),AND(A155="proposed_name",COUNTIF('أسماء مقترحة'!$A$6:$A$505,B155)=0)),"REVIEW","READY"))</f>
        <v/>
      </c>
      <c r="Q155" s="27" t="str">
        <f>IF(P155="","",IF(P155="READY","",TRIM(IF(A155="","missing entity_type; ","")&amp;IF(B155="","missing entity_key; ","")&amp;IF(C155="","missing referrer_order; ","")&amp;IF(E155="","missing referrer_type; ","")&amp;IF(F155="","missing referral_origin_channel; ","")&amp;IF(H155="","missing referrer_name_snapshot; ","")&amp;IF(AND(A155="client",COUNTIF(الزبائن!$A$6:$A$505,B155)=0),"client key not found; ","")&amp;IF(AND(A155="proposed_name",COUNTIF('أسماء مقترحة'!$A$6:$A$505,B155)=0),"proposed_name key not found; ",""))))</f>
        <v/>
      </c>
    </row>
    <row r="156" spans="1:17">
      <c r="A156" s="23"/>
      <c r="B156" s="24"/>
      <c r="C156" s="25"/>
      <c r="D156" s="25"/>
      <c r="E156" s="25"/>
      <c r="F156" s="25"/>
      <c r="G156" s="24"/>
      <c r="H156" s="25"/>
      <c r="I156" s="32"/>
      <c r="J156" s="25"/>
      <c r="K156" s="24"/>
      <c r="L156" s="25"/>
      <c r="M156" s="25"/>
      <c r="N156" s="25"/>
      <c r="O156" s="25"/>
      <c r="P156" s="25" t="str">
        <f>IF(AND(A156="",B156="",H156=""),"",IF(OR(A156="",B156="",C156="",E156="",F156="",H156="",AND(A156="client",COUNTIF(الزبائن!$A$6:$A$505,B156)=0),AND(A156="proposed_name",COUNTIF('أسماء مقترحة'!$A$6:$A$505,B156)=0)),"REVIEW","READY"))</f>
        <v/>
      </c>
      <c r="Q156" s="27" t="str">
        <f>IF(P156="","",IF(P156="READY","",TRIM(IF(A156="","missing entity_type; ","")&amp;IF(B156="","missing entity_key; ","")&amp;IF(C156="","missing referrer_order; ","")&amp;IF(E156="","missing referrer_type; ","")&amp;IF(F156="","missing referral_origin_channel; ","")&amp;IF(H156="","missing referrer_name_snapshot; ","")&amp;IF(AND(A156="client",COUNTIF(الزبائن!$A$6:$A$505,B156)=0),"client key not found; ","")&amp;IF(AND(A156="proposed_name",COUNTIF('أسماء مقترحة'!$A$6:$A$505,B156)=0),"proposed_name key not found; ",""))))</f>
        <v/>
      </c>
    </row>
    <row r="157" spans="1:17">
      <c r="A157" s="23"/>
      <c r="B157" s="24"/>
      <c r="C157" s="25"/>
      <c r="D157" s="25"/>
      <c r="E157" s="25"/>
      <c r="F157" s="25"/>
      <c r="G157" s="24"/>
      <c r="H157" s="25"/>
      <c r="I157" s="32"/>
      <c r="J157" s="25"/>
      <c r="K157" s="24"/>
      <c r="L157" s="25"/>
      <c r="M157" s="25"/>
      <c r="N157" s="25"/>
      <c r="O157" s="25"/>
      <c r="P157" s="25" t="str">
        <f>IF(AND(A157="",B157="",H157=""),"",IF(OR(A157="",B157="",C157="",E157="",F157="",H157="",AND(A157="client",COUNTIF(الزبائن!$A$6:$A$505,B157)=0),AND(A157="proposed_name",COUNTIF('أسماء مقترحة'!$A$6:$A$505,B157)=0)),"REVIEW","READY"))</f>
        <v/>
      </c>
      <c r="Q157" s="27" t="str">
        <f>IF(P157="","",IF(P157="READY","",TRIM(IF(A157="","missing entity_type; ","")&amp;IF(B157="","missing entity_key; ","")&amp;IF(C157="","missing referrer_order; ","")&amp;IF(E157="","missing referrer_type; ","")&amp;IF(F157="","missing referral_origin_channel; ","")&amp;IF(H157="","missing referrer_name_snapshot; ","")&amp;IF(AND(A157="client",COUNTIF(الزبائن!$A$6:$A$505,B157)=0),"client key not found; ","")&amp;IF(AND(A157="proposed_name",COUNTIF('أسماء مقترحة'!$A$6:$A$505,B157)=0),"proposed_name key not found; ",""))))</f>
        <v/>
      </c>
    </row>
    <row r="158" spans="1:17">
      <c r="A158" s="23"/>
      <c r="B158" s="24"/>
      <c r="C158" s="25"/>
      <c r="D158" s="25"/>
      <c r="E158" s="25"/>
      <c r="F158" s="25"/>
      <c r="G158" s="24"/>
      <c r="H158" s="25"/>
      <c r="I158" s="32"/>
      <c r="J158" s="25"/>
      <c r="K158" s="24"/>
      <c r="L158" s="25"/>
      <c r="M158" s="25"/>
      <c r="N158" s="25"/>
      <c r="O158" s="25"/>
      <c r="P158" s="25" t="str">
        <f>IF(AND(A158="",B158="",H158=""),"",IF(OR(A158="",B158="",C158="",E158="",F158="",H158="",AND(A158="client",COUNTIF(الزبائن!$A$6:$A$505,B158)=0),AND(A158="proposed_name",COUNTIF('أسماء مقترحة'!$A$6:$A$505,B158)=0)),"REVIEW","READY"))</f>
        <v/>
      </c>
      <c r="Q158" s="27" t="str">
        <f>IF(P158="","",IF(P158="READY","",TRIM(IF(A158="","missing entity_type; ","")&amp;IF(B158="","missing entity_key; ","")&amp;IF(C158="","missing referrer_order; ","")&amp;IF(E158="","missing referrer_type; ","")&amp;IF(F158="","missing referral_origin_channel; ","")&amp;IF(H158="","missing referrer_name_snapshot; ","")&amp;IF(AND(A158="client",COUNTIF(الزبائن!$A$6:$A$505,B158)=0),"client key not found; ","")&amp;IF(AND(A158="proposed_name",COUNTIF('أسماء مقترحة'!$A$6:$A$505,B158)=0),"proposed_name key not found; ",""))))</f>
        <v/>
      </c>
    </row>
    <row r="159" spans="1:17">
      <c r="A159" s="23"/>
      <c r="B159" s="24"/>
      <c r="C159" s="25"/>
      <c r="D159" s="25"/>
      <c r="E159" s="25"/>
      <c r="F159" s="25"/>
      <c r="G159" s="24"/>
      <c r="H159" s="25"/>
      <c r="I159" s="32"/>
      <c r="J159" s="25"/>
      <c r="K159" s="24"/>
      <c r="L159" s="25"/>
      <c r="M159" s="25"/>
      <c r="N159" s="25"/>
      <c r="O159" s="25"/>
      <c r="P159" s="25" t="str">
        <f>IF(AND(A159="",B159="",H159=""),"",IF(OR(A159="",B159="",C159="",E159="",F159="",H159="",AND(A159="client",COUNTIF(الزبائن!$A$6:$A$505,B159)=0),AND(A159="proposed_name",COUNTIF('أسماء مقترحة'!$A$6:$A$505,B159)=0)),"REVIEW","READY"))</f>
        <v/>
      </c>
      <c r="Q159" s="27" t="str">
        <f>IF(P159="","",IF(P159="READY","",TRIM(IF(A159="","missing entity_type; ","")&amp;IF(B159="","missing entity_key; ","")&amp;IF(C159="","missing referrer_order; ","")&amp;IF(E159="","missing referrer_type; ","")&amp;IF(F159="","missing referral_origin_channel; ","")&amp;IF(H159="","missing referrer_name_snapshot; ","")&amp;IF(AND(A159="client",COUNTIF(الزبائن!$A$6:$A$505,B159)=0),"client key not found; ","")&amp;IF(AND(A159="proposed_name",COUNTIF('أسماء مقترحة'!$A$6:$A$505,B159)=0),"proposed_name key not found; ",""))))</f>
        <v/>
      </c>
    </row>
    <row r="160" spans="1:17">
      <c r="A160" s="23"/>
      <c r="B160" s="24"/>
      <c r="C160" s="25"/>
      <c r="D160" s="25"/>
      <c r="E160" s="25"/>
      <c r="F160" s="25"/>
      <c r="G160" s="24"/>
      <c r="H160" s="25"/>
      <c r="I160" s="32"/>
      <c r="J160" s="25"/>
      <c r="K160" s="24"/>
      <c r="L160" s="25"/>
      <c r="M160" s="25"/>
      <c r="N160" s="25"/>
      <c r="O160" s="25"/>
      <c r="P160" s="25" t="str">
        <f>IF(AND(A160="",B160="",H160=""),"",IF(OR(A160="",B160="",C160="",E160="",F160="",H160="",AND(A160="client",COUNTIF(الزبائن!$A$6:$A$505,B160)=0),AND(A160="proposed_name",COUNTIF('أسماء مقترحة'!$A$6:$A$505,B160)=0)),"REVIEW","READY"))</f>
        <v/>
      </c>
      <c r="Q160" s="27" t="str">
        <f>IF(P160="","",IF(P160="READY","",TRIM(IF(A160="","missing entity_type; ","")&amp;IF(B160="","missing entity_key; ","")&amp;IF(C160="","missing referrer_order; ","")&amp;IF(E160="","missing referrer_type; ","")&amp;IF(F160="","missing referral_origin_channel; ","")&amp;IF(H160="","missing referrer_name_snapshot; ","")&amp;IF(AND(A160="client",COUNTIF(الزبائن!$A$6:$A$505,B160)=0),"client key not found; ","")&amp;IF(AND(A160="proposed_name",COUNTIF('أسماء مقترحة'!$A$6:$A$505,B160)=0),"proposed_name key not found; ",""))))</f>
        <v/>
      </c>
    </row>
    <row r="161" spans="1:17">
      <c r="A161" s="23"/>
      <c r="B161" s="24"/>
      <c r="C161" s="25"/>
      <c r="D161" s="25"/>
      <c r="E161" s="25"/>
      <c r="F161" s="25"/>
      <c r="G161" s="24"/>
      <c r="H161" s="25"/>
      <c r="I161" s="32"/>
      <c r="J161" s="25"/>
      <c r="K161" s="24"/>
      <c r="L161" s="25"/>
      <c r="M161" s="25"/>
      <c r="N161" s="25"/>
      <c r="O161" s="25"/>
      <c r="P161" s="25" t="str">
        <f>IF(AND(A161="",B161="",H161=""),"",IF(OR(A161="",B161="",C161="",E161="",F161="",H161="",AND(A161="client",COUNTIF(الزبائن!$A$6:$A$505,B161)=0),AND(A161="proposed_name",COUNTIF('أسماء مقترحة'!$A$6:$A$505,B161)=0)),"REVIEW","READY"))</f>
        <v/>
      </c>
      <c r="Q161" s="27" t="str">
        <f>IF(P161="","",IF(P161="READY","",TRIM(IF(A161="","missing entity_type; ","")&amp;IF(B161="","missing entity_key; ","")&amp;IF(C161="","missing referrer_order; ","")&amp;IF(E161="","missing referrer_type; ","")&amp;IF(F161="","missing referral_origin_channel; ","")&amp;IF(H161="","missing referrer_name_snapshot; ","")&amp;IF(AND(A161="client",COUNTIF(الزبائن!$A$6:$A$505,B161)=0),"client key not found; ","")&amp;IF(AND(A161="proposed_name",COUNTIF('أسماء مقترحة'!$A$6:$A$505,B161)=0),"proposed_name key not found; ",""))))</f>
        <v/>
      </c>
    </row>
    <row r="162" spans="1:17">
      <c r="A162" s="23"/>
      <c r="B162" s="24"/>
      <c r="C162" s="25"/>
      <c r="D162" s="25"/>
      <c r="E162" s="25"/>
      <c r="F162" s="25"/>
      <c r="G162" s="24"/>
      <c r="H162" s="25"/>
      <c r="I162" s="32"/>
      <c r="J162" s="25"/>
      <c r="K162" s="24"/>
      <c r="L162" s="25"/>
      <c r="M162" s="25"/>
      <c r="N162" s="25"/>
      <c r="O162" s="25"/>
      <c r="P162" s="25" t="str">
        <f>IF(AND(A162="",B162="",H162=""),"",IF(OR(A162="",B162="",C162="",E162="",F162="",H162="",AND(A162="client",COUNTIF(الزبائن!$A$6:$A$505,B162)=0),AND(A162="proposed_name",COUNTIF('أسماء مقترحة'!$A$6:$A$505,B162)=0)),"REVIEW","READY"))</f>
        <v/>
      </c>
      <c r="Q162" s="27" t="str">
        <f>IF(P162="","",IF(P162="READY","",TRIM(IF(A162="","missing entity_type; ","")&amp;IF(B162="","missing entity_key; ","")&amp;IF(C162="","missing referrer_order; ","")&amp;IF(E162="","missing referrer_type; ","")&amp;IF(F162="","missing referral_origin_channel; ","")&amp;IF(H162="","missing referrer_name_snapshot; ","")&amp;IF(AND(A162="client",COUNTIF(الزبائن!$A$6:$A$505,B162)=0),"client key not found; ","")&amp;IF(AND(A162="proposed_name",COUNTIF('أسماء مقترحة'!$A$6:$A$505,B162)=0),"proposed_name key not found; ",""))))</f>
        <v/>
      </c>
    </row>
    <row r="163" spans="1:17">
      <c r="A163" s="23"/>
      <c r="B163" s="24"/>
      <c r="C163" s="25"/>
      <c r="D163" s="25"/>
      <c r="E163" s="25"/>
      <c r="F163" s="25"/>
      <c r="G163" s="24"/>
      <c r="H163" s="25"/>
      <c r="I163" s="32"/>
      <c r="J163" s="25"/>
      <c r="K163" s="24"/>
      <c r="L163" s="25"/>
      <c r="M163" s="25"/>
      <c r="N163" s="25"/>
      <c r="O163" s="25"/>
      <c r="P163" s="25" t="str">
        <f>IF(AND(A163="",B163="",H163=""),"",IF(OR(A163="",B163="",C163="",E163="",F163="",H163="",AND(A163="client",COUNTIF(الزبائن!$A$6:$A$505,B163)=0),AND(A163="proposed_name",COUNTIF('أسماء مقترحة'!$A$6:$A$505,B163)=0)),"REVIEW","READY"))</f>
        <v/>
      </c>
      <c r="Q163" s="27" t="str">
        <f>IF(P163="","",IF(P163="READY","",TRIM(IF(A163="","missing entity_type; ","")&amp;IF(B163="","missing entity_key; ","")&amp;IF(C163="","missing referrer_order; ","")&amp;IF(E163="","missing referrer_type; ","")&amp;IF(F163="","missing referral_origin_channel; ","")&amp;IF(H163="","missing referrer_name_snapshot; ","")&amp;IF(AND(A163="client",COUNTIF(الزبائن!$A$6:$A$505,B163)=0),"client key not found; ","")&amp;IF(AND(A163="proposed_name",COUNTIF('أسماء مقترحة'!$A$6:$A$505,B163)=0),"proposed_name key not found; ",""))))</f>
        <v/>
      </c>
    </row>
    <row r="164" spans="1:17">
      <c r="A164" s="23"/>
      <c r="B164" s="24"/>
      <c r="C164" s="25"/>
      <c r="D164" s="25"/>
      <c r="E164" s="25"/>
      <c r="F164" s="25"/>
      <c r="G164" s="24"/>
      <c r="H164" s="25"/>
      <c r="I164" s="32"/>
      <c r="J164" s="25"/>
      <c r="K164" s="24"/>
      <c r="L164" s="25"/>
      <c r="M164" s="25"/>
      <c r="N164" s="25"/>
      <c r="O164" s="25"/>
      <c r="P164" s="25" t="str">
        <f>IF(AND(A164="",B164="",H164=""),"",IF(OR(A164="",B164="",C164="",E164="",F164="",H164="",AND(A164="client",COUNTIF(الزبائن!$A$6:$A$505,B164)=0),AND(A164="proposed_name",COUNTIF('أسماء مقترحة'!$A$6:$A$505,B164)=0)),"REVIEW","READY"))</f>
        <v/>
      </c>
      <c r="Q164" s="27" t="str">
        <f>IF(P164="","",IF(P164="READY","",TRIM(IF(A164="","missing entity_type; ","")&amp;IF(B164="","missing entity_key; ","")&amp;IF(C164="","missing referrer_order; ","")&amp;IF(E164="","missing referrer_type; ","")&amp;IF(F164="","missing referral_origin_channel; ","")&amp;IF(H164="","missing referrer_name_snapshot; ","")&amp;IF(AND(A164="client",COUNTIF(الزبائن!$A$6:$A$505,B164)=0),"client key not found; ","")&amp;IF(AND(A164="proposed_name",COUNTIF('أسماء مقترحة'!$A$6:$A$505,B164)=0),"proposed_name key not found; ",""))))</f>
        <v/>
      </c>
    </row>
    <row r="165" spans="1:17">
      <c r="A165" s="23"/>
      <c r="B165" s="24"/>
      <c r="C165" s="25"/>
      <c r="D165" s="25"/>
      <c r="E165" s="25"/>
      <c r="F165" s="25"/>
      <c r="G165" s="24"/>
      <c r="H165" s="25"/>
      <c r="I165" s="32"/>
      <c r="J165" s="25"/>
      <c r="K165" s="24"/>
      <c r="L165" s="25"/>
      <c r="M165" s="25"/>
      <c r="N165" s="25"/>
      <c r="O165" s="25"/>
      <c r="P165" s="25" t="str">
        <f>IF(AND(A165="",B165="",H165=""),"",IF(OR(A165="",B165="",C165="",E165="",F165="",H165="",AND(A165="client",COUNTIF(الزبائن!$A$6:$A$505,B165)=0),AND(A165="proposed_name",COUNTIF('أسماء مقترحة'!$A$6:$A$505,B165)=0)),"REVIEW","READY"))</f>
        <v/>
      </c>
      <c r="Q165" s="27" t="str">
        <f>IF(P165="","",IF(P165="READY","",TRIM(IF(A165="","missing entity_type; ","")&amp;IF(B165="","missing entity_key; ","")&amp;IF(C165="","missing referrer_order; ","")&amp;IF(E165="","missing referrer_type; ","")&amp;IF(F165="","missing referral_origin_channel; ","")&amp;IF(H165="","missing referrer_name_snapshot; ","")&amp;IF(AND(A165="client",COUNTIF(الزبائن!$A$6:$A$505,B165)=0),"client key not found; ","")&amp;IF(AND(A165="proposed_name",COUNTIF('أسماء مقترحة'!$A$6:$A$505,B165)=0),"proposed_name key not found; ",""))))</f>
        <v/>
      </c>
    </row>
    <row r="166" spans="1:17">
      <c r="A166" s="23"/>
      <c r="B166" s="24"/>
      <c r="C166" s="25"/>
      <c r="D166" s="25"/>
      <c r="E166" s="25"/>
      <c r="F166" s="25"/>
      <c r="G166" s="24"/>
      <c r="H166" s="25"/>
      <c r="I166" s="32"/>
      <c r="J166" s="25"/>
      <c r="K166" s="24"/>
      <c r="L166" s="25"/>
      <c r="M166" s="25"/>
      <c r="N166" s="25"/>
      <c r="O166" s="25"/>
      <c r="P166" s="25" t="str">
        <f>IF(AND(A166="",B166="",H166=""),"",IF(OR(A166="",B166="",C166="",E166="",F166="",H166="",AND(A166="client",COUNTIF(الزبائن!$A$6:$A$505,B166)=0),AND(A166="proposed_name",COUNTIF('أسماء مقترحة'!$A$6:$A$505,B166)=0)),"REVIEW","READY"))</f>
        <v/>
      </c>
      <c r="Q166" s="27" t="str">
        <f>IF(P166="","",IF(P166="READY","",TRIM(IF(A166="","missing entity_type; ","")&amp;IF(B166="","missing entity_key; ","")&amp;IF(C166="","missing referrer_order; ","")&amp;IF(E166="","missing referrer_type; ","")&amp;IF(F166="","missing referral_origin_channel; ","")&amp;IF(H166="","missing referrer_name_snapshot; ","")&amp;IF(AND(A166="client",COUNTIF(الزبائن!$A$6:$A$505,B166)=0),"client key not found; ","")&amp;IF(AND(A166="proposed_name",COUNTIF('أسماء مقترحة'!$A$6:$A$505,B166)=0),"proposed_name key not found; ",""))))</f>
        <v/>
      </c>
    </row>
    <row r="167" spans="1:17">
      <c r="A167" s="23"/>
      <c r="B167" s="24"/>
      <c r="C167" s="25"/>
      <c r="D167" s="25"/>
      <c r="E167" s="25"/>
      <c r="F167" s="25"/>
      <c r="G167" s="24"/>
      <c r="H167" s="25"/>
      <c r="I167" s="32"/>
      <c r="J167" s="25"/>
      <c r="K167" s="24"/>
      <c r="L167" s="25"/>
      <c r="M167" s="25"/>
      <c r="N167" s="25"/>
      <c r="O167" s="25"/>
      <c r="P167" s="25" t="str">
        <f>IF(AND(A167="",B167="",H167=""),"",IF(OR(A167="",B167="",C167="",E167="",F167="",H167="",AND(A167="client",COUNTIF(الزبائن!$A$6:$A$505,B167)=0),AND(A167="proposed_name",COUNTIF('أسماء مقترحة'!$A$6:$A$505,B167)=0)),"REVIEW","READY"))</f>
        <v/>
      </c>
      <c r="Q167" s="27" t="str">
        <f>IF(P167="","",IF(P167="READY","",TRIM(IF(A167="","missing entity_type; ","")&amp;IF(B167="","missing entity_key; ","")&amp;IF(C167="","missing referrer_order; ","")&amp;IF(E167="","missing referrer_type; ","")&amp;IF(F167="","missing referral_origin_channel; ","")&amp;IF(H167="","missing referrer_name_snapshot; ","")&amp;IF(AND(A167="client",COUNTIF(الزبائن!$A$6:$A$505,B167)=0),"client key not found; ","")&amp;IF(AND(A167="proposed_name",COUNTIF('أسماء مقترحة'!$A$6:$A$505,B167)=0),"proposed_name key not found; ",""))))</f>
        <v/>
      </c>
    </row>
    <row r="168" spans="1:17">
      <c r="A168" s="23"/>
      <c r="B168" s="24"/>
      <c r="C168" s="25"/>
      <c r="D168" s="25"/>
      <c r="E168" s="25"/>
      <c r="F168" s="25"/>
      <c r="G168" s="24"/>
      <c r="H168" s="25"/>
      <c r="I168" s="32"/>
      <c r="J168" s="25"/>
      <c r="K168" s="24"/>
      <c r="L168" s="25"/>
      <c r="M168" s="25"/>
      <c r="N168" s="25"/>
      <c r="O168" s="25"/>
      <c r="P168" s="25" t="str">
        <f>IF(AND(A168="",B168="",H168=""),"",IF(OR(A168="",B168="",C168="",E168="",F168="",H168="",AND(A168="client",COUNTIF(الزبائن!$A$6:$A$505,B168)=0),AND(A168="proposed_name",COUNTIF('أسماء مقترحة'!$A$6:$A$505,B168)=0)),"REVIEW","READY"))</f>
        <v/>
      </c>
      <c r="Q168" s="27" t="str">
        <f>IF(P168="","",IF(P168="READY","",TRIM(IF(A168="","missing entity_type; ","")&amp;IF(B168="","missing entity_key; ","")&amp;IF(C168="","missing referrer_order; ","")&amp;IF(E168="","missing referrer_type; ","")&amp;IF(F168="","missing referral_origin_channel; ","")&amp;IF(H168="","missing referrer_name_snapshot; ","")&amp;IF(AND(A168="client",COUNTIF(الزبائن!$A$6:$A$505,B168)=0),"client key not found; ","")&amp;IF(AND(A168="proposed_name",COUNTIF('أسماء مقترحة'!$A$6:$A$505,B168)=0),"proposed_name key not found; ",""))))</f>
        <v/>
      </c>
    </row>
    <row r="169" spans="1:17">
      <c r="A169" s="23"/>
      <c r="B169" s="24"/>
      <c r="C169" s="25"/>
      <c r="D169" s="25"/>
      <c r="E169" s="25"/>
      <c r="F169" s="25"/>
      <c r="G169" s="24"/>
      <c r="H169" s="25"/>
      <c r="I169" s="32"/>
      <c r="J169" s="25"/>
      <c r="K169" s="24"/>
      <c r="L169" s="25"/>
      <c r="M169" s="25"/>
      <c r="N169" s="25"/>
      <c r="O169" s="25"/>
      <c r="P169" s="25" t="str">
        <f>IF(AND(A169="",B169="",H169=""),"",IF(OR(A169="",B169="",C169="",E169="",F169="",H169="",AND(A169="client",COUNTIF(الزبائن!$A$6:$A$505,B169)=0),AND(A169="proposed_name",COUNTIF('أسماء مقترحة'!$A$6:$A$505,B169)=0)),"REVIEW","READY"))</f>
        <v/>
      </c>
      <c r="Q169" s="27" t="str">
        <f>IF(P169="","",IF(P169="READY","",TRIM(IF(A169="","missing entity_type; ","")&amp;IF(B169="","missing entity_key; ","")&amp;IF(C169="","missing referrer_order; ","")&amp;IF(E169="","missing referrer_type; ","")&amp;IF(F169="","missing referral_origin_channel; ","")&amp;IF(H169="","missing referrer_name_snapshot; ","")&amp;IF(AND(A169="client",COUNTIF(الزبائن!$A$6:$A$505,B169)=0),"client key not found; ","")&amp;IF(AND(A169="proposed_name",COUNTIF('أسماء مقترحة'!$A$6:$A$505,B169)=0),"proposed_name key not found; ",""))))</f>
        <v/>
      </c>
    </row>
    <row r="170" spans="1:17">
      <c r="A170" s="23"/>
      <c r="B170" s="24"/>
      <c r="C170" s="25"/>
      <c r="D170" s="25"/>
      <c r="E170" s="25"/>
      <c r="F170" s="25"/>
      <c r="G170" s="24"/>
      <c r="H170" s="25"/>
      <c r="I170" s="32"/>
      <c r="J170" s="25"/>
      <c r="K170" s="24"/>
      <c r="L170" s="25"/>
      <c r="M170" s="25"/>
      <c r="N170" s="25"/>
      <c r="O170" s="25"/>
      <c r="P170" s="25" t="str">
        <f>IF(AND(A170="",B170="",H170=""),"",IF(OR(A170="",B170="",C170="",E170="",F170="",H170="",AND(A170="client",COUNTIF(الزبائن!$A$6:$A$505,B170)=0),AND(A170="proposed_name",COUNTIF('أسماء مقترحة'!$A$6:$A$505,B170)=0)),"REVIEW","READY"))</f>
        <v/>
      </c>
      <c r="Q170" s="27" t="str">
        <f>IF(P170="","",IF(P170="READY","",TRIM(IF(A170="","missing entity_type; ","")&amp;IF(B170="","missing entity_key; ","")&amp;IF(C170="","missing referrer_order; ","")&amp;IF(E170="","missing referrer_type; ","")&amp;IF(F170="","missing referral_origin_channel; ","")&amp;IF(H170="","missing referrer_name_snapshot; ","")&amp;IF(AND(A170="client",COUNTIF(الزبائن!$A$6:$A$505,B170)=0),"client key not found; ","")&amp;IF(AND(A170="proposed_name",COUNTIF('أسماء مقترحة'!$A$6:$A$505,B170)=0),"proposed_name key not found; ",""))))</f>
        <v/>
      </c>
    </row>
    <row r="171" spans="1:17">
      <c r="A171" s="23"/>
      <c r="B171" s="24"/>
      <c r="C171" s="25"/>
      <c r="D171" s="25"/>
      <c r="E171" s="25"/>
      <c r="F171" s="25"/>
      <c r="G171" s="24"/>
      <c r="H171" s="25"/>
      <c r="I171" s="32"/>
      <c r="J171" s="25"/>
      <c r="K171" s="24"/>
      <c r="L171" s="25"/>
      <c r="M171" s="25"/>
      <c r="N171" s="25"/>
      <c r="O171" s="25"/>
      <c r="P171" s="25" t="str">
        <f>IF(AND(A171="",B171="",H171=""),"",IF(OR(A171="",B171="",C171="",E171="",F171="",H171="",AND(A171="client",COUNTIF(الزبائن!$A$6:$A$505,B171)=0),AND(A171="proposed_name",COUNTIF('أسماء مقترحة'!$A$6:$A$505,B171)=0)),"REVIEW","READY"))</f>
        <v/>
      </c>
      <c r="Q171" s="27" t="str">
        <f>IF(P171="","",IF(P171="READY","",TRIM(IF(A171="","missing entity_type; ","")&amp;IF(B171="","missing entity_key; ","")&amp;IF(C171="","missing referrer_order; ","")&amp;IF(E171="","missing referrer_type; ","")&amp;IF(F171="","missing referral_origin_channel; ","")&amp;IF(H171="","missing referrer_name_snapshot; ","")&amp;IF(AND(A171="client",COUNTIF(الزبائن!$A$6:$A$505,B171)=0),"client key not found; ","")&amp;IF(AND(A171="proposed_name",COUNTIF('أسماء مقترحة'!$A$6:$A$505,B171)=0),"proposed_name key not found; ",""))))</f>
        <v/>
      </c>
    </row>
    <row r="172" spans="1:17">
      <c r="A172" s="23"/>
      <c r="B172" s="24"/>
      <c r="C172" s="25"/>
      <c r="D172" s="25"/>
      <c r="E172" s="25"/>
      <c r="F172" s="25"/>
      <c r="G172" s="24"/>
      <c r="H172" s="25"/>
      <c r="I172" s="32"/>
      <c r="J172" s="25"/>
      <c r="K172" s="24"/>
      <c r="L172" s="25"/>
      <c r="M172" s="25"/>
      <c r="N172" s="25"/>
      <c r="O172" s="25"/>
      <c r="P172" s="25" t="str">
        <f>IF(AND(A172="",B172="",H172=""),"",IF(OR(A172="",B172="",C172="",E172="",F172="",H172="",AND(A172="client",COUNTIF(الزبائن!$A$6:$A$505,B172)=0),AND(A172="proposed_name",COUNTIF('أسماء مقترحة'!$A$6:$A$505,B172)=0)),"REVIEW","READY"))</f>
        <v/>
      </c>
      <c r="Q172" s="27" t="str">
        <f>IF(P172="","",IF(P172="READY","",TRIM(IF(A172="","missing entity_type; ","")&amp;IF(B172="","missing entity_key; ","")&amp;IF(C172="","missing referrer_order; ","")&amp;IF(E172="","missing referrer_type; ","")&amp;IF(F172="","missing referral_origin_channel; ","")&amp;IF(H172="","missing referrer_name_snapshot; ","")&amp;IF(AND(A172="client",COUNTIF(الزبائن!$A$6:$A$505,B172)=0),"client key not found; ","")&amp;IF(AND(A172="proposed_name",COUNTIF('أسماء مقترحة'!$A$6:$A$505,B172)=0),"proposed_name key not found; ",""))))</f>
        <v/>
      </c>
    </row>
    <row r="173" spans="1:17">
      <c r="A173" s="23"/>
      <c r="B173" s="24"/>
      <c r="C173" s="25"/>
      <c r="D173" s="25"/>
      <c r="E173" s="25"/>
      <c r="F173" s="25"/>
      <c r="G173" s="24"/>
      <c r="H173" s="25"/>
      <c r="I173" s="32"/>
      <c r="J173" s="25"/>
      <c r="K173" s="24"/>
      <c r="L173" s="25"/>
      <c r="M173" s="25"/>
      <c r="N173" s="25"/>
      <c r="O173" s="25"/>
      <c r="P173" s="25" t="str">
        <f>IF(AND(A173="",B173="",H173=""),"",IF(OR(A173="",B173="",C173="",E173="",F173="",H173="",AND(A173="client",COUNTIF(الزبائن!$A$6:$A$505,B173)=0),AND(A173="proposed_name",COUNTIF('أسماء مقترحة'!$A$6:$A$505,B173)=0)),"REVIEW","READY"))</f>
        <v/>
      </c>
      <c r="Q173" s="27" t="str">
        <f>IF(P173="","",IF(P173="READY","",TRIM(IF(A173="","missing entity_type; ","")&amp;IF(B173="","missing entity_key; ","")&amp;IF(C173="","missing referrer_order; ","")&amp;IF(E173="","missing referrer_type; ","")&amp;IF(F173="","missing referral_origin_channel; ","")&amp;IF(H173="","missing referrer_name_snapshot; ","")&amp;IF(AND(A173="client",COUNTIF(الزبائن!$A$6:$A$505,B173)=0),"client key not found; ","")&amp;IF(AND(A173="proposed_name",COUNTIF('أسماء مقترحة'!$A$6:$A$505,B173)=0),"proposed_name key not found; ",""))))</f>
        <v/>
      </c>
    </row>
    <row r="174" spans="1:17">
      <c r="A174" s="23"/>
      <c r="B174" s="24"/>
      <c r="C174" s="25"/>
      <c r="D174" s="25"/>
      <c r="E174" s="25"/>
      <c r="F174" s="25"/>
      <c r="G174" s="24"/>
      <c r="H174" s="25"/>
      <c r="I174" s="32"/>
      <c r="J174" s="25"/>
      <c r="K174" s="24"/>
      <c r="L174" s="25"/>
      <c r="M174" s="25"/>
      <c r="N174" s="25"/>
      <c r="O174" s="25"/>
      <c r="P174" s="25" t="str">
        <f>IF(AND(A174="",B174="",H174=""),"",IF(OR(A174="",B174="",C174="",E174="",F174="",H174="",AND(A174="client",COUNTIF(الزبائن!$A$6:$A$505,B174)=0),AND(A174="proposed_name",COUNTIF('أسماء مقترحة'!$A$6:$A$505,B174)=0)),"REVIEW","READY"))</f>
        <v/>
      </c>
      <c r="Q174" s="27" t="str">
        <f>IF(P174="","",IF(P174="READY","",TRIM(IF(A174="","missing entity_type; ","")&amp;IF(B174="","missing entity_key; ","")&amp;IF(C174="","missing referrer_order; ","")&amp;IF(E174="","missing referrer_type; ","")&amp;IF(F174="","missing referral_origin_channel; ","")&amp;IF(H174="","missing referrer_name_snapshot; ","")&amp;IF(AND(A174="client",COUNTIF(الزبائن!$A$6:$A$505,B174)=0),"client key not found; ","")&amp;IF(AND(A174="proposed_name",COUNTIF('أسماء مقترحة'!$A$6:$A$505,B174)=0),"proposed_name key not found; ",""))))</f>
        <v/>
      </c>
    </row>
    <row r="175" spans="1:17">
      <c r="A175" s="23"/>
      <c r="B175" s="24"/>
      <c r="C175" s="25"/>
      <c r="D175" s="25"/>
      <c r="E175" s="25"/>
      <c r="F175" s="25"/>
      <c r="G175" s="24"/>
      <c r="H175" s="25"/>
      <c r="I175" s="32"/>
      <c r="J175" s="25"/>
      <c r="K175" s="24"/>
      <c r="L175" s="25"/>
      <c r="M175" s="25"/>
      <c r="N175" s="25"/>
      <c r="O175" s="25"/>
      <c r="P175" s="25" t="str">
        <f>IF(AND(A175="",B175="",H175=""),"",IF(OR(A175="",B175="",C175="",E175="",F175="",H175="",AND(A175="client",COUNTIF(الزبائن!$A$6:$A$505,B175)=0),AND(A175="proposed_name",COUNTIF('أسماء مقترحة'!$A$6:$A$505,B175)=0)),"REVIEW","READY"))</f>
        <v/>
      </c>
      <c r="Q175" s="27" t="str">
        <f>IF(P175="","",IF(P175="READY","",TRIM(IF(A175="","missing entity_type; ","")&amp;IF(B175="","missing entity_key; ","")&amp;IF(C175="","missing referrer_order; ","")&amp;IF(E175="","missing referrer_type; ","")&amp;IF(F175="","missing referral_origin_channel; ","")&amp;IF(H175="","missing referrer_name_snapshot; ","")&amp;IF(AND(A175="client",COUNTIF(الزبائن!$A$6:$A$505,B175)=0),"client key not found; ","")&amp;IF(AND(A175="proposed_name",COUNTIF('أسماء مقترحة'!$A$6:$A$505,B175)=0),"proposed_name key not found; ",""))))</f>
        <v/>
      </c>
    </row>
    <row r="176" spans="1:17">
      <c r="A176" s="23"/>
      <c r="B176" s="24"/>
      <c r="C176" s="25"/>
      <c r="D176" s="25"/>
      <c r="E176" s="25"/>
      <c r="F176" s="25"/>
      <c r="G176" s="24"/>
      <c r="H176" s="25"/>
      <c r="I176" s="32"/>
      <c r="J176" s="25"/>
      <c r="K176" s="24"/>
      <c r="L176" s="25"/>
      <c r="M176" s="25"/>
      <c r="N176" s="25"/>
      <c r="O176" s="25"/>
      <c r="P176" s="25" t="str">
        <f>IF(AND(A176="",B176="",H176=""),"",IF(OR(A176="",B176="",C176="",E176="",F176="",H176="",AND(A176="client",COUNTIF(الزبائن!$A$6:$A$505,B176)=0),AND(A176="proposed_name",COUNTIF('أسماء مقترحة'!$A$6:$A$505,B176)=0)),"REVIEW","READY"))</f>
        <v/>
      </c>
      <c r="Q176" s="27" t="str">
        <f>IF(P176="","",IF(P176="READY","",TRIM(IF(A176="","missing entity_type; ","")&amp;IF(B176="","missing entity_key; ","")&amp;IF(C176="","missing referrer_order; ","")&amp;IF(E176="","missing referrer_type; ","")&amp;IF(F176="","missing referral_origin_channel; ","")&amp;IF(H176="","missing referrer_name_snapshot; ","")&amp;IF(AND(A176="client",COUNTIF(الزبائن!$A$6:$A$505,B176)=0),"client key not found; ","")&amp;IF(AND(A176="proposed_name",COUNTIF('أسماء مقترحة'!$A$6:$A$505,B176)=0),"proposed_name key not found; ",""))))</f>
        <v/>
      </c>
    </row>
    <row r="177" spans="1:17">
      <c r="A177" s="23"/>
      <c r="B177" s="24"/>
      <c r="C177" s="25"/>
      <c r="D177" s="25"/>
      <c r="E177" s="25"/>
      <c r="F177" s="25"/>
      <c r="G177" s="24"/>
      <c r="H177" s="25"/>
      <c r="I177" s="32"/>
      <c r="J177" s="25"/>
      <c r="K177" s="24"/>
      <c r="L177" s="25"/>
      <c r="M177" s="25"/>
      <c r="N177" s="25"/>
      <c r="O177" s="25"/>
      <c r="P177" s="25" t="str">
        <f>IF(AND(A177="",B177="",H177=""),"",IF(OR(A177="",B177="",C177="",E177="",F177="",H177="",AND(A177="client",COUNTIF(الزبائن!$A$6:$A$505,B177)=0),AND(A177="proposed_name",COUNTIF('أسماء مقترحة'!$A$6:$A$505,B177)=0)),"REVIEW","READY"))</f>
        <v/>
      </c>
      <c r="Q177" s="27" t="str">
        <f>IF(P177="","",IF(P177="READY","",TRIM(IF(A177="","missing entity_type; ","")&amp;IF(B177="","missing entity_key; ","")&amp;IF(C177="","missing referrer_order; ","")&amp;IF(E177="","missing referrer_type; ","")&amp;IF(F177="","missing referral_origin_channel; ","")&amp;IF(H177="","missing referrer_name_snapshot; ","")&amp;IF(AND(A177="client",COUNTIF(الزبائن!$A$6:$A$505,B177)=0),"client key not found; ","")&amp;IF(AND(A177="proposed_name",COUNTIF('أسماء مقترحة'!$A$6:$A$505,B177)=0),"proposed_name key not found; ",""))))</f>
        <v/>
      </c>
    </row>
    <row r="178" spans="1:17">
      <c r="A178" s="23"/>
      <c r="B178" s="24"/>
      <c r="C178" s="25"/>
      <c r="D178" s="25"/>
      <c r="E178" s="25"/>
      <c r="F178" s="25"/>
      <c r="G178" s="24"/>
      <c r="H178" s="25"/>
      <c r="I178" s="32"/>
      <c r="J178" s="25"/>
      <c r="K178" s="24"/>
      <c r="L178" s="25"/>
      <c r="M178" s="25"/>
      <c r="N178" s="25"/>
      <c r="O178" s="25"/>
      <c r="P178" s="25" t="str">
        <f>IF(AND(A178="",B178="",H178=""),"",IF(OR(A178="",B178="",C178="",E178="",F178="",H178="",AND(A178="client",COUNTIF(الزبائن!$A$6:$A$505,B178)=0),AND(A178="proposed_name",COUNTIF('أسماء مقترحة'!$A$6:$A$505,B178)=0)),"REVIEW","READY"))</f>
        <v/>
      </c>
      <c r="Q178" s="27" t="str">
        <f>IF(P178="","",IF(P178="READY","",TRIM(IF(A178="","missing entity_type; ","")&amp;IF(B178="","missing entity_key; ","")&amp;IF(C178="","missing referrer_order; ","")&amp;IF(E178="","missing referrer_type; ","")&amp;IF(F178="","missing referral_origin_channel; ","")&amp;IF(H178="","missing referrer_name_snapshot; ","")&amp;IF(AND(A178="client",COUNTIF(الزبائن!$A$6:$A$505,B178)=0),"client key not found; ","")&amp;IF(AND(A178="proposed_name",COUNTIF('أسماء مقترحة'!$A$6:$A$505,B178)=0),"proposed_name key not found; ",""))))</f>
        <v/>
      </c>
    </row>
    <row r="179" spans="1:17">
      <c r="A179" s="23"/>
      <c r="B179" s="24"/>
      <c r="C179" s="25"/>
      <c r="D179" s="25"/>
      <c r="E179" s="25"/>
      <c r="F179" s="25"/>
      <c r="G179" s="24"/>
      <c r="H179" s="25"/>
      <c r="I179" s="32"/>
      <c r="J179" s="25"/>
      <c r="K179" s="24"/>
      <c r="L179" s="25"/>
      <c r="M179" s="25"/>
      <c r="N179" s="25"/>
      <c r="O179" s="25"/>
      <c r="P179" s="25" t="str">
        <f>IF(AND(A179="",B179="",H179=""),"",IF(OR(A179="",B179="",C179="",E179="",F179="",H179="",AND(A179="client",COUNTIF(الزبائن!$A$6:$A$505,B179)=0),AND(A179="proposed_name",COUNTIF('أسماء مقترحة'!$A$6:$A$505,B179)=0)),"REVIEW","READY"))</f>
        <v/>
      </c>
      <c r="Q179" s="27" t="str">
        <f>IF(P179="","",IF(P179="READY","",TRIM(IF(A179="","missing entity_type; ","")&amp;IF(B179="","missing entity_key; ","")&amp;IF(C179="","missing referrer_order; ","")&amp;IF(E179="","missing referrer_type; ","")&amp;IF(F179="","missing referral_origin_channel; ","")&amp;IF(H179="","missing referrer_name_snapshot; ","")&amp;IF(AND(A179="client",COUNTIF(الزبائن!$A$6:$A$505,B179)=0),"client key not found; ","")&amp;IF(AND(A179="proposed_name",COUNTIF('أسماء مقترحة'!$A$6:$A$505,B179)=0),"proposed_name key not found; ",""))))</f>
        <v/>
      </c>
    </row>
    <row r="180" spans="1:17">
      <c r="A180" s="23"/>
      <c r="B180" s="24"/>
      <c r="C180" s="25"/>
      <c r="D180" s="25"/>
      <c r="E180" s="25"/>
      <c r="F180" s="25"/>
      <c r="G180" s="24"/>
      <c r="H180" s="25"/>
      <c r="I180" s="32"/>
      <c r="J180" s="25"/>
      <c r="K180" s="24"/>
      <c r="L180" s="25"/>
      <c r="M180" s="25"/>
      <c r="N180" s="25"/>
      <c r="O180" s="25"/>
      <c r="P180" s="25" t="str">
        <f>IF(AND(A180="",B180="",H180=""),"",IF(OR(A180="",B180="",C180="",E180="",F180="",H180="",AND(A180="client",COUNTIF(الزبائن!$A$6:$A$505,B180)=0),AND(A180="proposed_name",COUNTIF('أسماء مقترحة'!$A$6:$A$505,B180)=0)),"REVIEW","READY"))</f>
        <v/>
      </c>
      <c r="Q180" s="27" t="str">
        <f>IF(P180="","",IF(P180="READY","",TRIM(IF(A180="","missing entity_type; ","")&amp;IF(B180="","missing entity_key; ","")&amp;IF(C180="","missing referrer_order; ","")&amp;IF(E180="","missing referrer_type; ","")&amp;IF(F180="","missing referral_origin_channel; ","")&amp;IF(H180="","missing referrer_name_snapshot; ","")&amp;IF(AND(A180="client",COUNTIF(الزبائن!$A$6:$A$505,B180)=0),"client key not found; ","")&amp;IF(AND(A180="proposed_name",COUNTIF('أسماء مقترحة'!$A$6:$A$505,B180)=0),"proposed_name key not found; ",""))))</f>
        <v/>
      </c>
    </row>
    <row r="181" spans="1:17">
      <c r="A181" s="23"/>
      <c r="B181" s="24"/>
      <c r="C181" s="25"/>
      <c r="D181" s="25"/>
      <c r="E181" s="25"/>
      <c r="F181" s="25"/>
      <c r="G181" s="24"/>
      <c r="H181" s="25"/>
      <c r="I181" s="32"/>
      <c r="J181" s="25"/>
      <c r="K181" s="24"/>
      <c r="L181" s="25"/>
      <c r="M181" s="25"/>
      <c r="N181" s="25"/>
      <c r="O181" s="25"/>
      <c r="P181" s="25" t="str">
        <f>IF(AND(A181="",B181="",H181=""),"",IF(OR(A181="",B181="",C181="",E181="",F181="",H181="",AND(A181="client",COUNTIF(الزبائن!$A$6:$A$505,B181)=0),AND(A181="proposed_name",COUNTIF('أسماء مقترحة'!$A$6:$A$505,B181)=0)),"REVIEW","READY"))</f>
        <v/>
      </c>
      <c r="Q181" s="27" t="str">
        <f>IF(P181="","",IF(P181="READY","",TRIM(IF(A181="","missing entity_type; ","")&amp;IF(B181="","missing entity_key; ","")&amp;IF(C181="","missing referrer_order; ","")&amp;IF(E181="","missing referrer_type; ","")&amp;IF(F181="","missing referral_origin_channel; ","")&amp;IF(H181="","missing referrer_name_snapshot; ","")&amp;IF(AND(A181="client",COUNTIF(الزبائن!$A$6:$A$505,B181)=0),"client key not found; ","")&amp;IF(AND(A181="proposed_name",COUNTIF('أسماء مقترحة'!$A$6:$A$505,B181)=0),"proposed_name key not found; ",""))))</f>
        <v/>
      </c>
    </row>
    <row r="182" spans="1:17">
      <c r="A182" s="23"/>
      <c r="B182" s="24"/>
      <c r="C182" s="25"/>
      <c r="D182" s="25"/>
      <c r="E182" s="25"/>
      <c r="F182" s="25"/>
      <c r="G182" s="24"/>
      <c r="H182" s="25"/>
      <c r="I182" s="32"/>
      <c r="J182" s="25"/>
      <c r="K182" s="24"/>
      <c r="L182" s="25"/>
      <c r="M182" s="25"/>
      <c r="N182" s="25"/>
      <c r="O182" s="25"/>
      <c r="P182" s="25" t="str">
        <f>IF(AND(A182="",B182="",H182=""),"",IF(OR(A182="",B182="",C182="",E182="",F182="",H182="",AND(A182="client",COUNTIF(الزبائن!$A$6:$A$505,B182)=0),AND(A182="proposed_name",COUNTIF('أسماء مقترحة'!$A$6:$A$505,B182)=0)),"REVIEW","READY"))</f>
        <v/>
      </c>
      <c r="Q182" s="27" t="str">
        <f>IF(P182="","",IF(P182="READY","",TRIM(IF(A182="","missing entity_type; ","")&amp;IF(B182="","missing entity_key; ","")&amp;IF(C182="","missing referrer_order; ","")&amp;IF(E182="","missing referrer_type; ","")&amp;IF(F182="","missing referral_origin_channel; ","")&amp;IF(H182="","missing referrer_name_snapshot; ","")&amp;IF(AND(A182="client",COUNTIF(الزبائن!$A$6:$A$505,B182)=0),"client key not found; ","")&amp;IF(AND(A182="proposed_name",COUNTIF('أسماء مقترحة'!$A$6:$A$505,B182)=0),"proposed_name key not found; ",""))))</f>
        <v/>
      </c>
    </row>
    <row r="183" spans="1:17">
      <c r="A183" s="23"/>
      <c r="B183" s="24"/>
      <c r="C183" s="25"/>
      <c r="D183" s="25"/>
      <c r="E183" s="25"/>
      <c r="F183" s="25"/>
      <c r="G183" s="24"/>
      <c r="H183" s="25"/>
      <c r="I183" s="32"/>
      <c r="J183" s="25"/>
      <c r="K183" s="24"/>
      <c r="L183" s="25"/>
      <c r="M183" s="25"/>
      <c r="N183" s="25"/>
      <c r="O183" s="25"/>
      <c r="P183" s="25" t="str">
        <f>IF(AND(A183="",B183="",H183=""),"",IF(OR(A183="",B183="",C183="",E183="",F183="",H183="",AND(A183="client",COUNTIF(الزبائن!$A$6:$A$505,B183)=0),AND(A183="proposed_name",COUNTIF('أسماء مقترحة'!$A$6:$A$505,B183)=0)),"REVIEW","READY"))</f>
        <v/>
      </c>
      <c r="Q183" s="27" t="str">
        <f>IF(P183="","",IF(P183="READY","",TRIM(IF(A183="","missing entity_type; ","")&amp;IF(B183="","missing entity_key; ","")&amp;IF(C183="","missing referrer_order; ","")&amp;IF(E183="","missing referrer_type; ","")&amp;IF(F183="","missing referral_origin_channel; ","")&amp;IF(H183="","missing referrer_name_snapshot; ","")&amp;IF(AND(A183="client",COUNTIF(الزبائن!$A$6:$A$505,B183)=0),"client key not found; ","")&amp;IF(AND(A183="proposed_name",COUNTIF('أسماء مقترحة'!$A$6:$A$505,B183)=0),"proposed_name key not found; ",""))))</f>
        <v/>
      </c>
    </row>
    <row r="184" spans="1:17">
      <c r="A184" s="23"/>
      <c r="B184" s="24"/>
      <c r="C184" s="25"/>
      <c r="D184" s="25"/>
      <c r="E184" s="25"/>
      <c r="F184" s="25"/>
      <c r="G184" s="24"/>
      <c r="H184" s="25"/>
      <c r="I184" s="32"/>
      <c r="J184" s="25"/>
      <c r="K184" s="24"/>
      <c r="L184" s="25"/>
      <c r="M184" s="25"/>
      <c r="N184" s="25"/>
      <c r="O184" s="25"/>
      <c r="P184" s="25" t="str">
        <f>IF(AND(A184="",B184="",H184=""),"",IF(OR(A184="",B184="",C184="",E184="",F184="",H184="",AND(A184="client",COUNTIF(الزبائن!$A$6:$A$505,B184)=0),AND(A184="proposed_name",COUNTIF('أسماء مقترحة'!$A$6:$A$505,B184)=0)),"REVIEW","READY"))</f>
        <v/>
      </c>
      <c r="Q184" s="27" t="str">
        <f>IF(P184="","",IF(P184="READY","",TRIM(IF(A184="","missing entity_type; ","")&amp;IF(B184="","missing entity_key; ","")&amp;IF(C184="","missing referrer_order; ","")&amp;IF(E184="","missing referrer_type; ","")&amp;IF(F184="","missing referral_origin_channel; ","")&amp;IF(H184="","missing referrer_name_snapshot; ","")&amp;IF(AND(A184="client",COUNTIF(الزبائن!$A$6:$A$505,B184)=0),"client key not found; ","")&amp;IF(AND(A184="proposed_name",COUNTIF('أسماء مقترحة'!$A$6:$A$505,B184)=0),"proposed_name key not found; ",""))))</f>
        <v/>
      </c>
    </row>
    <row r="185" spans="1:17">
      <c r="A185" s="23"/>
      <c r="B185" s="24"/>
      <c r="C185" s="25"/>
      <c r="D185" s="25"/>
      <c r="E185" s="25"/>
      <c r="F185" s="25"/>
      <c r="G185" s="24"/>
      <c r="H185" s="25"/>
      <c r="I185" s="32"/>
      <c r="J185" s="25"/>
      <c r="K185" s="24"/>
      <c r="L185" s="25"/>
      <c r="M185" s="25"/>
      <c r="N185" s="25"/>
      <c r="O185" s="25"/>
      <c r="P185" s="25" t="str">
        <f>IF(AND(A185="",B185="",H185=""),"",IF(OR(A185="",B185="",C185="",E185="",F185="",H185="",AND(A185="client",COUNTIF(الزبائن!$A$6:$A$505,B185)=0),AND(A185="proposed_name",COUNTIF('أسماء مقترحة'!$A$6:$A$505,B185)=0)),"REVIEW","READY"))</f>
        <v/>
      </c>
      <c r="Q185" s="27" t="str">
        <f>IF(P185="","",IF(P185="READY","",TRIM(IF(A185="","missing entity_type; ","")&amp;IF(B185="","missing entity_key; ","")&amp;IF(C185="","missing referrer_order; ","")&amp;IF(E185="","missing referrer_type; ","")&amp;IF(F185="","missing referral_origin_channel; ","")&amp;IF(H185="","missing referrer_name_snapshot; ","")&amp;IF(AND(A185="client",COUNTIF(الزبائن!$A$6:$A$505,B185)=0),"client key not found; ","")&amp;IF(AND(A185="proposed_name",COUNTIF('أسماء مقترحة'!$A$6:$A$505,B185)=0),"proposed_name key not found; ",""))))</f>
        <v/>
      </c>
    </row>
    <row r="186" spans="1:17">
      <c r="A186" s="23"/>
      <c r="B186" s="24"/>
      <c r="C186" s="25"/>
      <c r="D186" s="25"/>
      <c r="E186" s="25"/>
      <c r="F186" s="25"/>
      <c r="G186" s="24"/>
      <c r="H186" s="25"/>
      <c r="I186" s="32"/>
      <c r="J186" s="25"/>
      <c r="K186" s="24"/>
      <c r="L186" s="25"/>
      <c r="M186" s="25"/>
      <c r="N186" s="25"/>
      <c r="O186" s="25"/>
      <c r="P186" s="25" t="str">
        <f>IF(AND(A186="",B186="",H186=""),"",IF(OR(A186="",B186="",C186="",E186="",F186="",H186="",AND(A186="client",COUNTIF(الزبائن!$A$6:$A$505,B186)=0),AND(A186="proposed_name",COUNTIF('أسماء مقترحة'!$A$6:$A$505,B186)=0)),"REVIEW","READY"))</f>
        <v/>
      </c>
      <c r="Q186" s="27" t="str">
        <f>IF(P186="","",IF(P186="READY","",TRIM(IF(A186="","missing entity_type; ","")&amp;IF(B186="","missing entity_key; ","")&amp;IF(C186="","missing referrer_order; ","")&amp;IF(E186="","missing referrer_type; ","")&amp;IF(F186="","missing referral_origin_channel; ","")&amp;IF(H186="","missing referrer_name_snapshot; ","")&amp;IF(AND(A186="client",COUNTIF(الزبائن!$A$6:$A$505,B186)=0),"client key not found; ","")&amp;IF(AND(A186="proposed_name",COUNTIF('أسماء مقترحة'!$A$6:$A$505,B186)=0),"proposed_name key not found; ",""))))</f>
        <v/>
      </c>
    </row>
    <row r="187" spans="1:17">
      <c r="A187" s="23"/>
      <c r="B187" s="24"/>
      <c r="C187" s="25"/>
      <c r="D187" s="25"/>
      <c r="E187" s="25"/>
      <c r="F187" s="25"/>
      <c r="G187" s="24"/>
      <c r="H187" s="25"/>
      <c r="I187" s="32"/>
      <c r="J187" s="25"/>
      <c r="K187" s="24"/>
      <c r="L187" s="25"/>
      <c r="M187" s="25"/>
      <c r="N187" s="25"/>
      <c r="O187" s="25"/>
      <c r="P187" s="25" t="str">
        <f>IF(AND(A187="",B187="",H187=""),"",IF(OR(A187="",B187="",C187="",E187="",F187="",H187="",AND(A187="client",COUNTIF(الزبائن!$A$6:$A$505,B187)=0),AND(A187="proposed_name",COUNTIF('أسماء مقترحة'!$A$6:$A$505,B187)=0)),"REVIEW","READY"))</f>
        <v/>
      </c>
      <c r="Q187" s="27" t="str">
        <f>IF(P187="","",IF(P187="READY","",TRIM(IF(A187="","missing entity_type; ","")&amp;IF(B187="","missing entity_key; ","")&amp;IF(C187="","missing referrer_order; ","")&amp;IF(E187="","missing referrer_type; ","")&amp;IF(F187="","missing referral_origin_channel; ","")&amp;IF(H187="","missing referrer_name_snapshot; ","")&amp;IF(AND(A187="client",COUNTIF(الزبائن!$A$6:$A$505,B187)=0),"client key not found; ","")&amp;IF(AND(A187="proposed_name",COUNTIF('أسماء مقترحة'!$A$6:$A$505,B187)=0),"proposed_name key not found; ",""))))</f>
        <v/>
      </c>
    </row>
    <row r="188" spans="1:17">
      <c r="A188" s="23"/>
      <c r="B188" s="24"/>
      <c r="C188" s="25"/>
      <c r="D188" s="25"/>
      <c r="E188" s="25"/>
      <c r="F188" s="25"/>
      <c r="G188" s="24"/>
      <c r="H188" s="25"/>
      <c r="I188" s="32"/>
      <c r="J188" s="25"/>
      <c r="K188" s="24"/>
      <c r="L188" s="25"/>
      <c r="M188" s="25"/>
      <c r="N188" s="25"/>
      <c r="O188" s="25"/>
      <c r="P188" s="25" t="str">
        <f>IF(AND(A188="",B188="",H188=""),"",IF(OR(A188="",B188="",C188="",E188="",F188="",H188="",AND(A188="client",COUNTIF(الزبائن!$A$6:$A$505,B188)=0),AND(A188="proposed_name",COUNTIF('أسماء مقترحة'!$A$6:$A$505,B188)=0)),"REVIEW","READY"))</f>
        <v/>
      </c>
      <c r="Q188" s="27" t="str">
        <f>IF(P188="","",IF(P188="READY","",TRIM(IF(A188="","missing entity_type; ","")&amp;IF(B188="","missing entity_key; ","")&amp;IF(C188="","missing referrer_order; ","")&amp;IF(E188="","missing referrer_type; ","")&amp;IF(F188="","missing referral_origin_channel; ","")&amp;IF(H188="","missing referrer_name_snapshot; ","")&amp;IF(AND(A188="client",COUNTIF(الزبائن!$A$6:$A$505,B188)=0),"client key not found; ","")&amp;IF(AND(A188="proposed_name",COUNTIF('أسماء مقترحة'!$A$6:$A$505,B188)=0),"proposed_name key not found; ",""))))</f>
        <v/>
      </c>
    </row>
    <row r="189" spans="1:17">
      <c r="A189" s="23"/>
      <c r="B189" s="24"/>
      <c r="C189" s="25"/>
      <c r="D189" s="25"/>
      <c r="E189" s="25"/>
      <c r="F189" s="25"/>
      <c r="G189" s="24"/>
      <c r="H189" s="25"/>
      <c r="I189" s="32"/>
      <c r="J189" s="25"/>
      <c r="K189" s="24"/>
      <c r="L189" s="25"/>
      <c r="M189" s="25"/>
      <c r="N189" s="25"/>
      <c r="O189" s="25"/>
      <c r="P189" s="25" t="str">
        <f>IF(AND(A189="",B189="",H189=""),"",IF(OR(A189="",B189="",C189="",E189="",F189="",H189="",AND(A189="client",COUNTIF(الزبائن!$A$6:$A$505,B189)=0),AND(A189="proposed_name",COUNTIF('أسماء مقترحة'!$A$6:$A$505,B189)=0)),"REVIEW","READY"))</f>
        <v/>
      </c>
      <c r="Q189" s="27" t="str">
        <f>IF(P189="","",IF(P189="READY","",TRIM(IF(A189="","missing entity_type; ","")&amp;IF(B189="","missing entity_key; ","")&amp;IF(C189="","missing referrer_order; ","")&amp;IF(E189="","missing referrer_type; ","")&amp;IF(F189="","missing referral_origin_channel; ","")&amp;IF(H189="","missing referrer_name_snapshot; ","")&amp;IF(AND(A189="client",COUNTIF(الزبائن!$A$6:$A$505,B189)=0),"client key not found; ","")&amp;IF(AND(A189="proposed_name",COUNTIF('أسماء مقترحة'!$A$6:$A$505,B189)=0),"proposed_name key not found; ",""))))</f>
        <v/>
      </c>
    </row>
    <row r="190" spans="1:17">
      <c r="A190" s="23"/>
      <c r="B190" s="24"/>
      <c r="C190" s="25"/>
      <c r="D190" s="25"/>
      <c r="E190" s="25"/>
      <c r="F190" s="25"/>
      <c r="G190" s="24"/>
      <c r="H190" s="25"/>
      <c r="I190" s="32"/>
      <c r="J190" s="25"/>
      <c r="K190" s="24"/>
      <c r="L190" s="25"/>
      <c r="M190" s="25"/>
      <c r="N190" s="25"/>
      <c r="O190" s="25"/>
      <c r="P190" s="25" t="str">
        <f>IF(AND(A190="",B190="",H190=""),"",IF(OR(A190="",B190="",C190="",E190="",F190="",H190="",AND(A190="client",COUNTIF(الزبائن!$A$6:$A$505,B190)=0),AND(A190="proposed_name",COUNTIF('أسماء مقترحة'!$A$6:$A$505,B190)=0)),"REVIEW","READY"))</f>
        <v/>
      </c>
      <c r="Q190" s="27" t="str">
        <f>IF(P190="","",IF(P190="READY","",TRIM(IF(A190="","missing entity_type; ","")&amp;IF(B190="","missing entity_key; ","")&amp;IF(C190="","missing referrer_order; ","")&amp;IF(E190="","missing referrer_type; ","")&amp;IF(F190="","missing referral_origin_channel; ","")&amp;IF(H190="","missing referrer_name_snapshot; ","")&amp;IF(AND(A190="client",COUNTIF(الزبائن!$A$6:$A$505,B190)=0),"client key not found; ","")&amp;IF(AND(A190="proposed_name",COUNTIF('أسماء مقترحة'!$A$6:$A$505,B190)=0),"proposed_name key not found; ",""))))</f>
        <v/>
      </c>
    </row>
    <row r="191" spans="1:17">
      <c r="A191" s="23"/>
      <c r="B191" s="24"/>
      <c r="C191" s="25"/>
      <c r="D191" s="25"/>
      <c r="E191" s="25"/>
      <c r="F191" s="25"/>
      <c r="G191" s="24"/>
      <c r="H191" s="25"/>
      <c r="I191" s="32"/>
      <c r="J191" s="25"/>
      <c r="K191" s="24"/>
      <c r="L191" s="25"/>
      <c r="M191" s="25"/>
      <c r="N191" s="25"/>
      <c r="O191" s="25"/>
      <c r="P191" s="25" t="str">
        <f>IF(AND(A191="",B191="",H191=""),"",IF(OR(A191="",B191="",C191="",E191="",F191="",H191="",AND(A191="client",COUNTIF(الزبائن!$A$6:$A$505,B191)=0),AND(A191="proposed_name",COUNTIF('أسماء مقترحة'!$A$6:$A$505,B191)=0)),"REVIEW","READY"))</f>
        <v/>
      </c>
      <c r="Q191" s="27" t="str">
        <f>IF(P191="","",IF(P191="READY","",TRIM(IF(A191="","missing entity_type; ","")&amp;IF(B191="","missing entity_key; ","")&amp;IF(C191="","missing referrer_order; ","")&amp;IF(E191="","missing referrer_type; ","")&amp;IF(F191="","missing referral_origin_channel; ","")&amp;IF(H191="","missing referrer_name_snapshot; ","")&amp;IF(AND(A191="client",COUNTIF(الزبائن!$A$6:$A$505,B191)=0),"client key not found; ","")&amp;IF(AND(A191="proposed_name",COUNTIF('أسماء مقترحة'!$A$6:$A$505,B191)=0),"proposed_name key not found; ",""))))</f>
        <v/>
      </c>
    </row>
    <row r="192" spans="1:17">
      <c r="A192" s="23"/>
      <c r="B192" s="24"/>
      <c r="C192" s="25"/>
      <c r="D192" s="25"/>
      <c r="E192" s="25"/>
      <c r="F192" s="25"/>
      <c r="G192" s="24"/>
      <c r="H192" s="25"/>
      <c r="I192" s="32"/>
      <c r="J192" s="25"/>
      <c r="K192" s="24"/>
      <c r="L192" s="25"/>
      <c r="M192" s="25"/>
      <c r="N192" s="25"/>
      <c r="O192" s="25"/>
      <c r="P192" s="25" t="str">
        <f>IF(AND(A192="",B192="",H192=""),"",IF(OR(A192="",B192="",C192="",E192="",F192="",H192="",AND(A192="client",COUNTIF(الزبائن!$A$6:$A$505,B192)=0),AND(A192="proposed_name",COUNTIF('أسماء مقترحة'!$A$6:$A$505,B192)=0)),"REVIEW","READY"))</f>
        <v/>
      </c>
      <c r="Q192" s="27" t="str">
        <f>IF(P192="","",IF(P192="READY","",TRIM(IF(A192="","missing entity_type; ","")&amp;IF(B192="","missing entity_key; ","")&amp;IF(C192="","missing referrer_order; ","")&amp;IF(E192="","missing referrer_type; ","")&amp;IF(F192="","missing referral_origin_channel; ","")&amp;IF(H192="","missing referrer_name_snapshot; ","")&amp;IF(AND(A192="client",COUNTIF(الزبائن!$A$6:$A$505,B192)=0),"client key not found; ","")&amp;IF(AND(A192="proposed_name",COUNTIF('أسماء مقترحة'!$A$6:$A$505,B192)=0),"proposed_name key not found; ",""))))</f>
        <v/>
      </c>
    </row>
    <row r="193" spans="1:17">
      <c r="A193" s="23"/>
      <c r="B193" s="24"/>
      <c r="C193" s="25"/>
      <c r="D193" s="25"/>
      <c r="E193" s="25"/>
      <c r="F193" s="25"/>
      <c r="G193" s="24"/>
      <c r="H193" s="25"/>
      <c r="I193" s="32"/>
      <c r="J193" s="25"/>
      <c r="K193" s="24"/>
      <c r="L193" s="25"/>
      <c r="M193" s="25"/>
      <c r="N193" s="25"/>
      <c r="O193" s="25"/>
      <c r="P193" s="25" t="str">
        <f>IF(AND(A193="",B193="",H193=""),"",IF(OR(A193="",B193="",C193="",E193="",F193="",H193="",AND(A193="client",COUNTIF(الزبائن!$A$6:$A$505,B193)=0),AND(A193="proposed_name",COUNTIF('أسماء مقترحة'!$A$6:$A$505,B193)=0)),"REVIEW","READY"))</f>
        <v/>
      </c>
      <c r="Q193" s="27" t="str">
        <f>IF(P193="","",IF(P193="READY","",TRIM(IF(A193="","missing entity_type; ","")&amp;IF(B193="","missing entity_key; ","")&amp;IF(C193="","missing referrer_order; ","")&amp;IF(E193="","missing referrer_type; ","")&amp;IF(F193="","missing referral_origin_channel; ","")&amp;IF(H193="","missing referrer_name_snapshot; ","")&amp;IF(AND(A193="client",COUNTIF(الزبائن!$A$6:$A$505,B193)=0),"client key not found; ","")&amp;IF(AND(A193="proposed_name",COUNTIF('أسماء مقترحة'!$A$6:$A$505,B193)=0),"proposed_name key not found; ",""))))</f>
        <v/>
      </c>
    </row>
    <row r="194" spans="1:17">
      <c r="A194" s="23"/>
      <c r="B194" s="24"/>
      <c r="C194" s="25"/>
      <c r="D194" s="25"/>
      <c r="E194" s="25"/>
      <c r="F194" s="25"/>
      <c r="G194" s="24"/>
      <c r="H194" s="25"/>
      <c r="I194" s="32"/>
      <c r="J194" s="25"/>
      <c r="K194" s="24"/>
      <c r="L194" s="25"/>
      <c r="M194" s="25"/>
      <c r="N194" s="25"/>
      <c r="O194" s="25"/>
      <c r="P194" s="25" t="str">
        <f>IF(AND(A194="",B194="",H194=""),"",IF(OR(A194="",B194="",C194="",E194="",F194="",H194="",AND(A194="client",COUNTIF(الزبائن!$A$6:$A$505,B194)=0),AND(A194="proposed_name",COUNTIF('أسماء مقترحة'!$A$6:$A$505,B194)=0)),"REVIEW","READY"))</f>
        <v/>
      </c>
      <c r="Q194" s="27" t="str">
        <f>IF(P194="","",IF(P194="READY","",TRIM(IF(A194="","missing entity_type; ","")&amp;IF(B194="","missing entity_key; ","")&amp;IF(C194="","missing referrer_order; ","")&amp;IF(E194="","missing referrer_type; ","")&amp;IF(F194="","missing referral_origin_channel; ","")&amp;IF(H194="","missing referrer_name_snapshot; ","")&amp;IF(AND(A194="client",COUNTIF(الزبائن!$A$6:$A$505,B194)=0),"client key not found; ","")&amp;IF(AND(A194="proposed_name",COUNTIF('أسماء مقترحة'!$A$6:$A$505,B194)=0),"proposed_name key not found; ",""))))</f>
        <v/>
      </c>
    </row>
    <row r="195" spans="1:17">
      <c r="A195" s="23"/>
      <c r="B195" s="24"/>
      <c r="C195" s="25"/>
      <c r="D195" s="25"/>
      <c r="E195" s="25"/>
      <c r="F195" s="25"/>
      <c r="G195" s="24"/>
      <c r="H195" s="25"/>
      <c r="I195" s="32"/>
      <c r="J195" s="25"/>
      <c r="K195" s="24"/>
      <c r="L195" s="25"/>
      <c r="M195" s="25"/>
      <c r="N195" s="25"/>
      <c r="O195" s="25"/>
      <c r="P195" s="25" t="str">
        <f>IF(AND(A195="",B195="",H195=""),"",IF(OR(A195="",B195="",C195="",E195="",F195="",H195="",AND(A195="client",COUNTIF(الزبائن!$A$6:$A$505,B195)=0),AND(A195="proposed_name",COUNTIF('أسماء مقترحة'!$A$6:$A$505,B195)=0)),"REVIEW","READY"))</f>
        <v/>
      </c>
      <c r="Q195" s="27" t="str">
        <f>IF(P195="","",IF(P195="READY","",TRIM(IF(A195="","missing entity_type; ","")&amp;IF(B195="","missing entity_key; ","")&amp;IF(C195="","missing referrer_order; ","")&amp;IF(E195="","missing referrer_type; ","")&amp;IF(F195="","missing referral_origin_channel; ","")&amp;IF(H195="","missing referrer_name_snapshot; ","")&amp;IF(AND(A195="client",COUNTIF(الزبائن!$A$6:$A$505,B195)=0),"client key not found; ","")&amp;IF(AND(A195="proposed_name",COUNTIF('أسماء مقترحة'!$A$6:$A$505,B195)=0),"proposed_name key not found; ",""))))</f>
        <v/>
      </c>
    </row>
    <row r="196" spans="1:17">
      <c r="A196" s="23"/>
      <c r="B196" s="24"/>
      <c r="C196" s="25"/>
      <c r="D196" s="25"/>
      <c r="E196" s="25"/>
      <c r="F196" s="25"/>
      <c r="G196" s="24"/>
      <c r="H196" s="25"/>
      <c r="I196" s="32"/>
      <c r="J196" s="25"/>
      <c r="K196" s="24"/>
      <c r="L196" s="25"/>
      <c r="M196" s="25"/>
      <c r="N196" s="25"/>
      <c r="O196" s="25"/>
      <c r="P196" s="25" t="str">
        <f>IF(AND(A196="",B196="",H196=""),"",IF(OR(A196="",B196="",C196="",E196="",F196="",H196="",AND(A196="client",COUNTIF(الزبائن!$A$6:$A$505,B196)=0),AND(A196="proposed_name",COUNTIF('أسماء مقترحة'!$A$6:$A$505,B196)=0)),"REVIEW","READY"))</f>
        <v/>
      </c>
      <c r="Q196" s="27" t="str">
        <f>IF(P196="","",IF(P196="READY","",TRIM(IF(A196="","missing entity_type; ","")&amp;IF(B196="","missing entity_key; ","")&amp;IF(C196="","missing referrer_order; ","")&amp;IF(E196="","missing referrer_type; ","")&amp;IF(F196="","missing referral_origin_channel; ","")&amp;IF(H196="","missing referrer_name_snapshot; ","")&amp;IF(AND(A196="client",COUNTIF(الزبائن!$A$6:$A$505,B196)=0),"client key not found; ","")&amp;IF(AND(A196="proposed_name",COUNTIF('أسماء مقترحة'!$A$6:$A$505,B196)=0),"proposed_name key not found; ",""))))</f>
        <v/>
      </c>
    </row>
    <row r="197" spans="1:17">
      <c r="A197" s="23"/>
      <c r="B197" s="24"/>
      <c r="C197" s="25"/>
      <c r="D197" s="25"/>
      <c r="E197" s="25"/>
      <c r="F197" s="25"/>
      <c r="G197" s="24"/>
      <c r="H197" s="25"/>
      <c r="I197" s="32"/>
      <c r="J197" s="25"/>
      <c r="K197" s="24"/>
      <c r="L197" s="25"/>
      <c r="M197" s="25"/>
      <c r="N197" s="25"/>
      <c r="O197" s="25"/>
      <c r="P197" s="25" t="str">
        <f>IF(AND(A197="",B197="",H197=""),"",IF(OR(A197="",B197="",C197="",E197="",F197="",H197="",AND(A197="client",COUNTIF(الزبائن!$A$6:$A$505,B197)=0),AND(A197="proposed_name",COUNTIF('أسماء مقترحة'!$A$6:$A$505,B197)=0)),"REVIEW","READY"))</f>
        <v/>
      </c>
      <c r="Q197" s="27" t="str">
        <f>IF(P197="","",IF(P197="READY","",TRIM(IF(A197="","missing entity_type; ","")&amp;IF(B197="","missing entity_key; ","")&amp;IF(C197="","missing referrer_order; ","")&amp;IF(E197="","missing referrer_type; ","")&amp;IF(F197="","missing referral_origin_channel; ","")&amp;IF(H197="","missing referrer_name_snapshot; ","")&amp;IF(AND(A197="client",COUNTIF(الزبائن!$A$6:$A$505,B197)=0),"client key not found; ","")&amp;IF(AND(A197="proposed_name",COUNTIF('أسماء مقترحة'!$A$6:$A$505,B197)=0),"proposed_name key not found; ",""))))</f>
        <v/>
      </c>
    </row>
    <row r="198" spans="1:17">
      <c r="A198" s="23"/>
      <c r="B198" s="24"/>
      <c r="C198" s="25"/>
      <c r="D198" s="25"/>
      <c r="E198" s="25"/>
      <c r="F198" s="25"/>
      <c r="G198" s="24"/>
      <c r="H198" s="25"/>
      <c r="I198" s="32"/>
      <c r="J198" s="25"/>
      <c r="K198" s="24"/>
      <c r="L198" s="25"/>
      <c r="M198" s="25"/>
      <c r="N198" s="25"/>
      <c r="O198" s="25"/>
      <c r="P198" s="25" t="str">
        <f>IF(AND(A198="",B198="",H198=""),"",IF(OR(A198="",B198="",C198="",E198="",F198="",H198="",AND(A198="client",COUNTIF(الزبائن!$A$6:$A$505,B198)=0),AND(A198="proposed_name",COUNTIF('أسماء مقترحة'!$A$6:$A$505,B198)=0)),"REVIEW","READY"))</f>
        <v/>
      </c>
      <c r="Q198" s="27" t="str">
        <f>IF(P198="","",IF(P198="READY","",TRIM(IF(A198="","missing entity_type; ","")&amp;IF(B198="","missing entity_key; ","")&amp;IF(C198="","missing referrer_order; ","")&amp;IF(E198="","missing referrer_type; ","")&amp;IF(F198="","missing referral_origin_channel; ","")&amp;IF(H198="","missing referrer_name_snapshot; ","")&amp;IF(AND(A198="client",COUNTIF(الزبائن!$A$6:$A$505,B198)=0),"client key not found; ","")&amp;IF(AND(A198="proposed_name",COUNTIF('أسماء مقترحة'!$A$6:$A$505,B198)=0),"proposed_name key not found; ",""))))</f>
        <v/>
      </c>
    </row>
    <row r="199" spans="1:17">
      <c r="A199" s="23"/>
      <c r="B199" s="24"/>
      <c r="C199" s="25"/>
      <c r="D199" s="25"/>
      <c r="E199" s="25"/>
      <c r="F199" s="25"/>
      <c r="G199" s="24"/>
      <c r="H199" s="25"/>
      <c r="I199" s="32"/>
      <c r="J199" s="25"/>
      <c r="K199" s="24"/>
      <c r="L199" s="25"/>
      <c r="M199" s="25"/>
      <c r="N199" s="25"/>
      <c r="O199" s="25"/>
      <c r="P199" s="25" t="str">
        <f>IF(AND(A199="",B199="",H199=""),"",IF(OR(A199="",B199="",C199="",E199="",F199="",H199="",AND(A199="client",COUNTIF(الزبائن!$A$6:$A$505,B199)=0),AND(A199="proposed_name",COUNTIF('أسماء مقترحة'!$A$6:$A$505,B199)=0)),"REVIEW","READY"))</f>
        <v/>
      </c>
      <c r="Q199" s="27" t="str">
        <f>IF(P199="","",IF(P199="READY","",TRIM(IF(A199="","missing entity_type; ","")&amp;IF(B199="","missing entity_key; ","")&amp;IF(C199="","missing referrer_order; ","")&amp;IF(E199="","missing referrer_type; ","")&amp;IF(F199="","missing referral_origin_channel; ","")&amp;IF(H199="","missing referrer_name_snapshot; ","")&amp;IF(AND(A199="client",COUNTIF(الزبائن!$A$6:$A$505,B199)=0),"client key not found; ","")&amp;IF(AND(A199="proposed_name",COUNTIF('أسماء مقترحة'!$A$6:$A$505,B199)=0),"proposed_name key not found; ",""))))</f>
        <v/>
      </c>
    </row>
    <row r="200" spans="1:17">
      <c r="A200" s="23"/>
      <c r="B200" s="24"/>
      <c r="C200" s="25"/>
      <c r="D200" s="25"/>
      <c r="E200" s="25"/>
      <c r="F200" s="25"/>
      <c r="G200" s="24"/>
      <c r="H200" s="25"/>
      <c r="I200" s="32"/>
      <c r="J200" s="25"/>
      <c r="K200" s="24"/>
      <c r="L200" s="25"/>
      <c r="M200" s="25"/>
      <c r="N200" s="25"/>
      <c r="O200" s="25"/>
      <c r="P200" s="25" t="str">
        <f>IF(AND(A200="",B200="",H200=""),"",IF(OR(A200="",B200="",C200="",E200="",F200="",H200="",AND(A200="client",COUNTIF(الزبائن!$A$6:$A$505,B200)=0),AND(A200="proposed_name",COUNTIF('أسماء مقترحة'!$A$6:$A$505,B200)=0)),"REVIEW","READY"))</f>
        <v/>
      </c>
      <c r="Q200" s="27" t="str">
        <f>IF(P200="","",IF(P200="READY","",TRIM(IF(A200="","missing entity_type; ","")&amp;IF(B200="","missing entity_key; ","")&amp;IF(C200="","missing referrer_order; ","")&amp;IF(E200="","missing referrer_type; ","")&amp;IF(F200="","missing referral_origin_channel; ","")&amp;IF(H200="","missing referrer_name_snapshot; ","")&amp;IF(AND(A200="client",COUNTIF(الزبائن!$A$6:$A$505,B200)=0),"client key not found; ","")&amp;IF(AND(A200="proposed_name",COUNTIF('أسماء مقترحة'!$A$6:$A$505,B200)=0),"proposed_name key not found; ",""))))</f>
        <v/>
      </c>
    </row>
    <row r="201" spans="1:17">
      <c r="A201" s="23"/>
      <c r="B201" s="24"/>
      <c r="C201" s="25"/>
      <c r="D201" s="25"/>
      <c r="E201" s="25"/>
      <c r="F201" s="25"/>
      <c r="G201" s="24"/>
      <c r="H201" s="25"/>
      <c r="I201" s="32"/>
      <c r="J201" s="25"/>
      <c r="K201" s="24"/>
      <c r="L201" s="25"/>
      <c r="M201" s="25"/>
      <c r="N201" s="25"/>
      <c r="O201" s="25"/>
      <c r="P201" s="25" t="str">
        <f>IF(AND(A201="",B201="",H201=""),"",IF(OR(A201="",B201="",C201="",E201="",F201="",H201="",AND(A201="client",COUNTIF(الزبائن!$A$6:$A$505,B201)=0),AND(A201="proposed_name",COUNTIF('أسماء مقترحة'!$A$6:$A$505,B201)=0)),"REVIEW","READY"))</f>
        <v/>
      </c>
      <c r="Q201" s="27" t="str">
        <f>IF(P201="","",IF(P201="READY","",TRIM(IF(A201="","missing entity_type; ","")&amp;IF(B201="","missing entity_key; ","")&amp;IF(C201="","missing referrer_order; ","")&amp;IF(E201="","missing referrer_type; ","")&amp;IF(F201="","missing referral_origin_channel; ","")&amp;IF(H201="","missing referrer_name_snapshot; ","")&amp;IF(AND(A201="client",COUNTIF(الزبائن!$A$6:$A$505,B201)=0),"client key not found; ","")&amp;IF(AND(A201="proposed_name",COUNTIF('أسماء مقترحة'!$A$6:$A$505,B201)=0),"proposed_name key not found; ",""))))</f>
        <v/>
      </c>
    </row>
    <row r="202" spans="1:17">
      <c r="A202" s="23"/>
      <c r="B202" s="24"/>
      <c r="C202" s="25"/>
      <c r="D202" s="25"/>
      <c r="E202" s="25"/>
      <c r="F202" s="25"/>
      <c r="G202" s="24"/>
      <c r="H202" s="25"/>
      <c r="I202" s="32"/>
      <c r="J202" s="25"/>
      <c r="K202" s="24"/>
      <c r="L202" s="25"/>
      <c r="M202" s="25"/>
      <c r="N202" s="25"/>
      <c r="O202" s="25"/>
      <c r="P202" s="25" t="str">
        <f>IF(AND(A202="",B202="",H202=""),"",IF(OR(A202="",B202="",C202="",E202="",F202="",H202="",AND(A202="client",COUNTIF(الزبائن!$A$6:$A$505,B202)=0),AND(A202="proposed_name",COUNTIF('أسماء مقترحة'!$A$6:$A$505,B202)=0)),"REVIEW","READY"))</f>
        <v/>
      </c>
      <c r="Q202" s="27" t="str">
        <f>IF(P202="","",IF(P202="READY","",TRIM(IF(A202="","missing entity_type; ","")&amp;IF(B202="","missing entity_key; ","")&amp;IF(C202="","missing referrer_order; ","")&amp;IF(E202="","missing referrer_type; ","")&amp;IF(F202="","missing referral_origin_channel; ","")&amp;IF(H202="","missing referrer_name_snapshot; ","")&amp;IF(AND(A202="client",COUNTIF(الزبائن!$A$6:$A$505,B202)=0),"client key not found; ","")&amp;IF(AND(A202="proposed_name",COUNTIF('أسماء مقترحة'!$A$6:$A$505,B202)=0),"proposed_name key not found; ",""))))</f>
        <v/>
      </c>
    </row>
    <row r="203" spans="1:17">
      <c r="A203" s="23"/>
      <c r="B203" s="24"/>
      <c r="C203" s="25"/>
      <c r="D203" s="25"/>
      <c r="E203" s="25"/>
      <c r="F203" s="25"/>
      <c r="G203" s="24"/>
      <c r="H203" s="25"/>
      <c r="I203" s="32"/>
      <c r="J203" s="25"/>
      <c r="K203" s="24"/>
      <c r="L203" s="25"/>
      <c r="M203" s="25"/>
      <c r="N203" s="25"/>
      <c r="O203" s="25"/>
      <c r="P203" s="25" t="str">
        <f>IF(AND(A203="",B203="",H203=""),"",IF(OR(A203="",B203="",C203="",E203="",F203="",H203="",AND(A203="client",COUNTIF(الزبائن!$A$6:$A$505,B203)=0),AND(A203="proposed_name",COUNTIF('أسماء مقترحة'!$A$6:$A$505,B203)=0)),"REVIEW","READY"))</f>
        <v/>
      </c>
      <c r="Q203" s="27" t="str">
        <f>IF(P203="","",IF(P203="READY","",TRIM(IF(A203="","missing entity_type; ","")&amp;IF(B203="","missing entity_key; ","")&amp;IF(C203="","missing referrer_order; ","")&amp;IF(E203="","missing referrer_type; ","")&amp;IF(F203="","missing referral_origin_channel; ","")&amp;IF(H203="","missing referrer_name_snapshot; ","")&amp;IF(AND(A203="client",COUNTIF(الزبائن!$A$6:$A$505,B203)=0),"client key not found; ","")&amp;IF(AND(A203="proposed_name",COUNTIF('أسماء مقترحة'!$A$6:$A$505,B203)=0),"proposed_name key not found; ",""))))</f>
        <v/>
      </c>
    </row>
    <row r="204" spans="1:17">
      <c r="A204" s="23"/>
      <c r="B204" s="24"/>
      <c r="C204" s="25"/>
      <c r="D204" s="25"/>
      <c r="E204" s="25"/>
      <c r="F204" s="25"/>
      <c r="G204" s="24"/>
      <c r="H204" s="25"/>
      <c r="I204" s="32"/>
      <c r="J204" s="25"/>
      <c r="K204" s="24"/>
      <c r="L204" s="25"/>
      <c r="M204" s="25"/>
      <c r="N204" s="25"/>
      <c r="O204" s="25"/>
      <c r="P204" s="25" t="str">
        <f>IF(AND(A204="",B204="",H204=""),"",IF(OR(A204="",B204="",C204="",E204="",F204="",H204="",AND(A204="client",COUNTIF(الزبائن!$A$6:$A$505,B204)=0),AND(A204="proposed_name",COUNTIF('أسماء مقترحة'!$A$6:$A$505,B204)=0)),"REVIEW","READY"))</f>
        <v/>
      </c>
      <c r="Q204" s="27" t="str">
        <f>IF(P204="","",IF(P204="READY","",TRIM(IF(A204="","missing entity_type; ","")&amp;IF(B204="","missing entity_key; ","")&amp;IF(C204="","missing referrer_order; ","")&amp;IF(E204="","missing referrer_type; ","")&amp;IF(F204="","missing referral_origin_channel; ","")&amp;IF(H204="","missing referrer_name_snapshot; ","")&amp;IF(AND(A204="client",COUNTIF(الزبائن!$A$6:$A$505,B204)=0),"client key not found; ","")&amp;IF(AND(A204="proposed_name",COUNTIF('أسماء مقترحة'!$A$6:$A$505,B204)=0),"proposed_name key not found; ",""))))</f>
        <v/>
      </c>
    </row>
    <row r="205" spans="1:17">
      <c r="A205" s="23"/>
      <c r="B205" s="24"/>
      <c r="C205" s="25"/>
      <c r="D205" s="25"/>
      <c r="E205" s="25"/>
      <c r="F205" s="25"/>
      <c r="G205" s="24"/>
      <c r="H205" s="25"/>
      <c r="I205" s="32"/>
      <c r="J205" s="25"/>
      <c r="K205" s="24"/>
      <c r="L205" s="25"/>
      <c r="M205" s="25"/>
      <c r="N205" s="25"/>
      <c r="O205" s="25"/>
      <c r="P205" s="25" t="str">
        <f>IF(AND(A205="",B205="",H205=""),"",IF(OR(A205="",B205="",C205="",E205="",F205="",H205="",AND(A205="client",COUNTIF(الزبائن!$A$6:$A$505,B205)=0),AND(A205="proposed_name",COUNTIF('أسماء مقترحة'!$A$6:$A$505,B205)=0)),"REVIEW","READY"))</f>
        <v/>
      </c>
      <c r="Q205" s="27" t="str">
        <f>IF(P205="","",IF(P205="READY","",TRIM(IF(A205="","missing entity_type; ","")&amp;IF(B205="","missing entity_key; ","")&amp;IF(C205="","missing referrer_order; ","")&amp;IF(E205="","missing referrer_type; ","")&amp;IF(F205="","missing referral_origin_channel; ","")&amp;IF(H205="","missing referrer_name_snapshot; ","")&amp;IF(AND(A205="client",COUNTIF(الزبائن!$A$6:$A$505,B205)=0),"client key not found; ","")&amp;IF(AND(A205="proposed_name",COUNTIF('أسماء مقترحة'!$A$6:$A$505,B205)=0),"proposed_name key not found; ",""))))</f>
        <v/>
      </c>
    </row>
    <row r="206" spans="1:17">
      <c r="A206" s="23"/>
      <c r="B206" s="24"/>
      <c r="C206" s="25"/>
      <c r="D206" s="25"/>
      <c r="E206" s="25"/>
      <c r="F206" s="25"/>
      <c r="G206" s="24"/>
      <c r="H206" s="25"/>
      <c r="I206" s="32"/>
      <c r="J206" s="25"/>
      <c r="K206" s="24"/>
      <c r="L206" s="25"/>
      <c r="M206" s="25"/>
      <c r="N206" s="25"/>
      <c r="O206" s="25"/>
      <c r="P206" s="25" t="str">
        <f>IF(AND(A206="",B206="",H206=""),"",IF(OR(A206="",B206="",C206="",E206="",F206="",H206="",AND(A206="client",COUNTIF(الزبائن!$A$6:$A$505,B206)=0),AND(A206="proposed_name",COUNTIF('أسماء مقترحة'!$A$6:$A$505,B206)=0)),"REVIEW","READY"))</f>
        <v/>
      </c>
      <c r="Q206" s="27" t="str">
        <f>IF(P206="","",IF(P206="READY","",TRIM(IF(A206="","missing entity_type; ","")&amp;IF(B206="","missing entity_key; ","")&amp;IF(C206="","missing referrer_order; ","")&amp;IF(E206="","missing referrer_type; ","")&amp;IF(F206="","missing referral_origin_channel; ","")&amp;IF(H206="","missing referrer_name_snapshot; ","")&amp;IF(AND(A206="client",COUNTIF(الزبائن!$A$6:$A$505,B206)=0),"client key not found; ","")&amp;IF(AND(A206="proposed_name",COUNTIF('أسماء مقترحة'!$A$6:$A$505,B206)=0),"proposed_name key not found; ",""))))</f>
        <v/>
      </c>
    </row>
    <row r="207" spans="1:17">
      <c r="A207" s="23"/>
      <c r="B207" s="24"/>
      <c r="C207" s="25"/>
      <c r="D207" s="25"/>
      <c r="E207" s="25"/>
      <c r="F207" s="25"/>
      <c r="G207" s="24"/>
      <c r="H207" s="25"/>
      <c r="I207" s="32"/>
      <c r="J207" s="25"/>
      <c r="K207" s="24"/>
      <c r="L207" s="25"/>
      <c r="M207" s="25"/>
      <c r="N207" s="25"/>
      <c r="O207" s="25"/>
      <c r="P207" s="25" t="str">
        <f>IF(AND(A207="",B207="",H207=""),"",IF(OR(A207="",B207="",C207="",E207="",F207="",H207="",AND(A207="client",COUNTIF(الزبائن!$A$6:$A$505,B207)=0),AND(A207="proposed_name",COUNTIF('أسماء مقترحة'!$A$6:$A$505,B207)=0)),"REVIEW","READY"))</f>
        <v/>
      </c>
      <c r="Q207" s="27" t="str">
        <f>IF(P207="","",IF(P207="READY","",TRIM(IF(A207="","missing entity_type; ","")&amp;IF(B207="","missing entity_key; ","")&amp;IF(C207="","missing referrer_order; ","")&amp;IF(E207="","missing referrer_type; ","")&amp;IF(F207="","missing referral_origin_channel; ","")&amp;IF(H207="","missing referrer_name_snapshot; ","")&amp;IF(AND(A207="client",COUNTIF(الزبائن!$A$6:$A$505,B207)=0),"client key not found; ","")&amp;IF(AND(A207="proposed_name",COUNTIF('أسماء مقترحة'!$A$6:$A$505,B207)=0),"proposed_name key not found; ",""))))</f>
        <v/>
      </c>
    </row>
    <row r="208" spans="1:17">
      <c r="A208" s="23"/>
      <c r="B208" s="24"/>
      <c r="C208" s="25"/>
      <c r="D208" s="25"/>
      <c r="E208" s="25"/>
      <c r="F208" s="25"/>
      <c r="G208" s="24"/>
      <c r="H208" s="25"/>
      <c r="I208" s="32"/>
      <c r="J208" s="25"/>
      <c r="K208" s="24"/>
      <c r="L208" s="25"/>
      <c r="M208" s="25"/>
      <c r="N208" s="25"/>
      <c r="O208" s="25"/>
      <c r="P208" s="25" t="str">
        <f>IF(AND(A208="",B208="",H208=""),"",IF(OR(A208="",B208="",C208="",E208="",F208="",H208="",AND(A208="client",COUNTIF(الزبائن!$A$6:$A$505,B208)=0),AND(A208="proposed_name",COUNTIF('أسماء مقترحة'!$A$6:$A$505,B208)=0)),"REVIEW","READY"))</f>
        <v/>
      </c>
      <c r="Q208" s="27" t="str">
        <f>IF(P208="","",IF(P208="READY","",TRIM(IF(A208="","missing entity_type; ","")&amp;IF(B208="","missing entity_key; ","")&amp;IF(C208="","missing referrer_order; ","")&amp;IF(E208="","missing referrer_type; ","")&amp;IF(F208="","missing referral_origin_channel; ","")&amp;IF(H208="","missing referrer_name_snapshot; ","")&amp;IF(AND(A208="client",COUNTIF(الزبائن!$A$6:$A$505,B208)=0),"client key not found; ","")&amp;IF(AND(A208="proposed_name",COUNTIF('أسماء مقترحة'!$A$6:$A$505,B208)=0),"proposed_name key not found; ",""))))</f>
        <v/>
      </c>
    </row>
    <row r="209" spans="1:17">
      <c r="A209" s="23"/>
      <c r="B209" s="24"/>
      <c r="C209" s="25"/>
      <c r="D209" s="25"/>
      <c r="E209" s="25"/>
      <c r="F209" s="25"/>
      <c r="G209" s="24"/>
      <c r="H209" s="25"/>
      <c r="I209" s="32"/>
      <c r="J209" s="25"/>
      <c r="K209" s="24"/>
      <c r="L209" s="25"/>
      <c r="M209" s="25"/>
      <c r="N209" s="25"/>
      <c r="O209" s="25"/>
      <c r="P209" s="25" t="str">
        <f>IF(AND(A209="",B209="",H209=""),"",IF(OR(A209="",B209="",C209="",E209="",F209="",H209="",AND(A209="client",COUNTIF(الزبائن!$A$6:$A$505,B209)=0),AND(A209="proposed_name",COUNTIF('أسماء مقترحة'!$A$6:$A$505,B209)=0)),"REVIEW","READY"))</f>
        <v/>
      </c>
      <c r="Q209" s="27" t="str">
        <f>IF(P209="","",IF(P209="READY","",TRIM(IF(A209="","missing entity_type; ","")&amp;IF(B209="","missing entity_key; ","")&amp;IF(C209="","missing referrer_order; ","")&amp;IF(E209="","missing referrer_type; ","")&amp;IF(F209="","missing referral_origin_channel; ","")&amp;IF(H209="","missing referrer_name_snapshot; ","")&amp;IF(AND(A209="client",COUNTIF(الزبائن!$A$6:$A$505,B209)=0),"client key not found; ","")&amp;IF(AND(A209="proposed_name",COUNTIF('أسماء مقترحة'!$A$6:$A$505,B209)=0),"proposed_name key not found; ",""))))</f>
        <v/>
      </c>
    </row>
    <row r="210" spans="1:17">
      <c r="A210" s="23"/>
      <c r="B210" s="24"/>
      <c r="C210" s="25"/>
      <c r="D210" s="25"/>
      <c r="E210" s="25"/>
      <c r="F210" s="25"/>
      <c r="G210" s="24"/>
      <c r="H210" s="25"/>
      <c r="I210" s="32"/>
      <c r="J210" s="25"/>
      <c r="K210" s="24"/>
      <c r="L210" s="25"/>
      <c r="M210" s="25"/>
      <c r="N210" s="25"/>
      <c r="O210" s="25"/>
      <c r="P210" s="25" t="str">
        <f>IF(AND(A210="",B210="",H210=""),"",IF(OR(A210="",B210="",C210="",E210="",F210="",H210="",AND(A210="client",COUNTIF(الزبائن!$A$6:$A$505,B210)=0),AND(A210="proposed_name",COUNTIF('أسماء مقترحة'!$A$6:$A$505,B210)=0)),"REVIEW","READY"))</f>
        <v/>
      </c>
      <c r="Q210" s="27" t="str">
        <f>IF(P210="","",IF(P210="READY","",TRIM(IF(A210="","missing entity_type; ","")&amp;IF(B210="","missing entity_key; ","")&amp;IF(C210="","missing referrer_order; ","")&amp;IF(E210="","missing referrer_type; ","")&amp;IF(F210="","missing referral_origin_channel; ","")&amp;IF(H210="","missing referrer_name_snapshot; ","")&amp;IF(AND(A210="client",COUNTIF(الزبائن!$A$6:$A$505,B210)=0),"client key not found; ","")&amp;IF(AND(A210="proposed_name",COUNTIF('أسماء مقترحة'!$A$6:$A$505,B210)=0),"proposed_name key not found; ",""))))</f>
        <v/>
      </c>
    </row>
    <row r="211" spans="1:17">
      <c r="A211" s="23"/>
      <c r="B211" s="24"/>
      <c r="C211" s="25"/>
      <c r="D211" s="25"/>
      <c r="E211" s="25"/>
      <c r="F211" s="25"/>
      <c r="G211" s="24"/>
      <c r="H211" s="25"/>
      <c r="I211" s="32"/>
      <c r="J211" s="25"/>
      <c r="K211" s="24"/>
      <c r="L211" s="25"/>
      <c r="M211" s="25"/>
      <c r="N211" s="25"/>
      <c r="O211" s="25"/>
      <c r="P211" s="25" t="str">
        <f>IF(AND(A211="",B211="",H211=""),"",IF(OR(A211="",B211="",C211="",E211="",F211="",H211="",AND(A211="client",COUNTIF(الزبائن!$A$6:$A$505,B211)=0),AND(A211="proposed_name",COUNTIF('أسماء مقترحة'!$A$6:$A$505,B211)=0)),"REVIEW","READY"))</f>
        <v/>
      </c>
      <c r="Q211" s="27" t="str">
        <f>IF(P211="","",IF(P211="READY","",TRIM(IF(A211="","missing entity_type; ","")&amp;IF(B211="","missing entity_key; ","")&amp;IF(C211="","missing referrer_order; ","")&amp;IF(E211="","missing referrer_type; ","")&amp;IF(F211="","missing referral_origin_channel; ","")&amp;IF(H211="","missing referrer_name_snapshot; ","")&amp;IF(AND(A211="client",COUNTIF(الزبائن!$A$6:$A$505,B211)=0),"client key not found; ","")&amp;IF(AND(A211="proposed_name",COUNTIF('أسماء مقترحة'!$A$6:$A$505,B211)=0),"proposed_name key not found; ",""))))</f>
        <v/>
      </c>
    </row>
    <row r="212" spans="1:17">
      <c r="A212" s="23"/>
      <c r="B212" s="24"/>
      <c r="C212" s="25"/>
      <c r="D212" s="25"/>
      <c r="E212" s="25"/>
      <c r="F212" s="25"/>
      <c r="G212" s="24"/>
      <c r="H212" s="25"/>
      <c r="I212" s="32"/>
      <c r="J212" s="25"/>
      <c r="K212" s="24"/>
      <c r="L212" s="25"/>
      <c r="M212" s="25"/>
      <c r="N212" s="25"/>
      <c r="O212" s="25"/>
      <c r="P212" s="25" t="str">
        <f>IF(AND(A212="",B212="",H212=""),"",IF(OR(A212="",B212="",C212="",E212="",F212="",H212="",AND(A212="client",COUNTIF(الزبائن!$A$6:$A$505,B212)=0),AND(A212="proposed_name",COUNTIF('أسماء مقترحة'!$A$6:$A$505,B212)=0)),"REVIEW","READY"))</f>
        <v/>
      </c>
      <c r="Q212" s="27" t="str">
        <f>IF(P212="","",IF(P212="READY","",TRIM(IF(A212="","missing entity_type; ","")&amp;IF(B212="","missing entity_key; ","")&amp;IF(C212="","missing referrer_order; ","")&amp;IF(E212="","missing referrer_type; ","")&amp;IF(F212="","missing referral_origin_channel; ","")&amp;IF(H212="","missing referrer_name_snapshot; ","")&amp;IF(AND(A212="client",COUNTIF(الزبائن!$A$6:$A$505,B212)=0),"client key not found; ","")&amp;IF(AND(A212="proposed_name",COUNTIF('أسماء مقترحة'!$A$6:$A$505,B212)=0),"proposed_name key not found; ",""))))</f>
        <v/>
      </c>
    </row>
    <row r="213" spans="1:17">
      <c r="A213" s="23"/>
      <c r="B213" s="24"/>
      <c r="C213" s="25"/>
      <c r="D213" s="25"/>
      <c r="E213" s="25"/>
      <c r="F213" s="25"/>
      <c r="G213" s="24"/>
      <c r="H213" s="25"/>
      <c r="I213" s="32"/>
      <c r="J213" s="25"/>
      <c r="K213" s="24"/>
      <c r="L213" s="25"/>
      <c r="M213" s="25"/>
      <c r="N213" s="25"/>
      <c r="O213" s="25"/>
      <c r="P213" s="25" t="str">
        <f>IF(AND(A213="",B213="",H213=""),"",IF(OR(A213="",B213="",C213="",E213="",F213="",H213="",AND(A213="client",COUNTIF(الزبائن!$A$6:$A$505,B213)=0),AND(A213="proposed_name",COUNTIF('أسماء مقترحة'!$A$6:$A$505,B213)=0)),"REVIEW","READY"))</f>
        <v/>
      </c>
      <c r="Q213" s="27" t="str">
        <f>IF(P213="","",IF(P213="READY","",TRIM(IF(A213="","missing entity_type; ","")&amp;IF(B213="","missing entity_key; ","")&amp;IF(C213="","missing referrer_order; ","")&amp;IF(E213="","missing referrer_type; ","")&amp;IF(F213="","missing referral_origin_channel; ","")&amp;IF(H213="","missing referrer_name_snapshot; ","")&amp;IF(AND(A213="client",COUNTIF(الزبائن!$A$6:$A$505,B213)=0),"client key not found; ","")&amp;IF(AND(A213="proposed_name",COUNTIF('أسماء مقترحة'!$A$6:$A$505,B213)=0),"proposed_name key not found; ",""))))</f>
        <v/>
      </c>
    </row>
    <row r="214" spans="1:17">
      <c r="A214" s="23"/>
      <c r="B214" s="24"/>
      <c r="C214" s="25"/>
      <c r="D214" s="25"/>
      <c r="E214" s="25"/>
      <c r="F214" s="25"/>
      <c r="G214" s="24"/>
      <c r="H214" s="25"/>
      <c r="I214" s="32"/>
      <c r="J214" s="25"/>
      <c r="K214" s="24"/>
      <c r="L214" s="25"/>
      <c r="M214" s="25"/>
      <c r="N214" s="25"/>
      <c r="O214" s="25"/>
      <c r="P214" s="25" t="str">
        <f>IF(AND(A214="",B214="",H214=""),"",IF(OR(A214="",B214="",C214="",E214="",F214="",H214="",AND(A214="client",COUNTIF(الزبائن!$A$6:$A$505,B214)=0),AND(A214="proposed_name",COUNTIF('أسماء مقترحة'!$A$6:$A$505,B214)=0)),"REVIEW","READY"))</f>
        <v/>
      </c>
      <c r="Q214" s="27" t="str">
        <f>IF(P214="","",IF(P214="READY","",TRIM(IF(A214="","missing entity_type; ","")&amp;IF(B214="","missing entity_key; ","")&amp;IF(C214="","missing referrer_order; ","")&amp;IF(E214="","missing referrer_type; ","")&amp;IF(F214="","missing referral_origin_channel; ","")&amp;IF(H214="","missing referrer_name_snapshot; ","")&amp;IF(AND(A214="client",COUNTIF(الزبائن!$A$6:$A$505,B214)=0),"client key not found; ","")&amp;IF(AND(A214="proposed_name",COUNTIF('أسماء مقترحة'!$A$6:$A$505,B214)=0),"proposed_name key not found; ",""))))</f>
        <v/>
      </c>
    </row>
    <row r="215" spans="1:17">
      <c r="A215" s="23"/>
      <c r="B215" s="24"/>
      <c r="C215" s="25"/>
      <c r="D215" s="25"/>
      <c r="E215" s="25"/>
      <c r="F215" s="25"/>
      <c r="G215" s="24"/>
      <c r="H215" s="25"/>
      <c r="I215" s="32"/>
      <c r="J215" s="25"/>
      <c r="K215" s="24"/>
      <c r="L215" s="25"/>
      <c r="M215" s="25"/>
      <c r="N215" s="25"/>
      <c r="O215" s="25"/>
      <c r="P215" s="25" t="str">
        <f>IF(AND(A215="",B215="",H215=""),"",IF(OR(A215="",B215="",C215="",E215="",F215="",H215="",AND(A215="client",COUNTIF(الزبائن!$A$6:$A$505,B215)=0),AND(A215="proposed_name",COUNTIF('أسماء مقترحة'!$A$6:$A$505,B215)=0)),"REVIEW","READY"))</f>
        <v/>
      </c>
      <c r="Q215" s="27" t="str">
        <f>IF(P215="","",IF(P215="READY","",TRIM(IF(A215="","missing entity_type; ","")&amp;IF(B215="","missing entity_key; ","")&amp;IF(C215="","missing referrer_order; ","")&amp;IF(E215="","missing referrer_type; ","")&amp;IF(F215="","missing referral_origin_channel; ","")&amp;IF(H215="","missing referrer_name_snapshot; ","")&amp;IF(AND(A215="client",COUNTIF(الزبائن!$A$6:$A$505,B215)=0),"client key not found; ","")&amp;IF(AND(A215="proposed_name",COUNTIF('أسماء مقترحة'!$A$6:$A$505,B215)=0),"proposed_name key not found; ",""))))</f>
        <v/>
      </c>
    </row>
    <row r="216" spans="1:17">
      <c r="A216" s="23"/>
      <c r="B216" s="24"/>
      <c r="C216" s="25"/>
      <c r="D216" s="25"/>
      <c r="E216" s="25"/>
      <c r="F216" s="25"/>
      <c r="G216" s="24"/>
      <c r="H216" s="25"/>
      <c r="I216" s="32"/>
      <c r="J216" s="25"/>
      <c r="K216" s="24"/>
      <c r="L216" s="25"/>
      <c r="M216" s="25"/>
      <c r="N216" s="25"/>
      <c r="O216" s="25"/>
      <c r="P216" s="25" t="str">
        <f>IF(AND(A216="",B216="",H216=""),"",IF(OR(A216="",B216="",C216="",E216="",F216="",H216="",AND(A216="client",COUNTIF(الزبائن!$A$6:$A$505,B216)=0),AND(A216="proposed_name",COUNTIF('أسماء مقترحة'!$A$6:$A$505,B216)=0)),"REVIEW","READY"))</f>
        <v/>
      </c>
      <c r="Q216" s="27" t="str">
        <f>IF(P216="","",IF(P216="READY","",TRIM(IF(A216="","missing entity_type; ","")&amp;IF(B216="","missing entity_key; ","")&amp;IF(C216="","missing referrer_order; ","")&amp;IF(E216="","missing referrer_type; ","")&amp;IF(F216="","missing referral_origin_channel; ","")&amp;IF(H216="","missing referrer_name_snapshot; ","")&amp;IF(AND(A216="client",COUNTIF(الزبائن!$A$6:$A$505,B216)=0),"client key not found; ","")&amp;IF(AND(A216="proposed_name",COUNTIF('أسماء مقترحة'!$A$6:$A$505,B216)=0),"proposed_name key not found; ",""))))</f>
        <v/>
      </c>
    </row>
    <row r="217" spans="1:17">
      <c r="A217" s="23"/>
      <c r="B217" s="24"/>
      <c r="C217" s="25"/>
      <c r="D217" s="25"/>
      <c r="E217" s="25"/>
      <c r="F217" s="25"/>
      <c r="G217" s="24"/>
      <c r="H217" s="25"/>
      <c r="I217" s="32"/>
      <c r="J217" s="25"/>
      <c r="K217" s="24"/>
      <c r="L217" s="25"/>
      <c r="M217" s="25"/>
      <c r="N217" s="25"/>
      <c r="O217" s="25"/>
      <c r="P217" s="25" t="str">
        <f>IF(AND(A217="",B217="",H217=""),"",IF(OR(A217="",B217="",C217="",E217="",F217="",H217="",AND(A217="client",COUNTIF(الزبائن!$A$6:$A$505,B217)=0),AND(A217="proposed_name",COUNTIF('أسماء مقترحة'!$A$6:$A$505,B217)=0)),"REVIEW","READY"))</f>
        <v/>
      </c>
      <c r="Q217" s="27" t="str">
        <f>IF(P217="","",IF(P217="READY","",TRIM(IF(A217="","missing entity_type; ","")&amp;IF(B217="","missing entity_key; ","")&amp;IF(C217="","missing referrer_order; ","")&amp;IF(E217="","missing referrer_type; ","")&amp;IF(F217="","missing referral_origin_channel; ","")&amp;IF(H217="","missing referrer_name_snapshot; ","")&amp;IF(AND(A217="client",COUNTIF(الزبائن!$A$6:$A$505,B217)=0),"client key not found; ","")&amp;IF(AND(A217="proposed_name",COUNTIF('أسماء مقترحة'!$A$6:$A$505,B217)=0),"proposed_name key not found; ",""))))</f>
        <v/>
      </c>
    </row>
    <row r="218" spans="1:17">
      <c r="A218" s="23"/>
      <c r="B218" s="24"/>
      <c r="C218" s="25"/>
      <c r="D218" s="25"/>
      <c r="E218" s="25"/>
      <c r="F218" s="25"/>
      <c r="G218" s="24"/>
      <c r="H218" s="25"/>
      <c r="I218" s="32"/>
      <c r="J218" s="25"/>
      <c r="K218" s="24"/>
      <c r="L218" s="25"/>
      <c r="M218" s="25"/>
      <c r="N218" s="25"/>
      <c r="O218" s="25"/>
      <c r="P218" s="25" t="str">
        <f>IF(AND(A218="",B218="",H218=""),"",IF(OR(A218="",B218="",C218="",E218="",F218="",H218="",AND(A218="client",COUNTIF(الزبائن!$A$6:$A$505,B218)=0),AND(A218="proposed_name",COUNTIF('أسماء مقترحة'!$A$6:$A$505,B218)=0)),"REVIEW","READY"))</f>
        <v/>
      </c>
      <c r="Q218" s="27" t="str">
        <f>IF(P218="","",IF(P218="READY","",TRIM(IF(A218="","missing entity_type; ","")&amp;IF(B218="","missing entity_key; ","")&amp;IF(C218="","missing referrer_order; ","")&amp;IF(E218="","missing referrer_type; ","")&amp;IF(F218="","missing referral_origin_channel; ","")&amp;IF(H218="","missing referrer_name_snapshot; ","")&amp;IF(AND(A218="client",COUNTIF(الزبائن!$A$6:$A$505,B218)=0),"client key not found; ","")&amp;IF(AND(A218="proposed_name",COUNTIF('أسماء مقترحة'!$A$6:$A$505,B218)=0),"proposed_name key not found; ",""))))</f>
        <v/>
      </c>
    </row>
    <row r="219" spans="1:17">
      <c r="A219" s="23"/>
      <c r="B219" s="24"/>
      <c r="C219" s="25"/>
      <c r="D219" s="25"/>
      <c r="E219" s="25"/>
      <c r="F219" s="25"/>
      <c r="G219" s="24"/>
      <c r="H219" s="25"/>
      <c r="I219" s="32"/>
      <c r="J219" s="25"/>
      <c r="K219" s="24"/>
      <c r="L219" s="25"/>
      <c r="M219" s="25"/>
      <c r="N219" s="25"/>
      <c r="O219" s="25"/>
      <c r="P219" s="25" t="str">
        <f>IF(AND(A219="",B219="",H219=""),"",IF(OR(A219="",B219="",C219="",E219="",F219="",H219="",AND(A219="client",COUNTIF(الزبائن!$A$6:$A$505,B219)=0),AND(A219="proposed_name",COUNTIF('أسماء مقترحة'!$A$6:$A$505,B219)=0)),"REVIEW","READY"))</f>
        <v/>
      </c>
      <c r="Q219" s="27" t="str">
        <f>IF(P219="","",IF(P219="READY","",TRIM(IF(A219="","missing entity_type; ","")&amp;IF(B219="","missing entity_key; ","")&amp;IF(C219="","missing referrer_order; ","")&amp;IF(E219="","missing referrer_type; ","")&amp;IF(F219="","missing referral_origin_channel; ","")&amp;IF(H219="","missing referrer_name_snapshot; ","")&amp;IF(AND(A219="client",COUNTIF(الزبائن!$A$6:$A$505,B219)=0),"client key not found; ","")&amp;IF(AND(A219="proposed_name",COUNTIF('أسماء مقترحة'!$A$6:$A$505,B219)=0),"proposed_name key not found; ",""))))</f>
        <v/>
      </c>
    </row>
    <row r="220" spans="1:17">
      <c r="A220" s="23"/>
      <c r="B220" s="24"/>
      <c r="C220" s="25"/>
      <c r="D220" s="25"/>
      <c r="E220" s="25"/>
      <c r="F220" s="25"/>
      <c r="G220" s="24"/>
      <c r="H220" s="25"/>
      <c r="I220" s="32"/>
      <c r="J220" s="25"/>
      <c r="K220" s="24"/>
      <c r="L220" s="25"/>
      <c r="M220" s="25"/>
      <c r="N220" s="25"/>
      <c r="O220" s="25"/>
      <c r="P220" s="25" t="str">
        <f>IF(AND(A220="",B220="",H220=""),"",IF(OR(A220="",B220="",C220="",E220="",F220="",H220="",AND(A220="client",COUNTIF(الزبائن!$A$6:$A$505,B220)=0),AND(A220="proposed_name",COUNTIF('أسماء مقترحة'!$A$6:$A$505,B220)=0)),"REVIEW","READY"))</f>
        <v/>
      </c>
      <c r="Q220" s="27" t="str">
        <f>IF(P220="","",IF(P220="READY","",TRIM(IF(A220="","missing entity_type; ","")&amp;IF(B220="","missing entity_key; ","")&amp;IF(C220="","missing referrer_order; ","")&amp;IF(E220="","missing referrer_type; ","")&amp;IF(F220="","missing referral_origin_channel; ","")&amp;IF(H220="","missing referrer_name_snapshot; ","")&amp;IF(AND(A220="client",COUNTIF(الزبائن!$A$6:$A$505,B220)=0),"client key not found; ","")&amp;IF(AND(A220="proposed_name",COUNTIF('أسماء مقترحة'!$A$6:$A$505,B220)=0),"proposed_name key not found; ",""))))</f>
        <v/>
      </c>
    </row>
    <row r="221" spans="1:17">
      <c r="A221" s="23"/>
      <c r="B221" s="24"/>
      <c r="C221" s="25"/>
      <c r="D221" s="25"/>
      <c r="E221" s="25"/>
      <c r="F221" s="25"/>
      <c r="G221" s="24"/>
      <c r="H221" s="25"/>
      <c r="I221" s="32"/>
      <c r="J221" s="25"/>
      <c r="K221" s="24"/>
      <c r="L221" s="25"/>
      <c r="M221" s="25"/>
      <c r="N221" s="25"/>
      <c r="O221" s="25"/>
      <c r="P221" s="25" t="str">
        <f>IF(AND(A221="",B221="",H221=""),"",IF(OR(A221="",B221="",C221="",E221="",F221="",H221="",AND(A221="client",COUNTIF(الزبائن!$A$6:$A$505,B221)=0),AND(A221="proposed_name",COUNTIF('أسماء مقترحة'!$A$6:$A$505,B221)=0)),"REVIEW","READY"))</f>
        <v/>
      </c>
      <c r="Q221" s="27" t="str">
        <f>IF(P221="","",IF(P221="READY","",TRIM(IF(A221="","missing entity_type; ","")&amp;IF(B221="","missing entity_key; ","")&amp;IF(C221="","missing referrer_order; ","")&amp;IF(E221="","missing referrer_type; ","")&amp;IF(F221="","missing referral_origin_channel; ","")&amp;IF(H221="","missing referrer_name_snapshot; ","")&amp;IF(AND(A221="client",COUNTIF(الزبائن!$A$6:$A$505,B221)=0),"client key not found; ","")&amp;IF(AND(A221="proposed_name",COUNTIF('أسماء مقترحة'!$A$6:$A$505,B221)=0),"proposed_name key not found; ",""))))</f>
        <v/>
      </c>
    </row>
    <row r="222" spans="1:17">
      <c r="A222" s="23"/>
      <c r="B222" s="24"/>
      <c r="C222" s="25"/>
      <c r="D222" s="25"/>
      <c r="E222" s="25"/>
      <c r="F222" s="25"/>
      <c r="G222" s="24"/>
      <c r="H222" s="25"/>
      <c r="I222" s="32"/>
      <c r="J222" s="25"/>
      <c r="K222" s="24"/>
      <c r="L222" s="25"/>
      <c r="M222" s="25"/>
      <c r="N222" s="25"/>
      <c r="O222" s="25"/>
      <c r="P222" s="25" t="str">
        <f>IF(AND(A222="",B222="",H222=""),"",IF(OR(A222="",B222="",C222="",E222="",F222="",H222="",AND(A222="client",COUNTIF(الزبائن!$A$6:$A$505,B222)=0),AND(A222="proposed_name",COUNTIF('أسماء مقترحة'!$A$6:$A$505,B222)=0)),"REVIEW","READY"))</f>
        <v/>
      </c>
      <c r="Q222" s="27" t="str">
        <f>IF(P222="","",IF(P222="READY","",TRIM(IF(A222="","missing entity_type; ","")&amp;IF(B222="","missing entity_key; ","")&amp;IF(C222="","missing referrer_order; ","")&amp;IF(E222="","missing referrer_type; ","")&amp;IF(F222="","missing referral_origin_channel; ","")&amp;IF(H222="","missing referrer_name_snapshot; ","")&amp;IF(AND(A222="client",COUNTIF(الزبائن!$A$6:$A$505,B222)=0),"client key not found; ","")&amp;IF(AND(A222="proposed_name",COUNTIF('أسماء مقترحة'!$A$6:$A$505,B222)=0),"proposed_name key not found; ",""))))</f>
        <v/>
      </c>
    </row>
    <row r="223" spans="1:17">
      <c r="A223" s="23"/>
      <c r="B223" s="24"/>
      <c r="C223" s="25"/>
      <c r="D223" s="25"/>
      <c r="E223" s="25"/>
      <c r="F223" s="25"/>
      <c r="G223" s="24"/>
      <c r="H223" s="25"/>
      <c r="I223" s="32"/>
      <c r="J223" s="25"/>
      <c r="K223" s="24"/>
      <c r="L223" s="25"/>
      <c r="M223" s="25"/>
      <c r="N223" s="25"/>
      <c r="O223" s="25"/>
      <c r="P223" s="25" t="str">
        <f>IF(AND(A223="",B223="",H223=""),"",IF(OR(A223="",B223="",C223="",E223="",F223="",H223="",AND(A223="client",COUNTIF(الزبائن!$A$6:$A$505,B223)=0),AND(A223="proposed_name",COUNTIF('أسماء مقترحة'!$A$6:$A$505,B223)=0)),"REVIEW","READY"))</f>
        <v/>
      </c>
      <c r="Q223" s="27" t="str">
        <f>IF(P223="","",IF(P223="READY","",TRIM(IF(A223="","missing entity_type; ","")&amp;IF(B223="","missing entity_key; ","")&amp;IF(C223="","missing referrer_order; ","")&amp;IF(E223="","missing referrer_type; ","")&amp;IF(F223="","missing referral_origin_channel; ","")&amp;IF(H223="","missing referrer_name_snapshot; ","")&amp;IF(AND(A223="client",COUNTIF(الزبائن!$A$6:$A$505,B223)=0),"client key not found; ","")&amp;IF(AND(A223="proposed_name",COUNTIF('أسماء مقترحة'!$A$6:$A$505,B223)=0),"proposed_name key not found; ",""))))</f>
        <v/>
      </c>
    </row>
    <row r="224" spans="1:17">
      <c r="A224" s="23"/>
      <c r="B224" s="24"/>
      <c r="C224" s="25"/>
      <c r="D224" s="25"/>
      <c r="E224" s="25"/>
      <c r="F224" s="25"/>
      <c r="G224" s="24"/>
      <c r="H224" s="25"/>
      <c r="I224" s="32"/>
      <c r="J224" s="25"/>
      <c r="K224" s="24"/>
      <c r="L224" s="25"/>
      <c r="M224" s="25"/>
      <c r="N224" s="25"/>
      <c r="O224" s="25"/>
      <c r="P224" s="25" t="str">
        <f>IF(AND(A224="",B224="",H224=""),"",IF(OR(A224="",B224="",C224="",E224="",F224="",H224="",AND(A224="client",COUNTIF(الزبائن!$A$6:$A$505,B224)=0),AND(A224="proposed_name",COUNTIF('أسماء مقترحة'!$A$6:$A$505,B224)=0)),"REVIEW","READY"))</f>
        <v/>
      </c>
      <c r="Q224" s="27" t="str">
        <f>IF(P224="","",IF(P224="READY","",TRIM(IF(A224="","missing entity_type; ","")&amp;IF(B224="","missing entity_key; ","")&amp;IF(C224="","missing referrer_order; ","")&amp;IF(E224="","missing referrer_type; ","")&amp;IF(F224="","missing referral_origin_channel; ","")&amp;IF(H224="","missing referrer_name_snapshot; ","")&amp;IF(AND(A224="client",COUNTIF(الزبائن!$A$6:$A$505,B224)=0),"client key not found; ","")&amp;IF(AND(A224="proposed_name",COUNTIF('أسماء مقترحة'!$A$6:$A$505,B224)=0),"proposed_name key not found; ",""))))</f>
        <v/>
      </c>
    </row>
    <row r="225" spans="1:17">
      <c r="A225" s="23"/>
      <c r="B225" s="24"/>
      <c r="C225" s="25"/>
      <c r="D225" s="25"/>
      <c r="E225" s="25"/>
      <c r="F225" s="25"/>
      <c r="G225" s="24"/>
      <c r="H225" s="25"/>
      <c r="I225" s="32"/>
      <c r="J225" s="25"/>
      <c r="K225" s="24"/>
      <c r="L225" s="25"/>
      <c r="M225" s="25"/>
      <c r="N225" s="25"/>
      <c r="O225" s="25"/>
      <c r="P225" s="25" t="str">
        <f>IF(AND(A225="",B225="",H225=""),"",IF(OR(A225="",B225="",C225="",E225="",F225="",H225="",AND(A225="client",COUNTIF(الزبائن!$A$6:$A$505,B225)=0),AND(A225="proposed_name",COUNTIF('أسماء مقترحة'!$A$6:$A$505,B225)=0)),"REVIEW","READY"))</f>
        <v/>
      </c>
      <c r="Q225" s="27" t="str">
        <f>IF(P225="","",IF(P225="READY","",TRIM(IF(A225="","missing entity_type; ","")&amp;IF(B225="","missing entity_key; ","")&amp;IF(C225="","missing referrer_order; ","")&amp;IF(E225="","missing referrer_type; ","")&amp;IF(F225="","missing referral_origin_channel; ","")&amp;IF(H225="","missing referrer_name_snapshot; ","")&amp;IF(AND(A225="client",COUNTIF(الزبائن!$A$6:$A$505,B225)=0),"client key not found; ","")&amp;IF(AND(A225="proposed_name",COUNTIF('أسماء مقترحة'!$A$6:$A$505,B225)=0),"proposed_name key not found; ",""))))</f>
        <v/>
      </c>
    </row>
    <row r="226" spans="1:17">
      <c r="A226" s="23"/>
      <c r="B226" s="24"/>
      <c r="C226" s="25"/>
      <c r="D226" s="25"/>
      <c r="E226" s="25"/>
      <c r="F226" s="25"/>
      <c r="G226" s="24"/>
      <c r="H226" s="25"/>
      <c r="I226" s="32"/>
      <c r="J226" s="25"/>
      <c r="K226" s="24"/>
      <c r="L226" s="25"/>
      <c r="M226" s="25"/>
      <c r="N226" s="25"/>
      <c r="O226" s="25"/>
      <c r="P226" s="25" t="str">
        <f>IF(AND(A226="",B226="",H226=""),"",IF(OR(A226="",B226="",C226="",E226="",F226="",H226="",AND(A226="client",COUNTIF(الزبائن!$A$6:$A$505,B226)=0),AND(A226="proposed_name",COUNTIF('أسماء مقترحة'!$A$6:$A$505,B226)=0)),"REVIEW","READY"))</f>
        <v/>
      </c>
      <c r="Q226" s="27" t="str">
        <f>IF(P226="","",IF(P226="READY","",TRIM(IF(A226="","missing entity_type; ","")&amp;IF(B226="","missing entity_key; ","")&amp;IF(C226="","missing referrer_order; ","")&amp;IF(E226="","missing referrer_type; ","")&amp;IF(F226="","missing referral_origin_channel; ","")&amp;IF(H226="","missing referrer_name_snapshot; ","")&amp;IF(AND(A226="client",COUNTIF(الزبائن!$A$6:$A$505,B226)=0),"client key not found; ","")&amp;IF(AND(A226="proposed_name",COUNTIF('أسماء مقترحة'!$A$6:$A$505,B226)=0),"proposed_name key not found; ",""))))</f>
        <v/>
      </c>
    </row>
    <row r="227" spans="1:17">
      <c r="A227" s="23"/>
      <c r="B227" s="24"/>
      <c r="C227" s="25"/>
      <c r="D227" s="25"/>
      <c r="E227" s="25"/>
      <c r="F227" s="25"/>
      <c r="G227" s="24"/>
      <c r="H227" s="25"/>
      <c r="I227" s="32"/>
      <c r="J227" s="25"/>
      <c r="K227" s="24"/>
      <c r="L227" s="25"/>
      <c r="M227" s="25"/>
      <c r="N227" s="25"/>
      <c r="O227" s="25"/>
      <c r="P227" s="25" t="str">
        <f>IF(AND(A227="",B227="",H227=""),"",IF(OR(A227="",B227="",C227="",E227="",F227="",H227="",AND(A227="client",COUNTIF(الزبائن!$A$6:$A$505,B227)=0),AND(A227="proposed_name",COUNTIF('أسماء مقترحة'!$A$6:$A$505,B227)=0)),"REVIEW","READY"))</f>
        <v/>
      </c>
      <c r="Q227" s="27" t="str">
        <f>IF(P227="","",IF(P227="READY","",TRIM(IF(A227="","missing entity_type; ","")&amp;IF(B227="","missing entity_key; ","")&amp;IF(C227="","missing referrer_order; ","")&amp;IF(E227="","missing referrer_type; ","")&amp;IF(F227="","missing referral_origin_channel; ","")&amp;IF(H227="","missing referrer_name_snapshot; ","")&amp;IF(AND(A227="client",COUNTIF(الزبائن!$A$6:$A$505,B227)=0),"client key not found; ","")&amp;IF(AND(A227="proposed_name",COUNTIF('أسماء مقترحة'!$A$6:$A$505,B227)=0),"proposed_name key not found; ",""))))</f>
        <v/>
      </c>
    </row>
    <row r="228" spans="1:17">
      <c r="A228" s="23"/>
      <c r="B228" s="24"/>
      <c r="C228" s="25"/>
      <c r="D228" s="25"/>
      <c r="E228" s="25"/>
      <c r="F228" s="25"/>
      <c r="G228" s="24"/>
      <c r="H228" s="25"/>
      <c r="I228" s="32"/>
      <c r="J228" s="25"/>
      <c r="K228" s="24"/>
      <c r="L228" s="25"/>
      <c r="M228" s="25"/>
      <c r="N228" s="25"/>
      <c r="O228" s="25"/>
      <c r="P228" s="25" t="str">
        <f>IF(AND(A228="",B228="",H228=""),"",IF(OR(A228="",B228="",C228="",E228="",F228="",H228="",AND(A228="client",COUNTIF(الزبائن!$A$6:$A$505,B228)=0),AND(A228="proposed_name",COUNTIF('أسماء مقترحة'!$A$6:$A$505,B228)=0)),"REVIEW","READY"))</f>
        <v/>
      </c>
      <c r="Q228" s="27" t="str">
        <f>IF(P228="","",IF(P228="READY","",TRIM(IF(A228="","missing entity_type; ","")&amp;IF(B228="","missing entity_key; ","")&amp;IF(C228="","missing referrer_order; ","")&amp;IF(E228="","missing referrer_type; ","")&amp;IF(F228="","missing referral_origin_channel; ","")&amp;IF(H228="","missing referrer_name_snapshot; ","")&amp;IF(AND(A228="client",COUNTIF(الزبائن!$A$6:$A$505,B228)=0),"client key not found; ","")&amp;IF(AND(A228="proposed_name",COUNTIF('أسماء مقترحة'!$A$6:$A$505,B228)=0),"proposed_name key not found; ",""))))</f>
        <v/>
      </c>
    </row>
    <row r="229" spans="1:17">
      <c r="A229" s="23"/>
      <c r="B229" s="24"/>
      <c r="C229" s="25"/>
      <c r="D229" s="25"/>
      <c r="E229" s="25"/>
      <c r="F229" s="25"/>
      <c r="G229" s="24"/>
      <c r="H229" s="25"/>
      <c r="I229" s="32"/>
      <c r="J229" s="25"/>
      <c r="K229" s="24"/>
      <c r="L229" s="25"/>
      <c r="M229" s="25"/>
      <c r="N229" s="25"/>
      <c r="O229" s="25"/>
      <c r="P229" s="25" t="str">
        <f>IF(AND(A229="",B229="",H229=""),"",IF(OR(A229="",B229="",C229="",E229="",F229="",H229="",AND(A229="client",COUNTIF(الزبائن!$A$6:$A$505,B229)=0),AND(A229="proposed_name",COUNTIF('أسماء مقترحة'!$A$6:$A$505,B229)=0)),"REVIEW","READY"))</f>
        <v/>
      </c>
      <c r="Q229" s="27" t="str">
        <f>IF(P229="","",IF(P229="READY","",TRIM(IF(A229="","missing entity_type; ","")&amp;IF(B229="","missing entity_key; ","")&amp;IF(C229="","missing referrer_order; ","")&amp;IF(E229="","missing referrer_type; ","")&amp;IF(F229="","missing referral_origin_channel; ","")&amp;IF(H229="","missing referrer_name_snapshot; ","")&amp;IF(AND(A229="client",COUNTIF(الزبائن!$A$6:$A$505,B229)=0),"client key not found; ","")&amp;IF(AND(A229="proposed_name",COUNTIF('أسماء مقترحة'!$A$6:$A$505,B229)=0),"proposed_name key not found; ",""))))</f>
        <v/>
      </c>
    </row>
    <row r="230" spans="1:17">
      <c r="A230" s="23"/>
      <c r="B230" s="24"/>
      <c r="C230" s="25"/>
      <c r="D230" s="25"/>
      <c r="E230" s="25"/>
      <c r="F230" s="25"/>
      <c r="G230" s="24"/>
      <c r="H230" s="25"/>
      <c r="I230" s="32"/>
      <c r="J230" s="25"/>
      <c r="K230" s="24"/>
      <c r="L230" s="25"/>
      <c r="M230" s="25"/>
      <c r="N230" s="25"/>
      <c r="O230" s="25"/>
      <c r="P230" s="25" t="str">
        <f>IF(AND(A230="",B230="",H230=""),"",IF(OR(A230="",B230="",C230="",E230="",F230="",H230="",AND(A230="client",COUNTIF(الزبائن!$A$6:$A$505,B230)=0),AND(A230="proposed_name",COUNTIF('أسماء مقترحة'!$A$6:$A$505,B230)=0)),"REVIEW","READY"))</f>
        <v/>
      </c>
      <c r="Q230" s="27" t="str">
        <f>IF(P230="","",IF(P230="READY","",TRIM(IF(A230="","missing entity_type; ","")&amp;IF(B230="","missing entity_key; ","")&amp;IF(C230="","missing referrer_order; ","")&amp;IF(E230="","missing referrer_type; ","")&amp;IF(F230="","missing referral_origin_channel; ","")&amp;IF(H230="","missing referrer_name_snapshot; ","")&amp;IF(AND(A230="client",COUNTIF(الزبائن!$A$6:$A$505,B230)=0),"client key not found; ","")&amp;IF(AND(A230="proposed_name",COUNTIF('أسماء مقترحة'!$A$6:$A$505,B230)=0),"proposed_name key not found; ",""))))</f>
        <v/>
      </c>
    </row>
    <row r="231" spans="1:17">
      <c r="A231" s="23"/>
      <c r="B231" s="24"/>
      <c r="C231" s="25"/>
      <c r="D231" s="25"/>
      <c r="E231" s="25"/>
      <c r="F231" s="25"/>
      <c r="G231" s="24"/>
      <c r="H231" s="25"/>
      <c r="I231" s="32"/>
      <c r="J231" s="25"/>
      <c r="K231" s="24"/>
      <c r="L231" s="25"/>
      <c r="M231" s="25"/>
      <c r="N231" s="25"/>
      <c r="O231" s="25"/>
      <c r="P231" s="25" t="str">
        <f>IF(AND(A231="",B231="",H231=""),"",IF(OR(A231="",B231="",C231="",E231="",F231="",H231="",AND(A231="client",COUNTIF(الزبائن!$A$6:$A$505,B231)=0),AND(A231="proposed_name",COUNTIF('أسماء مقترحة'!$A$6:$A$505,B231)=0)),"REVIEW","READY"))</f>
        <v/>
      </c>
      <c r="Q231" s="27" t="str">
        <f>IF(P231="","",IF(P231="READY","",TRIM(IF(A231="","missing entity_type; ","")&amp;IF(B231="","missing entity_key; ","")&amp;IF(C231="","missing referrer_order; ","")&amp;IF(E231="","missing referrer_type; ","")&amp;IF(F231="","missing referral_origin_channel; ","")&amp;IF(H231="","missing referrer_name_snapshot; ","")&amp;IF(AND(A231="client",COUNTIF(الزبائن!$A$6:$A$505,B231)=0),"client key not found; ","")&amp;IF(AND(A231="proposed_name",COUNTIF('أسماء مقترحة'!$A$6:$A$505,B231)=0),"proposed_name key not found; ",""))))</f>
        <v/>
      </c>
    </row>
    <row r="232" spans="1:17">
      <c r="A232" s="23"/>
      <c r="B232" s="24"/>
      <c r="C232" s="25"/>
      <c r="D232" s="25"/>
      <c r="E232" s="25"/>
      <c r="F232" s="25"/>
      <c r="G232" s="24"/>
      <c r="H232" s="25"/>
      <c r="I232" s="32"/>
      <c r="J232" s="25"/>
      <c r="K232" s="24"/>
      <c r="L232" s="25"/>
      <c r="M232" s="25"/>
      <c r="N232" s="25"/>
      <c r="O232" s="25"/>
      <c r="P232" s="25" t="str">
        <f>IF(AND(A232="",B232="",H232=""),"",IF(OR(A232="",B232="",C232="",E232="",F232="",H232="",AND(A232="client",COUNTIF(الزبائن!$A$6:$A$505,B232)=0),AND(A232="proposed_name",COUNTIF('أسماء مقترحة'!$A$6:$A$505,B232)=0)),"REVIEW","READY"))</f>
        <v/>
      </c>
      <c r="Q232" s="27" t="str">
        <f>IF(P232="","",IF(P232="READY","",TRIM(IF(A232="","missing entity_type; ","")&amp;IF(B232="","missing entity_key; ","")&amp;IF(C232="","missing referrer_order; ","")&amp;IF(E232="","missing referrer_type; ","")&amp;IF(F232="","missing referral_origin_channel; ","")&amp;IF(H232="","missing referrer_name_snapshot; ","")&amp;IF(AND(A232="client",COUNTIF(الزبائن!$A$6:$A$505,B232)=0),"client key not found; ","")&amp;IF(AND(A232="proposed_name",COUNTIF('أسماء مقترحة'!$A$6:$A$505,B232)=0),"proposed_name key not found; ",""))))</f>
        <v/>
      </c>
    </row>
    <row r="233" spans="1:17">
      <c r="A233" s="23"/>
      <c r="B233" s="24"/>
      <c r="C233" s="25"/>
      <c r="D233" s="25"/>
      <c r="E233" s="25"/>
      <c r="F233" s="25"/>
      <c r="G233" s="24"/>
      <c r="H233" s="25"/>
      <c r="I233" s="32"/>
      <c r="J233" s="25"/>
      <c r="K233" s="24"/>
      <c r="L233" s="25"/>
      <c r="M233" s="25"/>
      <c r="N233" s="25"/>
      <c r="O233" s="25"/>
      <c r="P233" s="25" t="str">
        <f>IF(AND(A233="",B233="",H233=""),"",IF(OR(A233="",B233="",C233="",E233="",F233="",H233="",AND(A233="client",COUNTIF(الزبائن!$A$6:$A$505,B233)=0),AND(A233="proposed_name",COUNTIF('أسماء مقترحة'!$A$6:$A$505,B233)=0)),"REVIEW","READY"))</f>
        <v/>
      </c>
      <c r="Q233" s="27" t="str">
        <f>IF(P233="","",IF(P233="READY","",TRIM(IF(A233="","missing entity_type; ","")&amp;IF(B233="","missing entity_key; ","")&amp;IF(C233="","missing referrer_order; ","")&amp;IF(E233="","missing referrer_type; ","")&amp;IF(F233="","missing referral_origin_channel; ","")&amp;IF(H233="","missing referrer_name_snapshot; ","")&amp;IF(AND(A233="client",COUNTIF(الزبائن!$A$6:$A$505,B233)=0),"client key not found; ","")&amp;IF(AND(A233="proposed_name",COUNTIF('أسماء مقترحة'!$A$6:$A$505,B233)=0),"proposed_name key not found; ",""))))</f>
        <v/>
      </c>
    </row>
    <row r="234" spans="1:17">
      <c r="A234" s="23"/>
      <c r="B234" s="24"/>
      <c r="C234" s="25"/>
      <c r="D234" s="25"/>
      <c r="E234" s="25"/>
      <c r="F234" s="25"/>
      <c r="G234" s="24"/>
      <c r="H234" s="25"/>
      <c r="I234" s="32"/>
      <c r="J234" s="25"/>
      <c r="K234" s="24"/>
      <c r="L234" s="25"/>
      <c r="M234" s="25"/>
      <c r="N234" s="25"/>
      <c r="O234" s="25"/>
      <c r="P234" s="25" t="str">
        <f>IF(AND(A234="",B234="",H234=""),"",IF(OR(A234="",B234="",C234="",E234="",F234="",H234="",AND(A234="client",COUNTIF(الزبائن!$A$6:$A$505,B234)=0),AND(A234="proposed_name",COUNTIF('أسماء مقترحة'!$A$6:$A$505,B234)=0)),"REVIEW","READY"))</f>
        <v/>
      </c>
      <c r="Q234" s="27" t="str">
        <f>IF(P234="","",IF(P234="READY","",TRIM(IF(A234="","missing entity_type; ","")&amp;IF(B234="","missing entity_key; ","")&amp;IF(C234="","missing referrer_order; ","")&amp;IF(E234="","missing referrer_type; ","")&amp;IF(F234="","missing referral_origin_channel; ","")&amp;IF(H234="","missing referrer_name_snapshot; ","")&amp;IF(AND(A234="client",COUNTIF(الزبائن!$A$6:$A$505,B234)=0),"client key not found; ","")&amp;IF(AND(A234="proposed_name",COUNTIF('أسماء مقترحة'!$A$6:$A$505,B234)=0),"proposed_name key not found; ",""))))</f>
        <v/>
      </c>
    </row>
    <row r="235" spans="1:17">
      <c r="A235" s="23"/>
      <c r="B235" s="24"/>
      <c r="C235" s="25"/>
      <c r="D235" s="25"/>
      <c r="E235" s="25"/>
      <c r="F235" s="25"/>
      <c r="G235" s="24"/>
      <c r="H235" s="25"/>
      <c r="I235" s="32"/>
      <c r="J235" s="25"/>
      <c r="K235" s="24"/>
      <c r="L235" s="25"/>
      <c r="M235" s="25"/>
      <c r="N235" s="25"/>
      <c r="O235" s="25"/>
      <c r="P235" s="25" t="str">
        <f>IF(AND(A235="",B235="",H235=""),"",IF(OR(A235="",B235="",C235="",E235="",F235="",H235="",AND(A235="client",COUNTIF(الزبائن!$A$6:$A$505,B235)=0),AND(A235="proposed_name",COUNTIF('أسماء مقترحة'!$A$6:$A$505,B235)=0)),"REVIEW","READY"))</f>
        <v/>
      </c>
      <c r="Q235" s="27" t="str">
        <f>IF(P235="","",IF(P235="READY","",TRIM(IF(A235="","missing entity_type; ","")&amp;IF(B235="","missing entity_key; ","")&amp;IF(C235="","missing referrer_order; ","")&amp;IF(E235="","missing referrer_type; ","")&amp;IF(F235="","missing referral_origin_channel; ","")&amp;IF(H235="","missing referrer_name_snapshot; ","")&amp;IF(AND(A235="client",COUNTIF(الزبائن!$A$6:$A$505,B235)=0),"client key not found; ","")&amp;IF(AND(A235="proposed_name",COUNTIF('أسماء مقترحة'!$A$6:$A$505,B235)=0),"proposed_name key not found; ",""))))</f>
        <v/>
      </c>
    </row>
    <row r="236" spans="1:17">
      <c r="A236" s="23"/>
      <c r="B236" s="24"/>
      <c r="C236" s="25"/>
      <c r="D236" s="25"/>
      <c r="E236" s="25"/>
      <c r="F236" s="25"/>
      <c r="G236" s="24"/>
      <c r="H236" s="25"/>
      <c r="I236" s="32"/>
      <c r="J236" s="25"/>
      <c r="K236" s="24"/>
      <c r="L236" s="25"/>
      <c r="M236" s="25"/>
      <c r="N236" s="25"/>
      <c r="O236" s="25"/>
      <c r="P236" s="25" t="str">
        <f>IF(AND(A236="",B236="",H236=""),"",IF(OR(A236="",B236="",C236="",E236="",F236="",H236="",AND(A236="client",COUNTIF(الزبائن!$A$6:$A$505,B236)=0),AND(A236="proposed_name",COUNTIF('أسماء مقترحة'!$A$6:$A$505,B236)=0)),"REVIEW","READY"))</f>
        <v/>
      </c>
      <c r="Q236" s="27" t="str">
        <f>IF(P236="","",IF(P236="READY","",TRIM(IF(A236="","missing entity_type; ","")&amp;IF(B236="","missing entity_key; ","")&amp;IF(C236="","missing referrer_order; ","")&amp;IF(E236="","missing referrer_type; ","")&amp;IF(F236="","missing referral_origin_channel; ","")&amp;IF(H236="","missing referrer_name_snapshot; ","")&amp;IF(AND(A236="client",COUNTIF(الزبائن!$A$6:$A$505,B236)=0),"client key not found; ","")&amp;IF(AND(A236="proposed_name",COUNTIF('أسماء مقترحة'!$A$6:$A$505,B236)=0),"proposed_name key not found; ",""))))</f>
        <v/>
      </c>
    </row>
    <row r="237" spans="1:17">
      <c r="A237" s="23"/>
      <c r="B237" s="24"/>
      <c r="C237" s="25"/>
      <c r="D237" s="25"/>
      <c r="E237" s="25"/>
      <c r="F237" s="25"/>
      <c r="G237" s="24"/>
      <c r="H237" s="25"/>
      <c r="I237" s="32"/>
      <c r="J237" s="25"/>
      <c r="K237" s="24"/>
      <c r="L237" s="25"/>
      <c r="M237" s="25"/>
      <c r="N237" s="25"/>
      <c r="O237" s="25"/>
      <c r="P237" s="25" t="str">
        <f>IF(AND(A237="",B237="",H237=""),"",IF(OR(A237="",B237="",C237="",E237="",F237="",H237="",AND(A237="client",COUNTIF(الزبائن!$A$6:$A$505,B237)=0),AND(A237="proposed_name",COUNTIF('أسماء مقترحة'!$A$6:$A$505,B237)=0)),"REVIEW","READY"))</f>
        <v/>
      </c>
      <c r="Q237" s="27" t="str">
        <f>IF(P237="","",IF(P237="READY","",TRIM(IF(A237="","missing entity_type; ","")&amp;IF(B237="","missing entity_key; ","")&amp;IF(C237="","missing referrer_order; ","")&amp;IF(E237="","missing referrer_type; ","")&amp;IF(F237="","missing referral_origin_channel; ","")&amp;IF(H237="","missing referrer_name_snapshot; ","")&amp;IF(AND(A237="client",COUNTIF(الزبائن!$A$6:$A$505,B237)=0),"client key not found; ","")&amp;IF(AND(A237="proposed_name",COUNTIF('أسماء مقترحة'!$A$6:$A$505,B237)=0),"proposed_name key not found; ",""))))</f>
        <v/>
      </c>
    </row>
    <row r="238" spans="1:17">
      <c r="A238" s="23"/>
      <c r="B238" s="24"/>
      <c r="C238" s="25"/>
      <c r="D238" s="25"/>
      <c r="E238" s="25"/>
      <c r="F238" s="25"/>
      <c r="G238" s="24"/>
      <c r="H238" s="25"/>
      <c r="I238" s="32"/>
      <c r="J238" s="25"/>
      <c r="K238" s="24"/>
      <c r="L238" s="25"/>
      <c r="M238" s="25"/>
      <c r="N238" s="25"/>
      <c r="O238" s="25"/>
      <c r="P238" s="25" t="str">
        <f>IF(AND(A238="",B238="",H238=""),"",IF(OR(A238="",B238="",C238="",E238="",F238="",H238="",AND(A238="client",COUNTIF(الزبائن!$A$6:$A$505,B238)=0),AND(A238="proposed_name",COUNTIF('أسماء مقترحة'!$A$6:$A$505,B238)=0)),"REVIEW","READY"))</f>
        <v/>
      </c>
      <c r="Q238" s="27" t="str">
        <f>IF(P238="","",IF(P238="READY","",TRIM(IF(A238="","missing entity_type; ","")&amp;IF(B238="","missing entity_key; ","")&amp;IF(C238="","missing referrer_order; ","")&amp;IF(E238="","missing referrer_type; ","")&amp;IF(F238="","missing referral_origin_channel; ","")&amp;IF(H238="","missing referrer_name_snapshot; ","")&amp;IF(AND(A238="client",COUNTIF(الزبائن!$A$6:$A$505,B238)=0),"client key not found; ","")&amp;IF(AND(A238="proposed_name",COUNTIF('أسماء مقترحة'!$A$6:$A$505,B238)=0),"proposed_name key not found; ",""))))</f>
        <v/>
      </c>
    </row>
    <row r="239" spans="1:17">
      <c r="A239" s="23"/>
      <c r="B239" s="24"/>
      <c r="C239" s="25"/>
      <c r="D239" s="25"/>
      <c r="E239" s="25"/>
      <c r="F239" s="25"/>
      <c r="G239" s="24"/>
      <c r="H239" s="25"/>
      <c r="I239" s="32"/>
      <c r="J239" s="25"/>
      <c r="K239" s="24"/>
      <c r="L239" s="25"/>
      <c r="M239" s="25"/>
      <c r="N239" s="25"/>
      <c r="O239" s="25"/>
      <c r="P239" s="25" t="str">
        <f>IF(AND(A239="",B239="",H239=""),"",IF(OR(A239="",B239="",C239="",E239="",F239="",H239="",AND(A239="client",COUNTIF(الزبائن!$A$6:$A$505,B239)=0),AND(A239="proposed_name",COUNTIF('أسماء مقترحة'!$A$6:$A$505,B239)=0)),"REVIEW","READY"))</f>
        <v/>
      </c>
      <c r="Q239" s="27" t="str">
        <f>IF(P239="","",IF(P239="READY","",TRIM(IF(A239="","missing entity_type; ","")&amp;IF(B239="","missing entity_key; ","")&amp;IF(C239="","missing referrer_order; ","")&amp;IF(E239="","missing referrer_type; ","")&amp;IF(F239="","missing referral_origin_channel; ","")&amp;IF(H239="","missing referrer_name_snapshot; ","")&amp;IF(AND(A239="client",COUNTIF(الزبائن!$A$6:$A$505,B239)=0),"client key not found; ","")&amp;IF(AND(A239="proposed_name",COUNTIF('أسماء مقترحة'!$A$6:$A$505,B239)=0),"proposed_name key not found; ",""))))</f>
        <v/>
      </c>
    </row>
    <row r="240" spans="1:17">
      <c r="A240" s="23"/>
      <c r="B240" s="24"/>
      <c r="C240" s="25"/>
      <c r="D240" s="25"/>
      <c r="E240" s="25"/>
      <c r="F240" s="25"/>
      <c r="G240" s="24"/>
      <c r="H240" s="25"/>
      <c r="I240" s="32"/>
      <c r="J240" s="25"/>
      <c r="K240" s="24"/>
      <c r="L240" s="25"/>
      <c r="M240" s="25"/>
      <c r="N240" s="25"/>
      <c r="O240" s="25"/>
      <c r="P240" s="25" t="str">
        <f>IF(AND(A240="",B240="",H240=""),"",IF(OR(A240="",B240="",C240="",E240="",F240="",H240="",AND(A240="client",COUNTIF(الزبائن!$A$6:$A$505,B240)=0),AND(A240="proposed_name",COUNTIF('أسماء مقترحة'!$A$6:$A$505,B240)=0)),"REVIEW","READY"))</f>
        <v/>
      </c>
      <c r="Q240" s="27" t="str">
        <f>IF(P240="","",IF(P240="READY","",TRIM(IF(A240="","missing entity_type; ","")&amp;IF(B240="","missing entity_key; ","")&amp;IF(C240="","missing referrer_order; ","")&amp;IF(E240="","missing referrer_type; ","")&amp;IF(F240="","missing referral_origin_channel; ","")&amp;IF(H240="","missing referrer_name_snapshot; ","")&amp;IF(AND(A240="client",COUNTIF(الزبائن!$A$6:$A$505,B240)=0),"client key not found; ","")&amp;IF(AND(A240="proposed_name",COUNTIF('أسماء مقترحة'!$A$6:$A$505,B240)=0),"proposed_name key not found; ",""))))</f>
        <v/>
      </c>
    </row>
    <row r="241" spans="1:17">
      <c r="A241" s="23"/>
      <c r="B241" s="24"/>
      <c r="C241" s="25"/>
      <c r="D241" s="25"/>
      <c r="E241" s="25"/>
      <c r="F241" s="25"/>
      <c r="G241" s="24"/>
      <c r="H241" s="25"/>
      <c r="I241" s="32"/>
      <c r="J241" s="25"/>
      <c r="K241" s="24"/>
      <c r="L241" s="25"/>
      <c r="M241" s="25"/>
      <c r="N241" s="25"/>
      <c r="O241" s="25"/>
      <c r="P241" s="25" t="str">
        <f>IF(AND(A241="",B241="",H241=""),"",IF(OR(A241="",B241="",C241="",E241="",F241="",H241="",AND(A241="client",COUNTIF(الزبائن!$A$6:$A$505,B241)=0),AND(A241="proposed_name",COUNTIF('أسماء مقترحة'!$A$6:$A$505,B241)=0)),"REVIEW","READY"))</f>
        <v/>
      </c>
      <c r="Q241" s="27" t="str">
        <f>IF(P241="","",IF(P241="READY","",TRIM(IF(A241="","missing entity_type; ","")&amp;IF(B241="","missing entity_key; ","")&amp;IF(C241="","missing referrer_order; ","")&amp;IF(E241="","missing referrer_type; ","")&amp;IF(F241="","missing referral_origin_channel; ","")&amp;IF(H241="","missing referrer_name_snapshot; ","")&amp;IF(AND(A241="client",COUNTIF(الزبائن!$A$6:$A$505,B241)=0),"client key not found; ","")&amp;IF(AND(A241="proposed_name",COUNTIF('أسماء مقترحة'!$A$6:$A$505,B241)=0),"proposed_name key not found; ",""))))</f>
        <v/>
      </c>
    </row>
    <row r="242" spans="1:17">
      <c r="A242" s="23"/>
      <c r="B242" s="24"/>
      <c r="C242" s="25"/>
      <c r="D242" s="25"/>
      <c r="E242" s="25"/>
      <c r="F242" s="25"/>
      <c r="G242" s="24"/>
      <c r="H242" s="25"/>
      <c r="I242" s="32"/>
      <c r="J242" s="25"/>
      <c r="K242" s="24"/>
      <c r="L242" s="25"/>
      <c r="M242" s="25"/>
      <c r="N242" s="25"/>
      <c r="O242" s="25"/>
      <c r="P242" s="25" t="str">
        <f>IF(AND(A242="",B242="",H242=""),"",IF(OR(A242="",B242="",C242="",E242="",F242="",H242="",AND(A242="client",COUNTIF(الزبائن!$A$6:$A$505,B242)=0),AND(A242="proposed_name",COUNTIF('أسماء مقترحة'!$A$6:$A$505,B242)=0)),"REVIEW","READY"))</f>
        <v/>
      </c>
      <c r="Q242" s="27" t="str">
        <f>IF(P242="","",IF(P242="READY","",TRIM(IF(A242="","missing entity_type; ","")&amp;IF(B242="","missing entity_key; ","")&amp;IF(C242="","missing referrer_order; ","")&amp;IF(E242="","missing referrer_type; ","")&amp;IF(F242="","missing referral_origin_channel; ","")&amp;IF(H242="","missing referrer_name_snapshot; ","")&amp;IF(AND(A242="client",COUNTIF(الزبائن!$A$6:$A$505,B242)=0),"client key not found; ","")&amp;IF(AND(A242="proposed_name",COUNTIF('أسماء مقترحة'!$A$6:$A$505,B242)=0),"proposed_name key not found; ",""))))</f>
        <v/>
      </c>
    </row>
    <row r="243" spans="1:17">
      <c r="A243" s="23"/>
      <c r="B243" s="24"/>
      <c r="C243" s="25"/>
      <c r="D243" s="25"/>
      <c r="E243" s="25"/>
      <c r="F243" s="25"/>
      <c r="G243" s="24"/>
      <c r="H243" s="25"/>
      <c r="I243" s="32"/>
      <c r="J243" s="25"/>
      <c r="K243" s="24"/>
      <c r="L243" s="25"/>
      <c r="M243" s="25"/>
      <c r="N243" s="25"/>
      <c r="O243" s="25"/>
      <c r="P243" s="25" t="str">
        <f>IF(AND(A243="",B243="",H243=""),"",IF(OR(A243="",B243="",C243="",E243="",F243="",H243="",AND(A243="client",COUNTIF(الزبائن!$A$6:$A$505,B243)=0),AND(A243="proposed_name",COUNTIF('أسماء مقترحة'!$A$6:$A$505,B243)=0)),"REVIEW","READY"))</f>
        <v/>
      </c>
      <c r="Q243" s="27" t="str">
        <f>IF(P243="","",IF(P243="READY","",TRIM(IF(A243="","missing entity_type; ","")&amp;IF(B243="","missing entity_key; ","")&amp;IF(C243="","missing referrer_order; ","")&amp;IF(E243="","missing referrer_type; ","")&amp;IF(F243="","missing referral_origin_channel; ","")&amp;IF(H243="","missing referrer_name_snapshot; ","")&amp;IF(AND(A243="client",COUNTIF(الزبائن!$A$6:$A$505,B243)=0),"client key not found; ","")&amp;IF(AND(A243="proposed_name",COUNTIF('أسماء مقترحة'!$A$6:$A$505,B243)=0),"proposed_name key not found; ",""))))</f>
        <v/>
      </c>
    </row>
    <row r="244" spans="1:17">
      <c r="A244" s="23"/>
      <c r="B244" s="24"/>
      <c r="C244" s="25"/>
      <c r="D244" s="25"/>
      <c r="E244" s="25"/>
      <c r="F244" s="25"/>
      <c r="G244" s="24"/>
      <c r="H244" s="25"/>
      <c r="I244" s="32"/>
      <c r="J244" s="25"/>
      <c r="K244" s="24"/>
      <c r="L244" s="25"/>
      <c r="M244" s="25"/>
      <c r="N244" s="25"/>
      <c r="O244" s="25"/>
      <c r="P244" s="25" t="str">
        <f>IF(AND(A244="",B244="",H244=""),"",IF(OR(A244="",B244="",C244="",E244="",F244="",H244="",AND(A244="client",COUNTIF(الزبائن!$A$6:$A$505,B244)=0),AND(A244="proposed_name",COUNTIF('أسماء مقترحة'!$A$6:$A$505,B244)=0)),"REVIEW","READY"))</f>
        <v/>
      </c>
      <c r="Q244" s="27" t="str">
        <f>IF(P244="","",IF(P244="READY","",TRIM(IF(A244="","missing entity_type; ","")&amp;IF(B244="","missing entity_key; ","")&amp;IF(C244="","missing referrer_order; ","")&amp;IF(E244="","missing referrer_type; ","")&amp;IF(F244="","missing referral_origin_channel; ","")&amp;IF(H244="","missing referrer_name_snapshot; ","")&amp;IF(AND(A244="client",COUNTIF(الزبائن!$A$6:$A$505,B244)=0),"client key not found; ","")&amp;IF(AND(A244="proposed_name",COUNTIF('أسماء مقترحة'!$A$6:$A$505,B244)=0),"proposed_name key not found; ",""))))</f>
        <v/>
      </c>
    </row>
    <row r="245" spans="1:17">
      <c r="A245" s="23"/>
      <c r="B245" s="24"/>
      <c r="C245" s="25"/>
      <c r="D245" s="25"/>
      <c r="E245" s="25"/>
      <c r="F245" s="25"/>
      <c r="G245" s="24"/>
      <c r="H245" s="25"/>
      <c r="I245" s="32"/>
      <c r="J245" s="25"/>
      <c r="K245" s="24"/>
      <c r="L245" s="25"/>
      <c r="M245" s="25"/>
      <c r="N245" s="25"/>
      <c r="O245" s="25"/>
      <c r="P245" s="25" t="str">
        <f>IF(AND(A245="",B245="",H245=""),"",IF(OR(A245="",B245="",C245="",E245="",F245="",H245="",AND(A245="client",COUNTIF(الزبائن!$A$6:$A$505,B245)=0),AND(A245="proposed_name",COUNTIF('أسماء مقترحة'!$A$6:$A$505,B245)=0)),"REVIEW","READY"))</f>
        <v/>
      </c>
      <c r="Q245" s="27" t="str">
        <f>IF(P245="","",IF(P245="READY","",TRIM(IF(A245="","missing entity_type; ","")&amp;IF(B245="","missing entity_key; ","")&amp;IF(C245="","missing referrer_order; ","")&amp;IF(E245="","missing referrer_type; ","")&amp;IF(F245="","missing referral_origin_channel; ","")&amp;IF(H245="","missing referrer_name_snapshot; ","")&amp;IF(AND(A245="client",COUNTIF(الزبائن!$A$6:$A$505,B245)=0),"client key not found; ","")&amp;IF(AND(A245="proposed_name",COUNTIF('أسماء مقترحة'!$A$6:$A$505,B245)=0),"proposed_name key not found; ",""))))</f>
        <v/>
      </c>
    </row>
    <row r="246" spans="1:17">
      <c r="A246" s="23"/>
      <c r="B246" s="24"/>
      <c r="C246" s="25"/>
      <c r="D246" s="25"/>
      <c r="E246" s="25"/>
      <c r="F246" s="25"/>
      <c r="G246" s="24"/>
      <c r="H246" s="25"/>
      <c r="I246" s="32"/>
      <c r="J246" s="25"/>
      <c r="K246" s="24"/>
      <c r="L246" s="25"/>
      <c r="M246" s="25"/>
      <c r="N246" s="25"/>
      <c r="O246" s="25"/>
      <c r="P246" s="25" t="str">
        <f>IF(AND(A246="",B246="",H246=""),"",IF(OR(A246="",B246="",C246="",E246="",F246="",H246="",AND(A246="client",COUNTIF(الزبائن!$A$6:$A$505,B246)=0),AND(A246="proposed_name",COUNTIF('أسماء مقترحة'!$A$6:$A$505,B246)=0)),"REVIEW","READY"))</f>
        <v/>
      </c>
      <c r="Q246" s="27" t="str">
        <f>IF(P246="","",IF(P246="READY","",TRIM(IF(A246="","missing entity_type; ","")&amp;IF(B246="","missing entity_key; ","")&amp;IF(C246="","missing referrer_order; ","")&amp;IF(E246="","missing referrer_type; ","")&amp;IF(F246="","missing referral_origin_channel; ","")&amp;IF(H246="","missing referrer_name_snapshot; ","")&amp;IF(AND(A246="client",COUNTIF(الزبائن!$A$6:$A$505,B246)=0),"client key not found; ","")&amp;IF(AND(A246="proposed_name",COUNTIF('أسماء مقترحة'!$A$6:$A$505,B246)=0),"proposed_name key not found; ",""))))</f>
        <v/>
      </c>
    </row>
    <row r="247" spans="1:17">
      <c r="A247" s="23"/>
      <c r="B247" s="24"/>
      <c r="C247" s="25"/>
      <c r="D247" s="25"/>
      <c r="E247" s="25"/>
      <c r="F247" s="25"/>
      <c r="G247" s="24"/>
      <c r="H247" s="25"/>
      <c r="I247" s="32"/>
      <c r="J247" s="25"/>
      <c r="K247" s="24"/>
      <c r="L247" s="25"/>
      <c r="M247" s="25"/>
      <c r="N247" s="25"/>
      <c r="O247" s="25"/>
      <c r="P247" s="25" t="str">
        <f>IF(AND(A247="",B247="",H247=""),"",IF(OR(A247="",B247="",C247="",E247="",F247="",H247="",AND(A247="client",COUNTIF(الزبائن!$A$6:$A$505,B247)=0),AND(A247="proposed_name",COUNTIF('أسماء مقترحة'!$A$6:$A$505,B247)=0)),"REVIEW","READY"))</f>
        <v/>
      </c>
      <c r="Q247" s="27" t="str">
        <f>IF(P247="","",IF(P247="READY","",TRIM(IF(A247="","missing entity_type; ","")&amp;IF(B247="","missing entity_key; ","")&amp;IF(C247="","missing referrer_order; ","")&amp;IF(E247="","missing referrer_type; ","")&amp;IF(F247="","missing referral_origin_channel; ","")&amp;IF(H247="","missing referrer_name_snapshot; ","")&amp;IF(AND(A247="client",COUNTIF(الزبائن!$A$6:$A$505,B247)=0),"client key not found; ","")&amp;IF(AND(A247="proposed_name",COUNTIF('أسماء مقترحة'!$A$6:$A$505,B247)=0),"proposed_name key not found; ",""))))</f>
        <v/>
      </c>
    </row>
    <row r="248" spans="1:17">
      <c r="A248" s="23"/>
      <c r="B248" s="24"/>
      <c r="C248" s="25"/>
      <c r="D248" s="25"/>
      <c r="E248" s="25"/>
      <c r="F248" s="25"/>
      <c r="G248" s="24"/>
      <c r="H248" s="25"/>
      <c r="I248" s="32"/>
      <c r="J248" s="25"/>
      <c r="K248" s="24"/>
      <c r="L248" s="25"/>
      <c r="M248" s="25"/>
      <c r="N248" s="25"/>
      <c r="O248" s="25"/>
      <c r="P248" s="25" t="str">
        <f>IF(AND(A248="",B248="",H248=""),"",IF(OR(A248="",B248="",C248="",E248="",F248="",H248="",AND(A248="client",COUNTIF(الزبائن!$A$6:$A$505,B248)=0),AND(A248="proposed_name",COUNTIF('أسماء مقترحة'!$A$6:$A$505,B248)=0)),"REVIEW","READY"))</f>
        <v/>
      </c>
      <c r="Q248" s="27" t="str">
        <f>IF(P248="","",IF(P248="READY","",TRIM(IF(A248="","missing entity_type; ","")&amp;IF(B248="","missing entity_key; ","")&amp;IF(C248="","missing referrer_order; ","")&amp;IF(E248="","missing referrer_type; ","")&amp;IF(F248="","missing referral_origin_channel; ","")&amp;IF(H248="","missing referrer_name_snapshot; ","")&amp;IF(AND(A248="client",COUNTIF(الزبائن!$A$6:$A$505,B248)=0),"client key not found; ","")&amp;IF(AND(A248="proposed_name",COUNTIF('أسماء مقترحة'!$A$6:$A$505,B248)=0),"proposed_name key not found; ",""))))</f>
        <v/>
      </c>
    </row>
    <row r="249" spans="1:17">
      <c r="A249" s="23"/>
      <c r="B249" s="24"/>
      <c r="C249" s="25"/>
      <c r="D249" s="25"/>
      <c r="E249" s="25"/>
      <c r="F249" s="25"/>
      <c r="G249" s="24"/>
      <c r="H249" s="25"/>
      <c r="I249" s="32"/>
      <c r="J249" s="25"/>
      <c r="K249" s="24"/>
      <c r="L249" s="25"/>
      <c r="M249" s="25"/>
      <c r="N249" s="25"/>
      <c r="O249" s="25"/>
      <c r="P249" s="25" t="str">
        <f>IF(AND(A249="",B249="",H249=""),"",IF(OR(A249="",B249="",C249="",E249="",F249="",H249="",AND(A249="client",COUNTIF(الزبائن!$A$6:$A$505,B249)=0),AND(A249="proposed_name",COUNTIF('أسماء مقترحة'!$A$6:$A$505,B249)=0)),"REVIEW","READY"))</f>
        <v/>
      </c>
      <c r="Q249" s="27" t="str">
        <f>IF(P249="","",IF(P249="READY","",TRIM(IF(A249="","missing entity_type; ","")&amp;IF(B249="","missing entity_key; ","")&amp;IF(C249="","missing referrer_order; ","")&amp;IF(E249="","missing referrer_type; ","")&amp;IF(F249="","missing referral_origin_channel; ","")&amp;IF(H249="","missing referrer_name_snapshot; ","")&amp;IF(AND(A249="client",COUNTIF(الزبائن!$A$6:$A$505,B249)=0),"client key not found; ","")&amp;IF(AND(A249="proposed_name",COUNTIF('أسماء مقترحة'!$A$6:$A$505,B249)=0),"proposed_name key not found; ",""))))</f>
        <v/>
      </c>
    </row>
    <row r="250" spans="1:17">
      <c r="A250" s="23"/>
      <c r="B250" s="24"/>
      <c r="C250" s="25"/>
      <c r="D250" s="25"/>
      <c r="E250" s="25"/>
      <c r="F250" s="25"/>
      <c r="G250" s="24"/>
      <c r="H250" s="25"/>
      <c r="I250" s="32"/>
      <c r="J250" s="25"/>
      <c r="K250" s="24"/>
      <c r="L250" s="25"/>
      <c r="M250" s="25"/>
      <c r="N250" s="25"/>
      <c r="O250" s="25"/>
      <c r="P250" s="25" t="str">
        <f>IF(AND(A250="",B250="",H250=""),"",IF(OR(A250="",B250="",C250="",E250="",F250="",H250="",AND(A250="client",COUNTIF(الزبائن!$A$6:$A$505,B250)=0),AND(A250="proposed_name",COUNTIF('أسماء مقترحة'!$A$6:$A$505,B250)=0)),"REVIEW","READY"))</f>
        <v/>
      </c>
      <c r="Q250" s="27" t="str">
        <f>IF(P250="","",IF(P250="READY","",TRIM(IF(A250="","missing entity_type; ","")&amp;IF(B250="","missing entity_key; ","")&amp;IF(C250="","missing referrer_order; ","")&amp;IF(E250="","missing referrer_type; ","")&amp;IF(F250="","missing referral_origin_channel; ","")&amp;IF(H250="","missing referrer_name_snapshot; ","")&amp;IF(AND(A250="client",COUNTIF(الزبائن!$A$6:$A$505,B250)=0),"client key not found; ","")&amp;IF(AND(A250="proposed_name",COUNTIF('أسماء مقترحة'!$A$6:$A$505,B250)=0),"proposed_name key not found; ",""))))</f>
        <v/>
      </c>
    </row>
    <row r="251" spans="1:17">
      <c r="A251" s="23"/>
      <c r="B251" s="24"/>
      <c r="C251" s="25"/>
      <c r="D251" s="25"/>
      <c r="E251" s="25"/>
      <c r="F251" s="25"/>
      <c r="G251" s="24"/>
      <c r="H251" s="25"/>
      <c r="I251" s="32"/>
      <c r="J251" s="25"/>
      <c r="K251" s="24"/>
      <c r="L251" s="25"/>
      <c r="M251" s="25"/>
      <c r="N251" s="25"/>
      <c r="O251" s="25"/>
      <c r="P251" s="25" t="str">
        <f>IF(AND(A251="",B251="",H251=""),"",IF(OR(A251="",B251="",C251="",E251="",F251="",H251="",AND(A251="client",COUNTIF(الزبائن!$A$6:$A$505,B251)=0),AND(A251="proposed_name",COUNTIF('أسماء مقترحة'!$A$6:$A$505,B251)=0)),"REVIEW","READY"))</f>
        <v/>
      </c>
      <c r="Q251" s="27" t="str">
        <f>IF(P251="","",IF(P251="READY","",TRIM(IF(A251="","missing entity_type; ","")&amp;IF(B251="","missing entity_key; ","")&amp;IF(C251="","missing referrer_order; ","")&amp;IF(E251="","missing referrer_type; ","")&amp;IF(F251="","missing referral_origin_channel; ","")&amp;IF(H251="","missing referrer_name_snapshot; ","")&amp;IF(AND(A251="client",COUNTIF(الزبائن!$A$6:$A$505,B251)=0),"client key not found; ","")&amp;IF(AND(A251="proposed_name",COUNTIF('أسماء مقترحة'!$A$6:$A$505,B251)=0),"proposed_name key not found; ",""))))</f>
        <v/>
      </c>
    </row>
    <row r="252" spans="1:17">
      <c r="A252" s="23"/>
      <c r="B252" s="24"/>
      <c r="C252" s="25"/>
      <c r="D252" s="25"/>
      <c r="E252" s="25"/>
      <c r="F252" s="25"/>
      <c r="G252" s="24"/>
      <c r="H252" s="25"/>
      <c r="I252" s="32"/>
      <c r="J252" s="25"/>
      <c r="K252" s="24"/>
      <c r="L252" s="25"/>
      <c r="M252" s="25"/>
      <c r="N252" s="25"/>
      <c r="O252" s="25"/>
      <c r="P252" s="25" t="str">
        <f>IF(AND(A252="",B252="",H252=""),"",IF(OR(A252="",B252="",C252="",E252="",F252="",H252="",AND(A252="client",COUNTIF(الزبائن!$A$6:$A$505,B252)=0),AND(A252="proposed_name",COUNTIF('أسماء مقترحة'!$A$6:$A$505,B252)=0)),"REVIEW","READY"))</f>
        <v/>
      </c>
      <c r="Q252" s="27" t="str">
        <f>IF(P252="","",IF(P252="READY","",TRIM(IF(A252="","missing entity_type; ","")&amp;IF(B252="","missing entity_key; ","")&amp;IF(C252="","missing referrer_order; ","")&amp;IF(E252="","missing referrer_type; ","")&amp;IF(F252="","missing referral_origin_channel; ","")&amp;IF(H252="","missing referrer_name_snapshot; ","")&amp;IF(AND(A252="client",COUNTIF(الزبائن!$A$6:$A$505,B252)=0),"client key not found; ","")&amp;IF(AND(A252="proposed_name",COUNTIF('أسماء مقترحة'!$A$6:$A$505,B252)=0),"proposed_name key not found; ",""))))</f>
        <v/>
      </c>
    </row>
    <row r="253" spans="1:17">
      <c r="A253" s="23"/>
      <c r="B253" s="24"/>
      <c r="C253" s="25"/>
      <c r="D253" s="25"/>
      <c r="E253" s="25"/>
      <c r="F253" s="25"/>
      <c r="G253" s="24"/>
      <c r="H253" s="25"/>
      <c r="I253" s="32"/>
      <c r="J253" s="25"/>
      <c r="K253" s="24"/>
      <c r="L253" s="25"/>
      <c r="M253" s="25"/>
      <c r="N253" s="25"/>
      <c r="O253" s="25"/>
      <c r="P253" s="25" t="str">
        <f>IF(AND(A253="",B253="",H253=""),"",IF(OR(A253="",B253="",C253="",E253="",F253="",H253="",AND(A253="client",COUNTIF(الزبائن!$A$6:$A$505,B253)=0),AND(A253="proposed_name",COUNTIF('أسماء مقترحة'!$A$6:$A$505,B253)=0)),"REVIEW","READY"))</f>
        <v/>
      </c>
      <c r="Q253" s="27" t="str">
        <f>IF(P253="","",IF(P253="READY","",TRIM(IF(A253="","missing entity_type; ","")&amp;IF(B253="","missing entity_key; ","")&amp;IF(C253="","missing referrer_order; ","")&amp;IF(E253="","missing referrer_type; ","")&amp;IF(F253="","missing referral_origin_channel; ","")&amp;IF(H253="","missing referrer_name_snapshot; ","")&amp;IF(AND(A253="client",COUNTIF(الزبائن!$A$6:$A$505,B253)=0),"client key not found; ","")&amp;IF(AND(A253="proposed_name",COUNTIF('أسماء مقترحة'!$A$6:$A$505,B253)=0),"proposed_name key not found; ",""))))</f>
        <v/>
      </c>
    </row>
    <row r="254" spans="1:17">
      <c r="A254" s="23"/>
      <c r="B254" s="24"/>
      <c r="C254" s="25"/>
      <c r="D254" s="25"/>
      <c r="E254" s="25"/>
      <c r="F254" s="25"/>
      <c r="G254" s="24"/>
      <c r="H254" s="25"/>
      <c r="I254" s="32"/>
      <c r="J254" s="25"/>
      <c r="K254" s="24"/>
      <c r="L254" s="25"/>
      <c r="M254" s="25"/>
      <c r="N254" s="25"/>
      <c r="O254" s="25"/>
      <c r="P254" s="25" t="str">
        <f>IF(AND(A254="",B254="",H254=""),"",IF(OR(A254="",B254="",C254="",E254="",F254="",H254="",AND(A254="client",COUNTIF(الزبائن!$A$6:$A$505,B254)=0),AND(A254="proposed_name",COUNTIF('أسماء مقترحة'!$A$6:$A$505,B254)=0)),"REVIEW","READY"))</f>
        <v/>
      </c>
      <c r="Q254" s="27" t="str">
        <f>IF(P254="","",IF(P254="READY","",TRIM(IF(A254="","missing entity_type; ","")&amp;IF(B254="","missing entity_key; ","")&amp;IF(C254="","missing referrer_order; ","")&amp;IF(E254="","missing referrer_type; ","")&amp;IF(F254="","missing referral_origin_channel; ","")&amp;IF(H254="","missing referrer_name_snapshot; ","")&amp;IF(AND(A254="client",COUNTIF(الزبائن!$A$6:$A$505,B254)=0),"client key not found; ","")&amp;IF(AND(A254="proposed_name",COUNTIF('أسماء مقترحة'!$A$6:$A$505,B254)=0),"proposed_name key not found; ",""))))</f>
        <v/>
      </c>
    </row>
    <row r="255" spans="1:17">
      <c r="A255" s="23"/>
      <c r="B255" s="24"/>
      <c r="C255" s="25"/>
      <c r="D255" s="25"/>
      <c r="E255" s="25"/>
      <c r="F255" s="25"/>
      <c r="G255" s="24"/>
      <c r="H255" s="25"/>
      <c r="I255" s="32"/>
      <c r="J255" s="25"/>
      <c r="K255" s="24"/>
      <c r="L255" s="25"/>
      <c r="M255" s="25"/>
      <c r="N255" s="25"/>
      <c r="O255" s="25"/>
      <c r="P255" s="25" t="str">
        <f>IF(AND(A255="",B255="",H255=""),"",IF(OR(A255="",B255="",C255="",E255="",F255="",H255="",AND(A255="client",COUNTIF(الزبائن!$A$6:$A$505,B255)=0),AND(A255="proposed_name",COUNTIF('أسماء مقترحة'!$A$6:$A$505,B255)=0)),"REVIEW","READY"))</f>
        <v/>
      </c>
      <c r="Q255" s="27" t="str">
        <f>IF(P255="","",IF(P255="READY","",TRIM(IF(A255="","missing entity_type; ","")&amp;IF(B255="","missing entity_key; ","")&amp;IF(C255="","missing referrer_order; ","")&amp;IF(E255="","missing referrer_type; ","")&amp;IF(F255="","missing referral_origin_channel; ","")&amp;IF(H255="","missing referrer_name_snapshot; ","")&amp;IF(AND(A255="client",COUNTIF(الزبائن!$A$6:$A$505,B255)=0),"client key not found; ","")&amp;IF(AND(A255="proposed_name",COUNTIF('أسماء مقترحة'!$A$6:$A$505,B255)=0),"proposed_name key not found; ",""))))</f>
        <v/>
      </c>
    </row>
    <row r="256" spans="1:17">
      <c r="A256" s="23"/>
      <c r="B256" s="24"/>
      <c r="C256" s="25"/>
      <c r="D256" s="25"/>
      <c r="E256" s="25"/>
      <c r="F256" s="25"/>
      <c r="G256" s="24"/>
      <c r="H256" s="25"/>
      <c r="I256" s="32"/>
      <c r="J256" s="25"/>
      <c r="K256" s="24"/>
      <c r="L256" s="25"/>
      <c r="M256" s="25"/>
      <c r="N256" s="25"/>
      <c r="O256" s="25"/>
      <c r="P256" s="25" t="str">
        <f>IF(AND(A256="",B256="",H256=""),"",IF(OR(A256="",B256="",C256="",E256="",F256="",H256="",AND(A256="client",COUNTIF(الزبائن!$A$6:$A$505,B256)=0),AND(A256="proposed_name",COUNTIF('أسماء مقترحة'!$A$6:$A$505,B256)=0)),"REVIEW","READY"))</f>
        <v/>
      </c>
      <c r="Q256" s="27" t="str">
        <f>IF(P256="","",IF(P256="READY","",TRIM(IF(A256="","missing entity_type; ","")&amp;IF(B256="","missing entity_key; ","")&amp;IF(C256="","missing referrer_order; ","")&amp;IF(E256="","missing referrer_type; ","")&amp;IF(F256="","missing referral_origin_channel; ","")&amp;IF(H256="","missing referrer_name_snapshot; ","")&amp;IF(AND(A256="client",COUNTIF(الزبائن!$A$6:$A$505,B256)=0),"client key not found; ","")&amp;IF(AND(A256="proposed_name",COUNTIF('أسماء مقترحة'!$A$6:$A$505,B256)=0),"proposed_name key not found; ",""))))</f>
        <v/>
      </c>
    </row>
    <row r="257" spans="1:17">
      <c r="A257" s="23"/>
      <c r="B257" s="24"/>
      <c r="C257" s="25"/>
      <c r="D257" s="25"/>
      <c r="E257" s="25"/>
      <c r="F257" s="25"/>
      <c r="G257" s="24"/>
      <c r="H257" s="25"/>
      <c r="I257" s="32"/>
      <c r="J257" s="25"/>
      <c r="K257" s="24"/>
      <c r="L257" s="25"/>
      <c r="M257" s="25"/>
      <c r="N257" s="25"/>
      <c r="O257" s="25"/>
      <c r="P257" s="25" t="str">
        <f>IF(AND(A257="",B257="",H257=""),"",IF(OR(A257="",B257="",C257="",E257="",F257="",H257="",AND(A257="client",COUNTIF(الزبائن!$A$6:$A$505,B257)=0),AND(A257="proposed_name",COUNTIF('أسماء مقترحة'!$A$6:$A$505,B257)=0)),"REVIEW","READY"))</f>
        <v/>
      </c>
      <c r="Q257" s="27" t="str">
        <f>IF(P257="","",IF(P257="READY","",TRIM(IF(A257="","missing entity_type; ","")&amp;IF(B257="","missing entity_key; ","")&amp;IF(C257="","missing referrer_order; ","")&amp;IF(E257="","missing referrer_type; ","")&amp;IF(F257="","missing referral_origin_channel; ","")&amp;IF(H257="","missing referrer_name_snapshot; ","")&amp;IF(AND(A257="client",COUNTIF(الزبائن!$A$6:$A$505,B257)=0),"client key not found; ","")&amp;IF(AND(A257="proposed_name",COUNTIF('أسماء مقترحة'!$A$6:$A$505,B257)=0),"proposed_name key not found; ",""))))</f>
        <v/>
      </c>
    </row>
    <row r="258" spans="1:17">
      <c r="A258" s="23"/>
      <c r="B258" s="24"/>
      <c r="C258" s="25"/>
      <c r="D258" s="25"/>
      <c r="E258" s="25"/>
      <c r="F258" s="25"/>
      <c r="G258" s="24"/>
      <c r="H258" s="25"/>
      <c r="I258" s="32"/>
      <c r="J258" s="25"/>
      <c r="K258" s="24"/>
      <c r="L258" s="25"/>
      <c r="M258" s="25"/>
      <c r="N258" s="25"/>
      <c r="O258" s="25"/>
      <c r="P258" s="25" t="str">
        <f>IF(AND(A258="",B258="",H258=""),"",IF(OR(A258="",B258="",C258="",E258="",F258="",H258="",AND(A258="client",COUNTIF(الزبائن!$A$6:$A$505,B258)=0),AND(A258="proposed_name",COUNTIF('أسماء مقترحة'!$A$6:$A$505,B258)=0)),"REVIEW","READY"))</f>
        <v/>
      </c>
      <c r="Q258" s="27" t="str">
        <f>IF(P258="","",IF(P258="READY","",TRIM(IF(A258="","missing entity_type; ","")&amp;IF(B258="","missing entity_key; ","")&amp;IF(C258="","missing referrer_order; ","")&amp;IF(E258="","missing referrer_type; ","")&amp;IF(F258="","missing referral_origin_channel; ","")&amp;IF(H258="","missing referrer_name_snapshot; ","")&amp;IF(AND(A258="client",COUNTIF(الزبائن!$A$6:$A$505,B258)=0),"client key not found; ","")&amp;IF(AND(A258="proposed_name",COUNTIF('أسماء مقترحة'!$A$6:$A$505,B258)=0),"proposed_name key not found; ",""))))</f>
        <v/>
      </c>
    </row>
    <row r="259" spans="1:17">
      <c r="A259" s="23"/>
      <c r="B259" s="24"/>
      <c r="C259" s="25"/>
      <c r="D259" s="25"/>
      <c r="E259" s="25"/>
      <c r="F259" s="25"/>
      <c r="G259" s="24"/>
      <c r="H259" s="25"/>
      <c r="I259" s="32"/>
      <c r="J259" s="25"/>
      <c r="K259" s="24"/>
      <c r="L259" s="25"/>
      <c r="M259" s="25"/>
      <c r="N259" s="25"/>
      <c r="O259" s="25"/>
      <c r="P259" s="25" t="str">
        <f>IF(AND(A259="",B259="",H259=""),"",IF(OR(A259="",B259="",C259="",E259="",F259="",H259="",AND(A259="client",COUNTIF(الزبائن!$A$6:$A$505,B259)=0),AND(A259="proposed_name",COUNTIF('أسماء مقترحة'!$A$6:$A$505,B259)=0)),"REVIEW","READY"))</f>
        <v/>
      </c>
      <c r="Q259" s="27" t="str">
        <f>IF(P259="","",IF(P259="READY","",TRIM(IF(A259="","missing entity_type; ","")&amp;IF(B259="","missing entity_key; ","")&amp;IF(C259="","missing referrer_order; ","")&amp;IF(E259="","missing referrer_type; ","")&amp;IF(F259="","missing referral_origin_channel; ","")&amp;IF(H259="","missing referrer_name_snapshot; ","")&amp;IF(AND(A259="client",COUNTIF(الزبائن!$A$6:$A$505,B259)=0),"client key not found; ","")&amp;IF(AND(A259="proposed_name",COUNTIF('أسماء مقترحة'!$A$6:$A$505,B259)=0),"proposed_name key not found; ",""))))</f>
        <v/>
      </c>
    </row>
    <row r="260" spans="1:17">
      <c r="A260" s="23"/>
      <c r="B260" s="24"/>
      <c r="C260" s="25"/>
      <c r="D260" s="25"/>
      <c r="E260" s="25"/>
      <c r="F260" s="25"/>
      <c r="G260" s="24"/>
      <c r="H260" s="25"/>
      <c r="I260" s="32"/>
      <c r="J260" s="25"/>
      <c r="K260" s="24"/>
      <c r="L260" s="25"/>
      <c r="M260" s="25"/>
      <c r="N260" s="25"/>
      <c r="O260" s="25"/>
      <c r="P260" s="25" t="str">
        <f>IF(AND(A260="",B260="",H260=""),"",IF(OR(A260="",B260="",C260="",E260="",F260="",H260="",AND(A260="client",COUNTIF(الزبائن!$A$6:$A$505,B260)=0),AND(A260="proposed_name",COUNTIF('أسماء مقترحة'!$A$6:$A$505,B260)=0)),"REVIEW","READY"))</f>
        <v/>
      </c>
      <c r="Q260" s="27" t="str">
        <f>IF(P260="","",IF(P260="READY","",TRIM(IF(A260="","missing entity_type; ","")&amp;IF(B260="","missing entity_key; ","")&amp;IF(C260="","missing referrer_order; ","")&amp;IF(E260="","missing referrer_type; ","")&amp;IF(F260="","missing referral_origin_channel; ","")&amp;IF(H260="","missing referrer_name_snapshot; ","")&amp;IF(AND(A260="client",COUNTIF(الزبائن!$A$6:$A$505,B260)=0),"client key not found; ","")&amp;IF(AND(A260="proposed_name",COUNTIF('أسماء مقترحة'!$A$6:$A$505,B260)=0),"proposed_name key not found; ",""))))</f>
        <v/>
      </c>
    </row>
    <row r="261" spans="1:17">
      <c r="A261" s="23"/>
      <c r="B261" s="24"/>
      <c r="C261" s="25"/>
      <c r="D261" s="25"/>
      <c r="E261" s="25"/>
      <c r="F261" s="25"/>
      <c r="G261" s="24"/>
      <c r="H261" s="25"/>
      <c r="I261" s="32"/>
      <c r="J261" s="25"/>
      <c r="K261" s="24"/>
      <c r="L261" s="25"/>
      <c r="M261" s="25"/>
      <c r="N261" s="25"/>
      <c r="O261" s="25"/>
      <c r="P261" s="25" t="str">
        <f>IF(AND(A261="",B261="",H261=""),"",IF(OR(A261="",B261="",C261="",E261="",F261="",H261="",AND(A261="client",COUNTIF(الزبائن!$A$6:$A$505,B261)=0),AND(A261="proposed_name",COUNTIF('أسماء مقترحة'!$A$6:$A$505,B261)=0)),"REVIEW","READY"))</f>
        <v/>
      </c>
      <c r="Q261" s="27" t="str">
        <f>IF(P261="","",IF(P261="READY","",TRIM(IF(A261="","missing entity_type; ","")&amp;IF(B261="","missing entity_key; ","")&amp;IF(C261="","missing referrer_order; ","")&amp;IF(E261="","missing referrer_type; ","")&amp;IF(F261="","missing referral_origin_channel; ","")&amp;IF(H261="","missing referrer_name_snapshot; ","")&amp;IF(AND(A261="client",COUNTIF(الزبائن!$A$6:$A$505,B261)=0),"client key not found; ","")&amp;IF(AND(A261="proposed_name",COUNTIF('أسماء مقترحة'!$A$6:$A$505,B261)=0),"proposed_name key not found; ",""))))</f>
        <v/>
      </c>
    </row>
    <row r="262" spans="1:17">
      <c r="A262" s="23"/>
      <c r="B262" s="24"/>
      <c r="C262" s="25"/>
      <c r="D262" s="25"/>
      <c r="E262" s="25"/>
      <c r="F262" s="25"/>
      <c r="G262" s="24"/>
      <c r="H262" s="25"/>
      <c r="I262" s="32"/>
      <c r="J262" s="25"/>
      <c r="K262" s="24"/>
      <c r="L262" s="25"/>
      <c r="M262" s="25"/>
      <c r="N262" s="25"/>
      <c r="O262" s="25"/>
      <c r="P262" s="25" t="str">
        <f>IF(AND(A262="",B262="",H262=""),"",IF(OR(A262="",B262="",C262="",E262="",F262="",H262="",AND(A262="client",COUNTIF(الزبائن!$A$6:$A$505,B262)=0),AND(A262="proposed_name",COUNTIF('أسماء مقترحة'!$A$6:$A$505,B262)=0)),"REVIEW","READY"))</f>
        <v/>
      </c>
      <c r="Q262" s="27" t="str">
        <f>IF(P262="","",IF(P262="READY","",TRIM(IF(A262="","missing entity_type; ","")&amp;IF(B262="","missing entity_key; ","")&amp;IF(C262="","missing referrer_order; ","")&amp;IF(E262="","missing referrer_type; ","")&amp;IF(F262="","missing referral_origin_channel; ","")&amp;IF(H262="","missing referrer_name_snapshot; ","")&amp;IF(AND(A262="client",COUNTIF(الزبائن!$A$6:$A$505,B262)=0),"client key not found; ","")&amp;IF(AND(A262="proposed_name",COUNTIF('أسماء مقترحة'!$A$6:$A$505,B262)=0),"proposed_name key not found; ",""))))</f>
        <v/>
      </c>
    </row>
    <row r="263" spans="1:17">
      <c r="A263" s="23"/>
      <c r="B263" s="24"/>
      <c r="C263" s="25"/>
      <c r="D263" s="25"/>
      <c r="E263" s="25"/>
      <c r="F263" s="25"/>
      <c r="G263" s="24"/>
      <c r="H263" s="25"/>
      <c r="I263" s="32"/>
      <c r="J263" s="25"/>
      <c r="K263" s="24"/>
      <c r="L263" s="25"/>
      <c r="M263" s="25"/>
      <c r="N263" s="25"/>
      <c r="O263" s="25"/>
      <c r="P263" s="25" t="str">
        <f>IF(AND(A263="",B263="",H263=""),"",IF(OR(A263="",B263="",C263="",E263="",F263="",H263="",AND(A263="client",COUNTIF(الزبائن!$A$6:$A$505,B263)=0),AND(A263="proposed_name",COUNTIF('أسماء مقترحة'!$A$6:$A$505,B263)=0)),"REVIEW","READY"))</f>
        <v/>
      </c>
      <c r="Q263" s="27" t="str">
        <f>IF(P263="","",IF(P263="READY","",TRIM(IF(A263="","missing entity_type; ","")&amp;IF(B263="","missing entity_key; ","")&amp;IF(C263="","missing referrer_order; ","")&amp;IF(E263="","missing referrer_type; ","")&amp;IF(F263="","missing referral_origin_channel; ","")&amp;IF(H263="","missing referrer_name_snapshot; ","")&amp;IF(AND(A263="client",COUNTIF(الزبائن!$A$6:$A$505,B263)=0),"client key not found; ","")&amp;IF(AND(A263="proposed_name",COUNTIF('أسماء مقترحة'!$A$6:$A$505,B263)=0),"proposed_name key not found; ",""))))</f>
        <v/>
      </c>
    </row>
    <row r="264" spans="1:17">
      <c r="A264" s="23"/>
      <c r="B264" s="24"/>
      <c r="C264" s="25"/>
      <c r="D264" s="25"/>
      <c r="E264" s="25"/>
      <c r="F264" s="25"/>
      <c r="G264" s="24"/>
      <c r="H264" s="25"/>
      <c r="I264" s="32"/>
      <c r="J264" s="25"/>
      <c r="K264" s="24"/>
      <c r="L264" s="25"/>
      <c r="M264" s="25"/>
      <c r="N264" s="25"/>
      <c r="O264" s="25"/>
      <c r="P264" s="25" t="str">
        <f>IF(AND(A264="",B264="",H264=""),"",IF(OR(A264="",B264="",C264="",E264="",F264="",H264="",AND(A264="client",COUNTIF(الزبائن!$A$6:$A$505,B264)=0),AND(A264="proposed_name",COUNTIF('أسماء مقترحة'!$A$6:$A$505,B264)=0)),"REVIEW","READY"))</f>
        <v/>
      </c>
      <c r="Q264" s="27" t="str">
        <f>IF(P264="","",IF(P264="READY","",TRIM(IF(A264="","missing entity_type; ","")&amp;IF(B264="","missing entity_key; ","")&amp;IF(C264="","missing referrer_order; ","")&amp;IF(E264="","missing referrer_type; ","")&amp;IF(F264="","missing referral_origin_channel; ","")&amp;IF(H264="","missing referrer_name_snapshot; ","")&amp;IF(AND(A264="client",COUNTIF(الزبائن!$A$6:$A$505,B264)=0),"client key not found; ","")&amp;IF(AND(A264="proposed_name",COUNTIF('أسماء مقترحة'!$A$6:$A$505,B264)=0),"proposed_name key not found; ",""))))</f>
        <v/>
      </c>
    </row>
    <row r="265" spans="1:17">
      <c r="A265" s="23"/>
      <c r="B265" s="24"/>
      <c r="C265" s="25"/>
      <c r="D265" s="25"/>
      <c r="E265" s="25"/>
      <c r="F265" s="25"/>
      <c r="G265" s="24"/>
      <c r="H265" s="25"/>
      <c r="I265" s="32"/>
      <c r="J265" s="25"/>
      <c r="K265" s="24"/>
      <c r="L265" s="25"/>
      <c r="M265" s="25"/>
      <c r="N265" s="25"/>
      <c r="O265" s="25"/>
      <c r="P265" s="25" t="str">
        <f>IF(AND(A265="",B265="",H265=""),"",IF(OR(A265="",B265="",C265="",E265="",F265="",H265="",AND(A265="client",COUNTIF(الزبائن!$A$6:$A$505,B265)=0),AND(A265="proposed_name",COUNTIF('أسماء مقترحة'!$A$6:$A$505,B265)=0)),"REVIEW","READY"))</f>
        <v/>
      </c>
      <c r="Q265" s="27" t="str">
        <f>IF(P265="","",IF(P265="READY","",TRIM(IF(A265="","missing entity_type; ","")&amp;IF(B265="","missing entity_key; ","")&amp;IF(C265="","missing referrer_order; ","")&amp;IF(E265="","missing referrer_type; ","")&amp;IF(F265="","missing referral_origin_channel; ","")&amp;IF(H265="","missing referrer_name_snapshot; ","")&amp;IF(AND(A265="client",COUNTIF(الزبائن!$A$6:$A$505,B265)=0),"client key not found; ","")&amp;IF(AND(A265="proposed_name",COUNTIF('أسماء مقترحة'!$A$6:$A$505,B265)=0),"proposed_name key not found; ",""))))</f>
        <v/>
      </c>
    </row>
    <row r="266" spans="1:17">
      <c r="A266" s="23"/>
      <c r="B266" s="24"/>
      <c r="C266" s="25"/>
      <c r="D266" s="25"/>
      <c r="E266" s="25"/>
      <c r="F266" s="25"/>
      <c r="G266" s="24"/>
      <c r="H266" s="25"/>
      <c r="I266" s="32"/>
      <c r="J266" s="25"/>
      <c r="K266" s="24"/>
      <c r="L266" s="25"/>
      <c r="M266" s="25"/>
      <c r="N266" s="25"/>
      <c r="O266" s="25"/>
      <c r="P266" s="25" t="str">
        <f>IF(AND(A266="",B266="",H266=""),"",IF(OR(A266="",B266="",C266="",E266="",F266="",H266="",AND(A266="client",COUNTIF(الزبائن!$A$6:$A$505,B266)=0),AND(A266="proposed_name",COUNTIF('أسماء مقترحة'!$A$6:$A$505,B266)=0)),"REVIEW","READY"))</f>
        <v/>
      </c>
      <c r="Q266" s="27" t="str">
        <f>IF(P266="","",IF(P266="READY","",TRIM(IF(A266="","missing entity_type; ","")&amp;IF(B266="","missing entity_key; ","")&amp;IF(C266="","missing referrer_order; ","")&amp;IF(E266="","missing referrer_type; ","")&amp;IF(F266="","missing referral_origin_channel; ","")&amp;IF(H266="","missing referrer_name_snapshot; ","")&amp;IF(AND(A266="client",COUNTIF(الزبائن!$A$6:$A$505,B266)=0),"client key not found; ","")&amp;IF(AND(A266="proposed_name",COUNTIF('أسماء مقترحة'!$A$6:$A$505,B266)=0),"proposed_name key not found; ",""))))</f>
        <v/>
      </c>
    </row>
    <row r="267" spans="1:17">
      <c r="A267" s="23"/>
      <c r="B267" s="24"/>
      <c r="C267" s="25"/>
      <c r="D267" s="25"/>
      <c r="E267" s="25"/>
      <c r="F267" s="25"/>
      <c r="G267" s="24"/>
      <c r="H267" s="25"/>
      <c r="I267" s="32"/>
      <c r="J267" s="25"/>
      <c r="K267" s="24"/>
      <c r="L267" s="25"/>
      <c r="M267" s="25"/>
      <c r="N267" s="25"/>
      <c r="O267" s="25"/>
      <c r="P267" s="25" t="str">
        <f>IF(AND(A267="",B267="",H267=""),"",IF(OR(A267="",B267="",C267="",E267="",F267="",H267="",AND(A267="client",COUNTIF(الزبائن!$A$6:$A$505,B267)=0),AND(A267="proposed_name",COUNTIF('أسماء مقترحة'!$A$6:$A$505,B267)=0)),"REVIEW","READY"))</f>
        <v/>
      </c>
      <c r="Q267" s="27" t="str">
        <f>IF(P267="","",IF(P267="READY","",TRIM(IF(A267="","missing entity_type; ","")&amp;IF(B267="","missing entity_key; ","")&amp;IF(C267="","missing referrer_order; ","")&amp;IF(E267="","missing referrer_type; ","")&amp;IF(F267="","missing referral_origin_channel; ","")&amp;IF(H267="","missing referrer_name_snapshot; ","")&amp;IF(AND(A267="client",COUNTIF(الزبائن!$A$6:$A$505,B267)=0),"client key not found; ","")&amp;IF(AND(A267="proposed_name",COUNTIF('أسماء مقترحة'!$A$6:$A$505,B267)=0),"proposed_name key not found; ",""))))</f>
        <v/>
      </c>
    </row>
    <row r="268" spans="1:17">
      <c r="A268" s="23"/>
      <c r="B268" s="24"/>
      <c r="C268" s="25"/>
      <c r="D268" s="25"/>
      <c r="E268" s="25"/>
      <c r="F268" s="25"/>
      <c r="G268" s="24"/>
      <c r="H268" s="25"/>
      <c r="I268" s="32"/>
      <c r="J268" s="25"/>
      <c r="K268" s="24"/>
      <c r="L268" s="25"/>
      <c r="M268" s="25"/>
      <c r="N268" s="25"/>
      <c r="O268" s="25"/>
      <c r="P268" s="25" t="str">
        <f>IF(AND(A268="",B268="",H268=""),"",IF(OR(A268="",B268="",C268="",E268="",F268="",H268="",AND(A268="client",COUNTIF(الزبائن!$A$6:$A$505,B268)=0),AND(A268="proposed_name",COUNTIF('أسماء مقترحة'!$A$6:$A$505,B268)=0)),"REVIEW","READY"))</f>
        <v/>
      </c>
      <c r="Q268" s="27" t="str">
        <f>IF(P268="","",IF(P268="READY","",TRIM(IF(A268="","missing entity_type; ","")&amp;IF(B268="","missing entity_key; ","")&amp;IF(C268="","missing referrer_order; ","")&amp;IF(E268="","missing referrer_type; ","")&amp;IF(F268="","missing referral_origin_channel; ","")&amp;IF(H268="","missing referrer_name_snapshot; ","")&amp;IF(AND(A268="client",COUNTIF(الزبائن!$A$6:$A$505,B268)=0),"client key not found; ","")&amp;IF(AND(A268="proposed_name",COUNTIF('أسماء مقترحة'!$A$6:$A$505,B268)=0),"proposed_name key not found; ",""))))</f>
        <v/>
      </c>
    </row>
    <row r="269" spans="1:17">
      <c r="A269" s="23"/>
      <c r="B269" s="24"/>
      <c r="C269" s="25"/>
      <c r="D269" s="25"/>
      <c r="E269" s="25"/>
      <c r="F269" s="25"/>
      <c r="G269" s="24"/>
      <c r="H269" s="25"/>
      <c r="I269" s="32"/>
      <c r="J269" s="25"/>
      <c r="K269" s="24"/>
      <c r="L269" s="25"/>
      <c r="M269" s="25"/>
      <c r="N269" s="25"/>
      <c r="O269" s="25"/>
      <c r="P269" s="25" t="str">
        <f>IF(AND(A269="",B269="",H269=""),"",IF(OR(A269="",B269="",C269="",E269="",F269="",H269="",AND(A269="client",COUNTIF(الزبائن!$A$6:$A$505,B269)=0),AND(A269="proposed_name",COUNTIF('أسماء مقترحة'!$A$6:$A$505,B269)=0)),"REVIEW","READY"))</f>
        <v/>
      </c>
      <c r="Q269" s="27" t="str">
        <f>IF(P269="","",IF(P269="READY","",TRIM(IF(A269="","missing entity_type; ","")&amp;IF(B269="","missing entity_key; ","")&amp;IF(C269="","missing referrer_order; ","")&amp;IF(E269="","missing referrer_type; ","")&amp;IF(F269="","missing referral_origin_channel; ","")&amp;IF(H269="","missing referrer_name_snapshot; ","")&amp;IF(AND(A269="client",COUNTIF(الزبائن!$A$6:$A$505,B269)=0),"client key not found; ","")&amp;IF(AND(A269="proposed_name",COUNTIF('أسماء مقترحة'!$A$6:$A$505,B269)=0),"proposed_name key not found; ",""))))</f>
        <v/>
      </c>
    </row>
    <row r="270" spans="1:17">
      <c r="A270" s="23"/>
      <c r="B270" s="24"/>
      <c r="C270" s="25"/>
      <c r="D270" s="25"/>
      <c r="E270" s="25"/>
      <c r="F270" s="25"/>
      <c r="G270" s="24"/>
      <c r="H270" s="25"/>
      <c r="I270" s="32"/>
      <c r="J270" s="25"/>
      <c r="K270" s="24"/>
      <c r="L270" s="25"/>
      <c r="M270" s="25"/>
      <c r="N270" s="25"/>
      <c r="O270" s="25"/>
      <c r="P270" s="25" t="str">
        <f>IF(AND(A270="",B270="",H270=""),"",IF(OR(A270="",B270="",C270="",E270="",F270="",H270="",AND(A270="client",COUNTIF(الزبائن!$A$6:$A$505,B270)=0),AND(A270="proposed_name",COUNTIF('أسماء مقترحة'!$A$6:$A$505,B270)=0)),"REVIEW","READY"))</f>
        <v/>
      </c>
      <c r="Q270" s="27" t="str">
        <f>IF(P270="","",IF(P270="READY","",TRIM(IF(A270="","missing entity_type; ","")&amp;IF(B270="","missing entity_key; ","")&amp;IF(C270="","missing referrer_order; ","")&amp;IF(E270="","missing referrer_type; ","")&amp;IF(F270="","missing referral_origin_channel; ","")&amp;IF(H270="","missing referrer_name_snapshot; ","")&amp;IF(AND(A270="client",COUNTIF(الزبائن!$A$6:$A$505,B270)=0),"client key not found; ","")&amp;IF(AND(A270="proposed_name",COUNTIF('أسماء مقترحة'!$A$6:$A$505,B270)=0),"proposed_name key not found; ",""))))</f>
        <v/>
      </c>
    </row>
    <row r="271" spans="1:17">
      <c r="A271" s="23"/>
      <c r="B271" s="24"/>
      <c r="C271" s="25"/>
      <c r="D271" s="25"/>
      <c r="E271" s="25"/>
      <c r="F271" s="25"/>
      <c r="G271" s="24"/>
      <c r="H271" s="25"/>
      <c r="I271" s="32"/>
      <c r="J271" s="25"/>
      <c r="K271" s="24"/>
      <c r="L271" s="25"/>
      <c r="M271" s="25"/>
      <c r="N271" s="25"/>
      <c r="O271" s="25"/>
      <c r="P271" s="25" t="str">
        <f>IF(AND(A271="",B271="",H271=""),"",IF(OR(A271="",B271="",C271="",E271="",F271="",H271="",AND(A271="client",COUNTIF(الزبائن!$A$6:$A$505,B271)=0),AND(A271="proposed_name",COUNTIF('أسماء مقترحة'!$A$6:$A$505,B271)=0)),"REVIEW","READY"))</f>
        <v/>
      </c>
      <c r="Q271" s="27" t="str">
        <f>IF(P271="","",IF(P271="READY","",TRIM(IF(A271="","missing entity_type; ","")&amp;IF(B271="","missing entity_key; ","")&amp;IF(C271="","missing referrer_order; ","")&amp;IF(E271="","missing referrer_type; ","")&amp;IF(F271="","missing referral_origin_channel; ","")&amp;IF(H271="","missing referrer_name_snapshot; ","")&amp;IF(AND(A271="client",COUNTIF(الزبائن!$A$6:$A$505,B271)=0),"client key not found; ","")&amp;IF(AND(A271="proposed_name",COUNTIF('أسماء مقترحة'!$A$6:$A$505,B271)=0),"proposed_name key not found; ",""))))</f>
        <v/>
      </c>
    </row>
    <row r="272" spans="1:17">
      <c r="A272" s="23"/>
      <c r="B272" s="24"/>
      <c r="C272" s="25"/>
      <c r="D272" s="25"/>
      <c r="E272" s="25"/>
      <c r="F272" s="25"/>
      <c r="G272" s="24"/>
      <c r="H272" s="25"/>
      <c r="I272" s="32"/>
      <c r="J272" s="25"/>
      <c r="K272" s="24"/>
      <c r="L272" s="25"/>
      <c r="M272" s="25"/>
      <c r="N272" s="25"/>
      <c r="O272" s="25"/>
      <c r="P272" s="25" t="str">
        <f>IF(AND(A272="",B272="",H272=""),"",IF(OR(A272="",B272="",C272="",E272="",F272="",H272="",AND(A272="client",COUNTIF(الزبائن!$A$6:$A$505,B272)=0),AND(A272="proposed_name",COUNTIF('أسماء مقترحة'!$A$6:$A$505,B272)=0)),"REVIEW","READY"))</f>
        <v/>
      </c>
      <c r="Q272" s="27" t="str">
        <f>IF(P272="","",IF(P272="READY","",TRIM(IF(A272="","missing entity_type; ","")&amp;IF(B272="","missing entity_key; ","")&amp;IF(C272="","missing referrer_order; ","")&amp;IF(E272="","missing referrer_type; ","")&amp;IF(F272="","missing referral_origin_channel; ","")&amp;IF(H272="","missing referrer_name_snapshot; ","")&amp;IF(AND(A272="client",COUNTIF(الزبائن!$A$6:$A$505,B272)=0),"client key not found; ","")&amp;IF(AND(A272="proposed_name",COUNTIF('أسماء مقترحة'!$A$6:$A$505,B272)=0),"proposed_name key not found; ",""))))</f>
        <v/>
      </c>
    </row>
    <row r="273" spans="1:17">
      <c r="A273" s="23"/>
      <c r="B273" s="24"/>
      <c r="C273" s="25"/>
      <c r="D273" s="25"/>
      <c r="E273" s="25"/>
      <c r="F273" s="25"/>
      <c r="G273" s="24"/>
      <c r="H273" s="25"/>
      <c r="I273" s="32"/>
      <c r="J273" s="25"/>
      <c r="K273" s="24"/>
      <c r="L273" s="25"/>
      <c r="M273" s="25"/>
      <c r="N273" s="25"/>
      <c r="O273" s="25"/>
      <c r="P273" s="25" t="str">
        <f>IF(AND(A273="",B273="",H273=""),"",IF(OR(A273="",B273="",C273="",E273="",F273="",H273="",AND(A273="client",COUNTIF(الزبائن!$A$6:$A$505,B273)=0),AND(A273="proposed_name",COUNTIF('أسماء مقترحة'!$A$6:$A$505,B273)=0)),"REVIEW","READY"))</f>
        <v/>
      </c>
      <c r="Q273" s="27" t="str">
        <f>IF(P273="","",IF(P273="READY","",TRIM(IF(A273="","missing entity_type; ","")&amp;IF(B273="","missing entity_key; ","")&amp;IF(C273="","missing referrer_order; ","")&amp;IF(E273="","missing referrer_type; ","")&amp;IF(F273="","missing referral_origin_channel; ","")&amp;IF(H273="","missing referrer_name_snapshot; ","")&amp;IF(AND(A273="client",COUNTIF(الزبائن!$A$6:$A$505,B273)=0),"client key not found; ","")&amp;IF(AND(A273="proposed_name",COUNTIF('أسماء مقترحة'!$A$6:$A$505,B273)=0),"proposed_name key not found; ",""))))</f>
        <v/>
      </c>
    </row>
    <row r="274" spans="1:17">
      <c r="A274" s="23"/>
      <c r="B274" s="24"/>
      <c r="C274" s="25"/>
      <c r="D274" s="25"/>
      <c r="E274" s="25"/>
      <c r="F274" s="25"/>
      <c r="G274" s="24"/>
      <c r="H274" s="25"/>
      <c r="I274" s="32"/>
      <c r="J274" s="25"/>
      <c r="K274" s="24"/>
      <c r="L274" s="25"/>
      <c r="M274" s="25"/>
      <c r="N274" s="25"/>
      <c r="O274" s="25"/>
      <c r="P274" s="25" t="str">
        <f>IF(AND(A274="",B274="",H274=""),"",IF(OR(A274="",B274="",C274="",E274="",F274="",H274="",AND(A274="client",COUNTIF(الزبائن!$A$6:$A$505,B274)=0),AND(A274="proposed_name",COUNTIF('أسماء مقترحة'!$A$6:$A$505,B274)=0)),"REVIEW","READY"))</f>
        <v/>
      </c>
      <c r="Q274" s="27" t="str">
        <f>IF(P274="","",IF(P274="READY","",TRIM(IF(A274="","missing entity_type; ","")&amp;IF(B274="","missing entity_key; ","")&amp;IF(C274="","missing referrer_order; ","")&amp;IF(E274="","missing referrer_type; ","")&amp;IF(F274="","missing referral_origin_channel; ","")&amp;IF(H274="","missing referrer_name_snapshot; ","")&amp;IF(AND(A274="client",COUNTIF(الزبائن!$A$6:$A$505,B274)=0),"client key not found; ","")&amp;IF(AND(A274="proposed_name",COUNTIF('أسماء مقترحة'!$A$6:$A$505,B274)=0),"proposed_name key not found; ",""))))</f>
        <v/>
      </c>
    </row>
    <row r="275" spans="1:17">
      <c r="A275" s="23"/>
      <c r="B275" s="24"/>
      <c r="C275" s="25"/>
      <c r="D275" s="25"/>
      <c r="E275" s="25"/>
      <c r="F275" s="25"/>
      <c r="G275" s="24"/>
      <c r="H275" s="25"/>
      <c r="I275" s="32"/>
      <c r="J275" s="25"/>
      <c r="K275" s="24"/>
      <c r="L275" s="25"/>
      <c r="M275" s="25"/>
      <c r="N275" s="25"/>
      <c r="O275" s="25"/>
      <c r="P275" s="25" t="str">
        <f>IF(AND(A275="",B275="",H275=""),"",IF(OR(A275="",B275="",C275="",E275="",F275="",H275="",AND(A275="client",COUNTIF(الزبائن!$A$6:$A$505,B275)=0),AND(A275="proposed_name",COUNTIF('أسماء مقترحة'!$A$6:$A$505,B275)=0)),"REVIEW","READY"))</f>
        <v/>
      </c>
      <c r="Q275" s="27" t="str">
        <f>IF(P275="","",IF(P275="READY","",TRIM(IF(A275="","missing entity_type; ","")&amp;IF(B275="","missing entity_key; ","")&amp;IF(C275="","missing referrer_order; ","")&amp;IF(E275="","missing referrer_type; ","")&amp;IF(F275="","missing referral_origin_channel; ","")&amp;IF(H275="","missing referrer_name_snapshot; ","")&amp;IF(AND(A275="client",COUNTIF(الزبائن!$A$6:$A$505,B275)=0),"client key not found; ","")&amp;IF(AND(A275="proposed_name",COUNTIF('أسماء مقترحة'!$A$6:$A$505,B275)=0),"proposed_name key not found; ",""))))</f>
        <v/>
      </c>
    </row>
    <row r="276" spans="1:17">
      <c r="A276" s="23"/>
      <c r="B276" s="24"/>
      <c r="C276" s="25"/>
      <c r="D276" s="25"/>
      <c r="E276" s="25"/>
      <c r="F276" s="25"/>
      <c r="G276" s="24"/>
      <c r="H276" s="25"/>
      <c r="I276" s="32"/>
      <c r="J276" s="25"/>
      <c r="K276" s="24"/>
      <c r="L276" s="25"/>
      <c r="M276" s="25"/>
      <c r="N276" s="25"/>
      <c r="O276" s="25"/>
      <c r="P276" s="25" t="str">
        <f>IF(AND(A276="",B276="",H276=""),"",IF(OR(A276="",B276="",C276="",E276="",F276="",H276="",AND(A276="client",COUNTIF(الزبائن!$A$6:$A$505,B276)=0),AND(A276="proposed_name",COUNTIF('أسماء مقترحة'!$A$6:$A$505,B276)=0)),"REVIEW","READY"))</f>
        <v/>
      </c>
      <c r="Q276" s="27" t="str">
        <f>IF(P276="","",IF(P276="READY","",TRIM(IF(A276="","missing entity_type; ","")&amp;IF(B276="","missing entity_key; ","")&amp;IF(C276="","missing referrer_order; ","")&amp;IF(E276="","missing referrer_type; ","")&amp;IF(F276="","missing referral_origin_channel; ","")&amp;IF(H276="","missing referrer_name_snapshot; ","")&amp;IF(AND(A276="client",COUNTIF(الزبائن!$A$6:$A$505,B276)=0),"client key not found; ","")&amp;IF(AND(A276="proposed_name",COUNTIF('أسماء مقترحة'!$A$6:$A$505,B276)=0),"proposed_name key not found; ",""))))</f>
        <v/>
      </c>
    </row>
    <row r="277" spans="1:17">
      <c r="A277" s="23"/>
      <c r="B277" s="24"/>
      <c r="C277" s="25"/>
      <c r="D277" s="25"/>
      <c r="E277" s="25"/>
      <c r="F277" s="25"/>
      <c r="G277" s="24"/>
      <c r="H277" s="25"/>
      <c r="I277" s="32"/>
      <c r="J277" s="25"/>
      <c r="K277" s="24"/>
      <c r="L277" s="25"/>
      <c r="M277" s="25"/>
      <c r="N277" s="25"/>
      <c r="O277" s="25"/>
      <c r="P277" s="25" t="str">
        <f>IF(AND(A277="",B277="",H277=""),"",IF(OR(A277="",B277="",C277="",E277="",F277="",H277="",AND(A277="client",COUNTIF(الزبائن!$A$6:$A$505,B277)=0),AND(A277="proposed_name",COUNTIF('أسماء مقترحة'!$A$6:$A$505,B277)=0)),"REVIEW","READY"))</f>
        <v/>
      </c>
      <c r="Q277" s="27" t="str">
        <f>IF(P277="","",IF(P277="READY","",TRIM(IF(A277="","missing entity_type; ","")&amp;IF(B277="","missing entity_key; ","")&amp;IF(C277="","missing referrer_order; ","")&amp;IF(E277="","missing referrer_type; ","")&amp;IF(F277="","missing referral_origin_channel; ","")&amp;IF(H277="","missing referrer_name_snapshot; ","")&amp;IF(AND(A277="client",COUNTIF(الزبائن!$A$6:$A$505,B277)=0),"client key not found; ","")&amp;IF(AND(A277="proposed_name",COUNTIF('أسماء مقترحة'!$A$6:$A$505,B277)=0),"proposed_name key not found; ",""))))</f>
        <v/>
      </c>
    </row>
    <row r="278" spans="1:17">
      <c r="A278" s="23"/>
      <c r="B278" s="24"/>
      <c r="C278" s="25"/>
      <c r="D278" s="25"/>
      <c r="E278" s="25"/>
      <c r="F278" s="25"/>
      <c r="G278" s="24"/>
      <c r="H278" s="25"/>
      <c r="I278" s="32"/>
      <c r="J278" s="25"/>
      <c r="K278" s="24"/>
      <c r="L278" s="25"/>
      <c r="M278" s="25"/>
      <c r="N278" s="25"/>
      <c r="O278" s="25"/>
      <c r="P278" s="25" t="str">
        <f>IF(AND(A278="",B278="",H278=""),"",IF(OR(A278="",B278="",C278="",E278="",F278="",H278="",AND(A278="client",COUNTIF(الزبائن!$A$6:$A$505,B278)=0),AND(A278="proposed_name",COUNTIF('أسماء مقترحة'!$A$6:$A$505,B278)=0)),"REVIEW","READY"))</f>
        <v/>
      </c>
      <c r="Q278" s="27" t="str">
        <f>IF(P278="","",IF(P278="READY","",TRIM(IF(A278="","missing entity_type; ","")&amp;IF(B278="","missing entity_key; ","")&amp;IF(C278="","missing referrer_order; ","")&amp;IF(E278="","missing referrer_type; ","")&amp;IF(F278="","missing referral_origin_channel; ","")&amp;IF(H278="","missing referrer_name_snapshot; ","")&amp;IF(AND(A278="client",COUNTIF(الزبائن!$A$6:$A$505,B278)=0),"client key not found; ","")&amp;IF(AND(A278="proposed_name",COUNTIF('أسماء مقترحة'!$A$6:$A$505,B278)=0),"proposed_name key not found; ",""))))</f>
        <v/>
      </c>
    </row>
    <row r="279" spans="1:17">
      <c r="A279" s="23"/>
      <c r="B279" s="24"/>
      <c r="C279" s="25"/>
      <c r="D279" s="25"/>
      <c r="E279" s="25"/>
      <c r="F279" s="25"/>
      <c r="G279" s="24"/>
      <c r="H279" s="25"/>
      <c r="I279" s="32"/>
      <c r="J279" s="25"/>
      <c r="K279" s="24"/>
      <c r="L279" s="25"/>
      <c r="M279" s="25"/>
      <c r="N279" s="25"/>
      <c r="O279" s="25"/>
      <c r="P279" s="25" t="str">
        <f>IF(AND(A279="",B279="",H279=""),"",IF(OR(A279="",B279="",C279="",E279="",F279="",H279="",AND(A279="client",COUNTIF(الزبائن!$A$6:$A$505,B279)=0),AND(A279="proposed_name",COUNTIF('أسماء مقترحة'!$A$6:$A$505,B279)=0)),"REVIEW","READY"))</f>
        <v/>
      </c>
      <c r="Q279" s="27" t="str">
        <f>IF(P279="","",IF(P279="READY","",TRIM(IF(A279="","missing entity_type; ","")&amp;IF(B279="","missing entity_key; ","")&amp;IF(C279="","missing referrer_order; ","")&amp;IF(E279="","missing referrer_type; ","")&amp;IF(F279="","missing referral_origin_channel; ","")&amp;IF(H279="","missing referrer_name_snapshot; ","")&amp;IF(AND(A279="client",COUNTIF(الزبائن!$A$6:$A$505,B279)=0),"client key not found; ","")&amp;IF(AND(A279="proposed_name",COUNTIF('أسماء مقترحة'!$A$6:$A$505,B279)=0),"proposed_name key not found; ",""))))</f>
        <v/>
      </c>
    </row>
    <row r="280" spans="1:17">
      <c r="A280" s="23"/>
      <c r="B280" s="24"/>
      <c r="C280" s="25"/>
      <c r="D280" s="25"/>
      <c r="E280" s="25"/>
      <c r="F280" s="25"/>
      <c r="G280" s="24"/>
      <c r="H280" s="25"/>
      <c r="I280" s="32"/>
      <c r="J280" s="25"/>
      <c r="K280" s="24"/>
      <c r="L280" s="25"/>
      <c r="M280" s="25"/>
      <c r="N280" s="25"/>
      <c r="O280" s="25"/>
      <c r="P280" s="25" t="str">
        <f>IF(AND(A280="",B280="",H280=""),"",IF(OR(A280="",B280="",C280="",E280="",F280="",H280="",AND(A280="client",COUNTIF(الزبائن!$A$6:$A$505,B280)=0),AND(A280="proposed_name",COUNTIF('أسماء مقترحة'!$A$6:$A$505,B280)=0)),"REVIEW","READY"))</f>
        <v/>
      </c>
      <c r="Q280" s="27" t="str">
        <f>IF(P280="","",IF(P280="READY","",TRIM(IF(A280="","missing entity_type; ","")&amp;IF(B280="","missing entity_key; ","")&amp;IF(C280="","missing referrer_order; ","")&amp;IF(E280="","missing referrer_type; ","")&amp;IF(F280="","missing referral_origin_channel; ","")&amp;IF(H280="","missing referrer_name_snapshot; ","")&amp;IF(AND(A280="client",COUNTIF(الزبائن!$A$6:$A$505,B280)=0),"client key not found; ","")&amp;IF(AND(A280="proposed_name",COUNTIF('أسماء مقترحة'!$A$6:$A$505,B280)=0),"proposed_name key not found; ",""))))</f>
        <v/>
      </c>
    </row>
    <row r="281" spans="1:17">
      <c r="A281" s="23"/>
      <c r="B281" s="24"/>
      <c r="C281" s="25"/>
      <c r="D281" s="25"/>
      <c r="E281" s="25"/>
      <c r="F281" s="25"/>
      <c r="G281" s="24"/>
      <c r="H281" s="25"/>
      <c r="I281" s="32"/>
      <c r="J281" s="25"/>
      <c r="K281" s="24"/>
      <c r="L281" s="25"/>
      <c r="M281" s="25"/>
      <c r="N281" s="25"/>
      <c r="O281" s="25"/>
      <c r="P281" s="25" t="str">
        <f>IF(AND(A281="",B281="",H281=""),"",IF(OR(A281="",B281="",C281="",E281="",F281="",H281="",AND(A281="client",COUNTIF(الزبائن!$A$6:$A$505,B281)=0),AND(A281="proposed_name",COUNTIF('أسماء مقترحة'!$A$6:$A$505,B281)=0)),"REVIEW","READY"))</f>
        <v/>
      </c>
      <c r="Q281" s="27" t="str">
        <f>IF(P281="","",IF(P281="READY","",TRIM(IF(A281="","missing entity_type; ","")&amp;IF(B281="","missing entity_key; ","")&amp;IF(C281="","missing referrer_order; ","")&amp;IF(E281="","missing referrer_type; ","")&amp;IF(F281="","missing referral_origin_channel; ","")&amp;IF(H281="","missing referrer_name_snapshot; ","")&amp;IF(AND(A281="client",COUNTIF(الزبائن!$A$6:$A$505,B281)=0),"client key not found; ","")&amp;IF(AND(A281="proposed_name",COUNTIF('أسماء مقترحة'!$A$6:$A$505,B281)=0),"proposed_name key not found; ",""))))</f>
        <v/>
      </c>
    </row>
    <row r="282" spans="1:17">
      <c r="A282" s="23"/>
      <c r="B282" s="24"/>
      <c r="C282" s="25"/>
      <c r="D282" s="25"/>
      <c r="E282" s="25"/>
      <c r="F282" s="25"/>
      <c r="G282" s="24"/>
      <c r="H282" s="25"/>
      <c r="I282" s="32"/>
      <c r="J282" s="25"/>
      <c r="K282" s="24"/>
      <c r="L282" s="25"/>
      <c r="M282" s="25"/>
      <c r="N282" s="25"/>
      <c r="O282" s="25"/>
      <c r="P282" s="25" t="str">
        <f>IF(AND(A282="",B282="",H282=""),"",IF(OR(A282="",B282="",C282="",E282="",F282="",H282="",AND(A282="client",COUNTIF(الزبائن!$A$6:$A$505,B282)=0),AND(A282="proposed_name",COUNTIF('أسماء مقترحة'!$A$6:$A$505,B282)=0)),"REVIEW","READY"))</f>
        <v/>
      </c>
      <c r="Q282" s="27" t="str">
        <f>IF(P282="","",IF(P282="READY","",TRIM(IF(A282="","missing entity_type; ","")&amp;IF(B282="","missing entity_key; ","")&amp;IF(C282="","missing referrer_order; ","")&amp;IF(E282="","missing referrer_type; ","")&amp;IF(F282="","missing referral_origin_channel; ","")&amp;IF(H282="","missing referrer_name_snapshot; ","")&amp;IF(AND(A282="client",COUNTIF(الزبائن!$A$6:$A$505,B282)=0),"client key not found; ","")&amp;IF(AND(A282="proposed_name",COUNTIF('أسماء مقترحة'!$A$6:$A$505,B282)=0),"proposed_name key not found; ",""))))</f>
        <v/>
      </c>
    </row>
    <row r="283" spans="1:17">
      <c r="A283" s="23"/>
      <c r="B283" s="24"/>
      <c r="C283" s="25"/>
      <c r="D283" s="25"/>
      <c r="E283" s="25"/>
      <c r="F283" s="25"/>
      <c r="G283" s="24"/>
      <c r="H283" s="25"/>
      <c r="I283" s="32"/>
      <c r="J283" s="25"/>
      <c r="K283" s="24"/>
      <c r="L283" s="25"/>
      <c r="M283" s="25"/>
      <c r="N283" s="25"/>
      <c r="O283" s="25"/>
      <c r="P283" s="25" t="str">
        <f>IF(AND(A283="",B283="",H283=""),"",IF(OR(A283="",B283="",C283="",E283="",F283="",H283="",AND(A283="client",COUNTIF(الزبائن!$A$6:$A$505,B283)=0),AND(A283="proposed_name",COUNTIF('أسماء مقترحة'!$A$6:$A$505,B283)=0)),"REVIEW","READY"))</f>
        <v/>
      </c>
      <c r="Q283" s="27" t="str">
        <f>IF(P283="","",IF(P283="READY","",TRIM(IF(A283="","missing entity_type; ","")&amp;IF(B283="","missing entity_key; ","")&amp;IF(C283="","missing referrer_order; ","")&amp;IF(E283="","missing referrer_type; ","")&amp;IF(F283="","missing referral_origin_channel; ","")&amp;IF(H283="","missing referrer_name_snapshot; ","")&amp;IF(AND(A283="client",COUNTIF(الزبائن!$A$6:$A$505,B283)=0),"client key not found; ","")&amp;IF(AND(A283="proposed_name",COUNTIF('أسماء مقترحة'!$A$6:$A$505,B283)=0),"proposed_name key not found; ",""))))</f>
        <v/>
      </c>
    </row>
    <row r="284" spans="1:17">
      <c r="A284" s="23"/>
      <c r="B284" s="24"/>
      <c r="C284" s="25"/>
      <c r="D284" s="25"/>
      <c r="E284" s="25"/>
      <c r="F284" s="25"/>
      <c r="G284" s="24"/>
      <c r="H284" s="25"/>
      <c r="I284" s="32"/>
      <c r="J284" s="25"/>
      <c r="K284" s="24"/>
      <c r="L284" s="25"/>
      <c r="M284" s="25"/>
      <c r="N284" s="25"/>
      <c r="O284" s="25"/>
      <c r="P284" s="25" t="str">
        <f>IF(AND(A284="",B284="",H284=""),"",IF(OR(A284="",B284="",C284="",E284="",F284="",H284="",AND(A284="client",COUNTIF(الزبائن!$A$6:$A$505,B284)=0),AND(A284="proposed_name",COUNTIF('أسماء مقترحة'!$A$6:$A$505,B284)=0)),"REVIEW","READY"))</f>
        <v/>
      </c>
      <c r="Q284" s="27" t="str">
        <f>IF(P284="","",IF(P284="READY","",TRIM(IF(A284="","missing entity_type; ","")&amp;IF(B284="","missing entity_key; ","")&amp;IF(C284="","missing referrer_order; ","")&amp;IF(E284="","missing referrer_type; ","")&amp;IF(F284="","missing referral_origin_channel; ","")&amp;IF(H284="","missing referrer_name_snapshot; ","")&amp;IF(AND(A284="client",COUNTIF(الزبائن!$A$6:$A$505,B284)=0),"client key not found; ","")&amp;IF(AND(A284="proposed_name",COUNTIF('أسماء مقترحة'!$A$6:$A$505,B284)=0),"proposed_name key not found; ",""))))</f>
        <v/>
      </c>
    </row>
    <row r="285" spans="1:17">
      <c r="A285" s="23"/>
      <c r="B285" s="24"/>
      <c r="C285" s="25"/>
      <c r="D285" s="25"/>
      <c r="E285" s="25"/>
      <c r="F285" s="25"/>
      <c r="G285" s="24"/>
      <c r="H285" s="25"/>
      <c r="I285" s="32"/>
      <c r="J285" s="25"/>
      <c r="K285" s="24"/>
      <c r="L285" s="25"/>
      <c r="M285" s="25"/>
      <c r="N285" s="25"/>
      <c r="O285" s="25"/>
      <c r="P285" s="25" t="str">
        <f>IF(AND(A285="",B285="",H285=""),"",IF(OR(A285="",B285="",C285="",E285="",F285="",H285="",AND(A285="client",COUNTIF(الزبائن!$A$6:$A$505,B285)=0),AND(A285="proposed_name",COUNTIF('أسماء مقترحة'!$A$6:$A$505,B285)=0)),"REVIEW","READY"))</f>
        <v/>
      </c>
      <c r="Q285" s="27" t="str">
        <f>IF(P285="","",IF(P285="READY","",TRIM(IF(A285="","missing entity_type; ","")&amp;IF(B285="","missing entity_key; ","")&amp;IF(C285="","missing referrer_order; ","")&amp;IF(E285="","missing referrer_type; ","")&amp;IF(F285="","missing referral_origin_channel; ","")&amp;IF(H285="","missing referrer_name_snapshot; ","")&amp;IF(AND(A285="client",COUNTIF(الزبائن!$A$6:$A$505,B285)=0),"client key not found; ","")&amp;IF(AND(A285="proposed_name",COUNTIF('أسماء مقترحة'!$A$6:$A$505,B285)=0),"proposed_name key not found; ",""))))</f>
        <v/>
      </c>
    </row>
    <row r="286" spans="1:17">
      <c r="A286" s="23"/>
      <c r="B286" s="24"/>
      <c r="C286" s="25"/>
      <c r="D286" s="25"/>
      <c r="E286" s="25"/>
      <c r="F286" s="25"/>
      <c r="G286" s="24"/>
      <c r="H286" s="25"/>
      <c r="I286" s="32"/>
      <c r="J286" s="25"/>
      <c r="K286" s="24"/>
      <c r="L286" s="25"/>
      <c r="M286" s="25"/>
      <c r="N286" s="25"/>
      <c r="O286" s="25"/>
      <c r="P286" s="25" t="str">
        <f>IF(AND(A286="",B286="",H286=""),"",IF(OR(A286="",B286="",C286="",E286="",F286="",H286="",AND(A286="client",COUNTIF(الزبائن!$A$6:$A$505,B286)=0),AND(A286="proposed_name",COUNTIF('أسماء مقترحة'!$A$6:$A$505,B286)=0)),"REVIEW","READY"))</f>
        <v/>
      </c>
      <c r="Q286" s="27" t="str">
        <f>IF(P286="","",IF(P286="READY","",TRIM(IF(A286="","missing entity_type; ","")&amp;IF(B286="","missing entity_key; ","")&amp;IF(C286="","missing referrer_order; ","")&amp;IF(E286="","missing referrer_type; ","")&amp;IF(F286="","missing referral_origin_channel; ","")&amp;IF(H286="","missing referrer_name_snapshot; ","")&amp;IF(AND(A286="client",COUNTIF(الزبائن!$A$6:$A$505,B286)=0),"client key not found; ","")&amp;IF(AND(A286="proposed_name",COUNTIF('أسماء مقترحة'!$A$6:$A$505,B286)=0),"proposed_name key not found; ",""))))</f>
        <v/>
      </c>
    </row>
    <row r="287" spans="1:17">
      <c r="A287" s="23"/>
      <c r="B287" s="24"/>
      <c r="C287" s="25"/>
      <c r="D287" s="25"/>
      <c r="E287" s="25"/>
      <c r="F287" s="25"/>
      <c r="G287" s="24"/>
      <c r="H287" s="25"/>
      <c r="I287" s="32"/>
      <c r="J287" s="25"/>
      <c r="K287" s="24"/>
      <c r="L287" s="25"/>
      <c r="M287" s="25"/>
      <c r="N287" s="25"/>
      <c r="O287" s="25"/>
      <c r="P287" s="25" t="str">
        <f>IF(AND(A287="",B287="",H287=""),"",IF(OR(A287="",B287="",C287="",E287="",F287="",H287="",AND(A287="client",COUNTIF(الزبائن!$A$6:$A$505,B287)=0),AND(A287="proposed_name",COUNTIF('أسماء مقترحة'!$A$6:$A$505,B287)=0)),"REVIEW","READY"))</f>
        <v/>
      </c>
      <c r="Q287" s="27" t="str">
        <f>IF(P287="","",IF(P287="READY","",TRIM(IF(A287="","missing entity_type; ","")&amp;IF(B287="","missing entity_key; ","")&amp;IF(C287="","missing referrer_order; ","")&amp;IF(E287="","missing referrer_type; ","")&amp;IF(F287="","missing referral_origin_channel; ","")&amp;IF(H287="","missing referrer_name_snapshot; ","")&amp;IF(AND(A287="client",COUNTIF(الزبائن!$A$6:$A$505,B287)=0),"client key not found; ","")&amp;IF(AND(A287="proposed_name",COUNTIF('أسماء مقترحة'!$A$6:$A$505,B287)=0),"proposed_name key not found; ",""))))</f>
        <v/>
      </c>
    </row>
    <row r="288" spans="1:17">
      <c r="A288" s="23"/>
      <c r="B288" s="24"/>
      <c r="C288" s="25"/>
      <c r="D288" s="25"/>
      <c r="E288" s="25"/>
      <c r="F288" s="25"/>
      <c r="G288" s="24"/>
      <c r="H288" s="25"/>
      <c r="I288" s="32"/>
      <c r="J288" s="25"/>
      <c r="K288" s="24"/>
      <c r="L288" s="25"/>
      <c r="M288" s="25"/>
      <c r="N288" s="25"/>
      <c r="O288" s="25"/>
      <c r="P288" s="25" t="str">
        <f>IF(AND(A288="",B288="",H288=""),"",IF(OR(A288="",B288="",C288="",E288="",F288="",H288="",AND(A288="client",COUNTIF(الزبائن!$A$6:$A$505,B288)=0),AND(A288="proposed_name",COUNTIF('أسماء مقترحة'!$A$6:$A$505,B288)=0)),"REVIEW","READY"))</f>
        <v/>
      </c>
      <c r="Q288" s="27" t="str">
        <f>IF(P288="","",IF(P288="READY","",TRIM(IF(A288="","missing entity_type; ","")&amp;IF(B288="","missing entity_key; ","")&amp;IF(C288="","missing referrer_order; ","")&amp;IF(E288="","missing referrer_type; ","")&amp;IF(F288="","missing referral_origin_channel; ","")&amp;IF(H288="","missing referrer_name_snapshot; ","")&amp;IF(AND(A288="client",COUNTIF(الزبائن!$A$6:$A$505,B288)=0),"client key not found; ","")&amp;IF(AND(A288="proposed_name",COUNTIF('أسماء مقترحة'!$A$6:$A$505,B288)=0),"proposed_name key not found; ",""))))</f>
        <v/>
      </c>
    </row>
    <row r="289" spans="1:17">
      <c r="A289" s="23"/>
      <c r="B289" s="24"/>
      <c r="C289" s="25"/>
      <c r="D289" s="25"/>
      <c r="E289" s="25"/>
      <c r="F289" s="25"/>
      <c r="G289" s="24"/>
      <c r="H289" s="25"/>
      <c r="I289" s="32"/>
      <c r="J289" s="25"/>
      <c r="K289" s="24"/>
      <c r="L289" s="25"/>
      <c r="M289" s="25"/>
      <c r="N289" s="25"/>
      <c r="O289" s="25"/>
      <c r="P289" s="25" t="str">
        <f>IF(AND(A289="",B289="",H289=""),"",IF(OR(A289="",B289="",C289="",E289="",F289="",H289="",AND(A289="client",COUNTIF(الزبائن!$A$6:$A$505,B289)=0),AND(A289="proposed_name",COUNTIF('أسماء مقترحة'!$A$6:$A$505,B289)=0)),"REVIEW","READY"))</f>
        <v/>
      </c>
      <c r="Q289" s="27" t="str">
        <f>IF(P289="","",IF(P289="READY","",TRIM(IF(A289="","missing entity_type; ","")&amp;IF(B289="","missing entity_key; ","")&amp;IF(C289="","missing referrer_order; ","")&amp;IF(E289="","missing referrer_type; ","")&amp;IF(F289="","missing referral_origin_channel; ","")&amp;IF(H289="","missing referrer_name_snapshot; ","")&amp;IF(AND(A289="client",COUNTIF(الزبائن!$A$6:$A$505,B289)=0),"client key not found; ","")&amp;IF(AND(A289="proposed_name",COUNTIF('أسماء مقترحة'!$A$6:$A$505,B289)=0),"proposed_name key not found; ",""))))</f>
        <v/>
      </c>
    </row>
    <row r="290" spans="1:17">
      <c r="A290" s="23"/>
      <c r="B290" s="24"/>
      <c r="C290" s="25"/>
      <c r="D290" s="25"/>
      <c r="E290" s="25"/>
      <c r="F290" s="25"/>
      <c r="G290" s="24"/>
      <c r="H290" s="25"/>
      <c r="I290" s="32"/>
      <c r="J290" s="25"/>
      <c r="K290" s="24"/>
      <c r="L290" s="25"/>
      <c r="M290" s="25"/>
      <c r="N290" s="25"/>
      <c r="O290" s="25"/>
      <c r="P290" s="25" t="str">
        <f>IF(AND(A290="",B290="",H290=""),"",IF(OR(A290="",B290="",C290="",E290="",F290="",H290="",AND(A290="client",COUNTIF(الزبائن!$A$6:$A$505,B290)=0),AND(A290="proposed_name",COUNTIF('أسماء مقترحة'!$A$6:$A$505,B290)=0)),"REVIEW","READY"))</f>
        <v/>
      </c>
      <c r="Q290" s="27" t="str">
        <f>IF(P290="","",IF(P290="READY","",TRIM(IF(A290="","missing entity_type; ","")&amp;IF(B290="","missing entity_key; ","")&amp;IF(C290="","missing referrer_order; ","")&amp;IF(E290="","missing referrer_type; ","")&amp;IF(F290="","missing referral_origin_channel; ","")&amp;IF(H290="","missing referrer_name_snapshot; ","")&amp;IF(AND(A290="client",COUNTIF(الزبائن!$A$6:$A$505,B290)=0),"client key not found; ","")&amp;IF(AND(A290="proposed_name",COUNTIF('أسماء مقترحة'!$A$6:$A$505,B290)=0),"proposed_name key not found; ",""))))</f>
        <v/>
      </c>
    </row>
    <row r="291" spans="1:17">
      <c r="A291" s="23"/>
      <c r="B291" s="24"/>
      <c r="C291" s="25"/>
      <c r="D291" s="25"/>
      <c r="E291" s="25"/>
      <c r="F291" s="25"/>
      <c r="G291" s="24"/>
      <c r="H291" s="25"/>
      <c r="I291" s="32"/>
      <c r="J291" s="25"/>
      <c r="K291" s="24"/>
      <c r="L291" s="25"/>
      <c r="M291" s="25"/>
      <c r="N291" s="25"/>
      <c r="O291" s="25"/>
      <c r="P291" s="25" t="str">
        <f>IF(AND(A291="",B291="",H291=""),"",IF(OR(A291="",B291="",C291="",E291="",F291="",H291="",AND(A291="client",COUNTIF(الزبائن!$A$6:$A$505,B291)=0),AND(A291="proposed_name",COUNTIF('أسماء مقترحة'!$A$6:$A$505,B291)=0)),"REVIEW","READY"))</f>
        <v/>
      </c>
      <c r="Q291" s="27" t="str">
        <f>IF(P291="","",IF(P291="READY","",TRIM(IF(A291="","missing entity_type; ","")&amp;IF(B291="","missing entity_key; ","")&amp;IF(C291="","missing referrer_order; ","")&amp;IF(E291="","missing referrer_type; ","")&amp;IF(F291="","missing referral_origin_channel; ","")&amp;IF(H291="","missing referrer_name_snapshot; ","")&amp;IF(AND(A291="client",COUNTIF(الزبائن!$A$6:$A$505,B291)=0),"client key not found; ","")&amp;IF(AND(A291="proposed_name",COUNTIF('أسماء مقترحة'!$A$6:$A$505,B291)=0),"proposed_name key not found; ",""))))</f>
        <v/>
      </c>
    </row>
    <row r="292" spans="1:17">
      <c r="A292" s="23"/>
      <c r="B292" s="24"/>
      <c r="C292" s="25"/>
      <c r="D292" s="25"/>
      <c r="E292" s="25"/>
      <c r="F292" s="25"/>
      <c r="G292" s="24"/>
      <c r="H292" s="25"/>
      <c r="I292" s="32"/>
      <c r="J292" s="25"/>
      <c r="K292" s="24"/>
      <c r="L292" s="25"/>
      <c r="M292" s="25"/>
      <c r="N292" s="25"/>
      <c r="O292" s="25"/>
      <c r="P292" s="25" t="str">
        <f>IF(AND(A292="",B292="",H292=""),"",IF(OR(A292="",B292="",C292="",E292="",F292="",H292="",AND(A292="client",COUNTIF(الزبائن!$A$6:$A$505,B292)=0),AND(A292="proposed_name",COUNTIF('أسماء مقترحة'!$A$6:$A$505,B292)=0)),"REVIEW","READY"))</f>
        <v/>
      </c>
      <c r="Q292" s="27" t="str">
        <f>IF(P292="","",IF(P292="READY","",TRIM(IF(A292="","missing entity_type; ","")&amp;IF(B292="","missing entity_key; ","")&amp;IF(C292="","missing referrer_order; ","")&amp;IF(E292="","missing referrer_type; ","")&amp;IF(F292="","missing referral_origin_channel; ","")&amp;IF(H292="","missing referrer_name_snapshot; ","")&amp;IF(AND(A292="client",COUNTIF(الزبائن!$A$6:$A$505,B292)=0),"client key not found; ","")&amp;IF(AND(A292="proposed_name",COUNTIF('أسماء مقترحة'!$A$6:$A$505,B292)=0),"proposed_name key not found; ",""))))</f>
        <v/>
      </c>
    </row>
    <row r="293" spans="1:17">
      <c r="A293" s="23"/>
      <c r="B293" s="24"/>
      <c r="C293" s="25"/>
      <c r="D293" s="25"/>
      <c r="E293" s="25"/>
      <c r="F293" s="25"/>
      <c r="G293" s="24"/>
      <c r="H293" s="25"/>
      <c r="I293" s="32"/>
      <c r="J293" s="25"/>
      <c r="K293" s="24"/>
      <c r="L293" s="25"/>
      <c r="M293" s="25"/>
      <c r="N293" s="25"/>
      <c r="O293" s="25"/>
      <c r="P293" s="25" t="str">
        <f>IF(AND(A293="",B293="",H293=""),"",IF(OR(A293="",B293="",C293="",E293="",F293="",H293="",AND(A293="client",COUNTIF(الزبائن!$A$6:$A$505,B293)=0),AND(A293="proposed_name",COUNTIF('أسماء مقترحة'!$A$6:$A$505,B293)=0)),"REVIEW","READY"))</f>
        <v/>
      </c>
      <c r="Q293" s="27" t="str">
        <f>IF(P293="","",IF(P293="READY","",TRIM(IF(A293="","missing entity_type; ","")&amp;IF(B293="","missing entity_key; ","")&amp;IF(C293="","missing referrer_order; ","")&amp;IF(E293="","missing referrer_type; ","")&amp;IF(F293="","missing referral_origin_channel; ","")&amp;IF(H293="","missing referrer_name_snapshot; ","")&amp;IF(AND(A293="client",COUNTIF(الزبائن!$A$6:$A$505,B293)=0),"client key not found; ","")&amp;IF(AND(A293="proposed_name",COUNTIF('أسماء مقترحة'!$A$6:$A$505,B293)=0),"proposed_name key not found; ",""))))</f>
        <v/>
      </c>
    </row>
    <row r="294" spans="1:17">
      <c r="A294" s="23"/>
      <c r="B294" s="24"/>
      <c r="C294" s="25"/>
      <c r="D294" s="25"/>
      <c r="E294" s="25"/>
      <c r="F294" s="25"/>
      <c r="G294" s="24"/>
      <c r="H294" s="25"/>
      <c r="I294" s="32"/>
      <c r="J294" s="25"/>
      <c r="K294" s="24"/>
      <c r="L294" s="25"/>
      <c r="M294" s="25"/>
      <c r="N294" s="25"/>
      <c r="O294" s="25"/>
      <c r="P294" s="25" t="str">
        <f>IF(AND(A294="",B294="",H294=""),"",IF(OR(A294="",B294="",C294="",E294="",F294="",H294="",AND(A294="client",COUNTIF(الزبائن!$A$6:$A$505,B294)=0),AND(A294="proposed_name",COUNTIF('أسماء مقترحة'!$A$6:$A$505,B294)=0)),"REVIEW","READY"))</f>
        <v/>
      </c>
      <c r="Q294" s="27" t="str">
        <f>IF(P294="","",IF(P294="READY","",TRIM(IF(A294="","missing entity_type; ","")&amp;IF(B294="","missing entity_key; ","")&amp;IF(C294="","missing referrer_order; ","")&amp;IF(E294="","missing referrer_type; ","")&amp;IF(F294="","missing referral_origin_channel; ","")&amp;IF(H294="","missing referrer_name_snapshot; ","")&amp;IF(AND(A294="client",COUNTIF(الزبائن!$A$6:$A$505,B294)=0),"client key not found; ","")&amp;IF(AND(A294="proposed_name",COUNTIF('أسماء مقترحة'!$A$6:$A$505,B294)=0),"proposed_name key not found; ",""))))</f>
        <v/>
      </c>
    </row>
    <row r="295" spans="1:17">
      <c r="A295" s="23"/>
      <c r="B295" s="24"/>
      <c r="C295" s="25"/>
      <c r="D295" s="25"/>
      <c r="E295" s="25"/>
      <c r="F295" s="25"/>
      <c r="G295" s="24"/>
      <c r="H295" s="25"/>
      <c r="I295" s="32"/>
      <c r="J295" s="25"/>
      <c r="K295" s="24"/>
      <c r="L295" s="25"/>
      <c r="M295" s="25"/>
      <c r="N295" s="25"/>
      <c r="O295" s="25"/>
      <c r="P295" s="25" t="str">
        <f>IF(AND(A295="",B295="",H295=""),"",IF(OR(A295="",B295="",C295="",E295="",F295="",H295="",AND(A295="client",COUNTIF(الزبائن!$A$6:$A$505,B295)=0),AND(A295="proposed_name",COUNTIF('أسماء مقترحة'!$A$6:$A$505,B295)=0)),"REVIEW","READY"))</f>
        <v/>
      </c>
      <c r="Q295" s="27" t="str">
        <f>IF(P295="","",IF(P295="READY","",TRIM(IF(A295="","missing entity_type; ","")&amp;IF(B295="","missing entity_key; ","")&amp;IF(C295="","missing referrer_order; ","")&amp;IF(E295="","missing referrer_type; ","")&amp;IF(F295="","missing referral_origin_channel; ","")&amp;IF(H295="","missing referrer_name_snapshot; ","")&amp;IF(AND(A295="client",COUNTIF(الزبائن!$A$6:$A$505,B295)=0),"client key not found; ","")&amp;IF(AND(A295="proposed_name",COUNTIF('أسماء مقترحة'!$A$6:$A$505,B295)=0),"proposed_name key not found; ",""))))</f>
        <v/>
      </c>
    </row>
    <row r="296" spans="1:17">
      <c r="A296" s="23"/>
      <c r="B296" s="24"/>
      <c r="C296" s="25"/>
      <c r="D296" s="25"/>
      <c r="E296" s="25"/>
      <c r="F296" s="25"/>
      <c r="G296" s="24"/>
      <c r="H296" s="25"/>
      <c r="I296" s="32"/>
      <c r="J296" s="25"/>
      <c r="K296" s="24"/>
      <c r="L296" s="25"/>
      <c r="M296" s="25"/>
      <c r="N296" s="25"/>
      <c r="O296" s="25"/>
      <c r="P296" s="25" t="str">
        <f>IF(AND(A296="",B296="",H296=""),"",IF(OR(A296="",B296="",C296="",E296="",F296="",H296="",AND(A296="client",COUNTIF(الزبائن!$A$6:$A$505,B296)=0),AND(A296="proposed_name",COUNTIF('أسماء مقترحة'!$A$6:$A$505,B296)=0)),"REVIEW","READY"))</f>
        <v/>
      </c>
      <c r="Q296" s="27" t="str">
        <f>IF(P296="","",IF(P296="READY","",TRIM(IF(A296="","missing entity_type; ","")&amp;IF(B296="","missing entity_key; ","")&amp;IF(C296="","missing referrer_order; ","")&amp;IF(E296="","missing referrer_type; ","")&amp;IF(F296="","missing referral_origin_channel; ","")&amp;IF(H296="","missing referrer_name_snapshot; ","")&amp;IF(AND(A296="client",COUNTIF(الزبائن!$A$6:$A$505,B296)=0),"client key not found; ","")&amp;IF(AND(A296="proposed_name",COUNTIF('أسماء مقترحة'!$A$6:$A$505,B296)=0),"proposed_name key not found; ",""))))</f>
        <v/>
      </c>
    </row>
    <row r="297" spans="1:17">
      <c r="A297" s="23"/>
      <c r="B297" s="24"/>
      <c r="C297" s="25"/>
      <c r="D297" s="25"/>
      <c r="E297" s="25"/>
      <c r="F297" s="25"/>
      <c r="G297" s="24"/>
      <c r="H297" s="25"/>
      <c r="I297" s="32"/>
      <c r="J297" s="25"/>
      <c r="K297" s="24"/>
      <c r="L297" s="25"/>
      <c r="M297" s="25"/>
      <c r="N297" s="25"/>
      <c r="O297" s="25"/>
      <c r="P297" s="25" t="str">
        <f>IF(AND(A297="",B297="",H297=""),"",IF(OR(A297="",B297="",C297="",E297="",F297="",H297="",AND(A297="client",COUNTIF(الزبائن!$A$6:$A$505,B297)=0),AND(A297="proposed_name",COUNTIF('أسماء مقترحة'!$A$6:$A$505,B297)=0)),"REVIEW","READY"))</f>
        <v/>
      </c>
      <c r="Q297" s="27" t="str">
        <f>IF(P297="","",IF(P297="READY","",TRIM(IF(A297="","missing entity_type; ","")&amp;IF(B297="","missing entity_key; ","")&amp;IF(C297="","missing referrer_order; ","")&amp;IF(E297="","missing referrer_type; ","")&amp;IF(F297="","missing referral_origin_channel; ","")&amp;IF(H297="","missing referrer_name_snapshot; ","")&amp;IF(AND(A297="client",COUNTIF(الزبائن!$A$6:$A$505,B297)=0),"client key not found; ","")&amp;IF(AND(A297="proposed_name",COUNTIF('أسماء مقترحة'!$A$6:$A$505,B297)=0),"proposed_name key not found; ",""))))</f>
        <v/>
      </c>
    </row>
    <row r="298" spans="1:17">
      <c r="A298" s="23"/>
      <c r="B298" s="24"/>
      <c r="C298" s="25"/>
      <c r="D298" s="25"/>
      <c r="E298" s="25"/>
      <c r="F298" s="25"/>
      <c r="G298" s="24"/>
      <c r="H298" s="25"/>
      <c r="I298" s="32"/>
      <c r="J298" s="25"/>
      <c r="K298" s="24"/>
      <c r="L298" s="25"/>
      <c r="M298" s="25"/>
      <c r="N298" s="25"/>
      <c r="O298" s="25"/>
      <c r="P298" s="25" t="str">
        <f>IF(AND(A298="",B298="",H298=""),"",IF(OR(A298="",B298="",C298="",E298="",F298="",H298="",AND(A298="client",COUNTIF(الزبائن!$A$6:$A$505,B298)=0),AND(A298="proposed_name",COUNTIF('أسماء مقترحة'!$A$6:$A$505,B298)=0)),"REVIEW","READY"))</f>
        <v/>
      </c>
      <c r="Q298" s="27" t="str">
        <f>IF(P298="","",IF(P298="READY","",TRIM(IF(A298="","missing entity_type; ","")&amp;IF(B298="","missing entity_key; ","")&amp;IF(C298="","missing referrer_order; ","")&amp;IF(E298="","missing referrer_type; ","")&amp;IF(F298="","missing referral_origin_channel; ","")&amp;IF(H298="","missing referrer_name_snapshot; ","")&amp;IF(AND(A298="client",COUNTIF(الزبائن!$A$6:$A$505,B298)=0),"client key not found; ","")&amp;IF(AND(A298="proposed_name",COUNTIF('أسماء مقترحة'!$A$6:$A$505,B298)=0),"proposed_name key not found; ",""))))</f>
        <v/>
      </c>
    </row>
    <row r="299" spans="1:17">
      <c r="A299" s="23"/>
      <c r="B299" s="24"/>
      <c r="C299" s="25"/>
      <c r="D299" s="25"/>
      <c r="E299" s="25"/>
      <c r="F299" s="25"/>
      <c r="G299" s="24"/>
      <c r="H299" s="25"/>
      <c r="I299" s="32"/>
      <c r="J299" s="25"/>
      <c r="K299" s="24"/>
      <c r="L299" s="25"/>
      <c r="M299" s="25"/>
      <c r="N299" s="25"/>
      <c r="O299" s="25"/>
      <c r="P299" s="25" t="str">
        <f>IF(AND(A299="",B299="",H299=""),"",IF(OR(A299="",B299="",C299="",E299="",F299="",H299="",AND(A299="client",COUNTIF(الزبائن!$A$6:$A$505,B299)=0),AND(A299="proposed_name",COUNTIF('أسماء مقترحة'!$A$6:$A$505,B299)=0)),"REVIEW","READY"))</f>
        <v/>
      </c>
      <c r="Q299" s="27" t="str">
        <f>IF(P299="","",IF(P299="READY","",TRIM(IF(A299="","missing entity_type; ","")&amp;IF(B299="","missing entity_key; ","")&amp;IF(C299="","missing referrer_order; ","")&amp;IF(E299="","missing referrer_type; ","")&amp;IF(F299="","missing referral_origin_channel; ","")&amp;IF(H299="","missing referrer_name_snapshot; ","")&amp;IF(AND(A299="client",COUNTIF(الزبائن!$A$6:$A$505,B299)=0),"client key not found; ","")&amp;IF(AND(A299="proposed_name",COUNTIF('أسماء مقترحة'!$A$6:$A$505,B299)=0),"proposed_name key not found; ",""))))</f>
        <v/>
      </c>
    </row>
    <row r="300" spans="1:17">
      <c r="A300" s="23"/>
      <c r="B300" s="24"/>
      <c r="C300" s="25"/>
      <c r="D300" s="25"/>
      <c r="E300" s="25"/>
      <c r="F300" s="25"/>
      <c r="G300" s="24"/>
      <c r="H300" s="25"/>
      <c r="I300" s="32"/>
      <c r="J300" s="25"/>
      <c r="K300" s="24"/>
      <c r="L300" s="25"/>
      <c r="M300" s="25"/>
      <c r="N300" s="25"/>
      <c r="O300" s="25"/>
      <c r="P300" s="25" t="str">
        <f>IF(AND(A300="",B300="",H300=""),"",IF(OR(A300="",B300="",C300="",E300="",F300="",H300="",AND(A300="client",COUNTIF(الزبائن!$A$6:$A$505,B300)=0),AND(A300="proposed_name",COUNTIF('أسماء مقترحة'!$A$6:$A$505,B300)=0)),"REVIEW","READY"))</f>
        <v/>
      </c>
      <c r="Q300" s="27" t="str">
        <f>IF(P300="","",IF(P300="READY","",TRIM(IF(A300="","missing entity_type; ","")&amp;IF(B300="","missing entity_key; ","")&amp;IF(C300="","missing referrer_order; ","")&amp;IF(E300="","missing referrer_type; ","")&amp;IF(F300="","missing referral_origin_channel; ","")&amp;IF(H300="","missing referrer_name_snapshot; ","")&amp;IF(AND(A300="client",COUNTIF(الزبائن!$A$6:$A$505,B300)=0),"client key not found; ","")&amp;IF(AND(A300="proposed_name",COUNTIF('أسماء مقترحة'!$A$6:$A$505,B300)=0),"proposed_name key not found; ",""))))</f>
        <v/>
      </c>
    </row>
    <row r="301" spans="1:17">
      <c r="A301" s="23"/>
      <c r="B301" s="24"/>
      <c r="C301" s="25"/>
      <c r="D301" s="25"/>
      <c r="E301" s="25"/>
      <c r="F301" s="25"/>
      <c r="G301" s="24"/>
      <c r="H301" s="25"/>
      <c r="I301" s="32"/>
      <c r="J301" s="25"/>
      <c r="K301" s="24"/>
      <c r="L301" s="25"/>
      <c r="M301" s="25"/>
      <c r="N301" s="25"/>
      <c r="O301" s="25"/>
      <c r="P301" s="25" t="str">
        <f>IF(AND(A301="",B301="",H301=""),"",IF(OR(A301="",B301="",C301="",E301="",F301="",H301="",AND(A301="client",COUNTIF(الزبائن!$A$6:$A$505,B301)=0),AND(A301="proposed_name",COUNTIF('أسماء مقترحة'!$A$6:$A$505,B301)=0)),"REVIEW","READY"))</f>
        <v/>
      </c>
      <c r="Q301" s="27" t="str">
        <f>IF(P301="","",IF(P301="READY","",TRIM(IF(A301="","missing entity_type; ","")&amp;IF(B301="","missing entity_key; ","")&amp;IF(C301="","missing referrer_order; ","")&amp;IF(E301="","missing referrer_type; ","")&amp;IF(F301="","missing referral_origin_channel; ","")&amp;IF(H301="","missing referrer_name_snapshot; ","")&amp;IF(AND(A301="client",COUNTIF(الزبائن!$A$6:$A$505,B301)=0),"client key not found; ","")&amp;IF(AND(A301="proposed_name",COUNTIF('أسماء مقترحة'!$A$6:$A$505,B301)=0),"proposed_name key not found; ",""))))</f>
        <v/>
      </c>
    </row>
    <row r="302" spans="1:17">
      <c r="A302" s="23"/>
      <c r="B302" s="24"/>
      <c r="C302" s="25"/>
      <c r="D302" s="25"/>
      <c r="E302" s="25"/>
      <c r="F302" s="25"/>
      <c r="G302" s="24"/>
      <c r="H302" s="25"/>
      <c r="I302" s="32"/>
      <c r="J302" s="25"/>
      <c r="K302" s="24"/>
      <c r="L302" s="25"/>
      <c r="M302" s="25"/>
      <c r="N302" s="25"/>
      <c r="O302" s="25"/>
      <c r="P302" s="25" t="str">
        <f>IF(AND(A302="",B302="",H302=""),"",IF(OR(A302="",B302="",C302="",E302="",F302="",H302="",AND(A302="client",COUNTIF(الزبائن!$A$6:$A$505,B302)=0),AND(A302="proposed_name",COUNTIF('أسماء مقترحة'!$A$6:$A$505,B302)=0)),"REVIEW","READY"))</f>
        <v/>
      </c>
      <c r="Q302" s="27" t="str">
        <f>IF(P302="","",IF(P302="READY","",TRIM(IF(A302="","missing entity_type; ","")&amp;IF(B302="","missing entity_key; ","")&amp;IF(C302="","missing referrer_order; ","")&amp;IF(E302="","missing referrer_type; ","")&amp;IF(F302="","missing referral_origin_channel; ","")&amp;IF(H302="","missing referrer_name_snapshot; ","")&amp;IF(AND(A302="client",COUNTIF(الزبائن!$A$6:$A$505,B302)=0),"client key not found; ","")&amp;IF(AND(A302="proposed_name",COUNTIF('أسماء مقترحة'!$A$6:$A$505,B302)=0),"proposed_name key not found; ",""))))</f>
        <v/>
      </c>
    </row>
    <row r="303" spans="1:17">
      <c r="A303" s="23"/>
      <c r="B303" s="24"/>
      <c r="C303" s="25"/>
      <c r="D303" s="25"/>
      <c r="E303" s="25"/>
      <c r="F303" s="25"/>
      <c r="G303" s="24"/>
      <c r="H303" s="25"/>
      <c r="I303" s="32"/>
      <c r="J303" s="25"/>
      <c r="K303" s="24"/>
      <c r="L303" s="25"/>
      <c r="M303" s="25"/>
      <c r="N303" s="25"/>
      <c r="O303" s="25"/>
      <c r="P303" s="25" t="str">
        <f>IF(AND(A303="",B303="",H303=""),"",IF(OR(A303="",B303="",C303="",E303="",F303="",H303="",AND(A303="client",COUNTIF(الزبائن!$A$6:$A$505,B303)=0),AND(A303="proposed_name",COUNTIF('أسماء مقترحة'!$A$6:$A$505,B303)=0)),"REVIEW","READY"))</f>
        <v/>
      </c>
      <c r="Q303" s="27" t="str">
        <f>IF(P303="","",IF(P303="READY","",TRIM(IF(A303="","missing entity_type; ","")&amp;IF(B303="","missing entity_key; ","")&amp;IF(C303="","missing referrer_order; ","")&amp;IF(E303="","missing referrer_type; ","")&amp;IF(F303="","missing referral_origin_channel; ","")&amp;IF(H303="","missing referrer_name_snapshot; ","")&amp;IF(AND(A303="client",COUNTIF(الزبائن!$A$6:$A$505,B303)=0),"client key not found; ","")&amp;IF(AND(A303="proposed_name",COUNTIF('أسماء مقترحة'!$A$6:$A$505,B303)=0),"proposed_name key not found; ",""))))</f>
        <v/>
      </c>
    </row>
    <row r="304" spans="1:17">
      <c r="A304" s="23"/>
      <c r="B304" s="24"/>
      <c r="C304" s="25"/>
      <c r="D304" s="25"/>
      <c r="E304" s="25"/>
      <c r="F304" s="25"/>
      <c r="G304" s="24"/>
      <c r="H304" s="25"/>
      <c r="I304" s="32"/>
      <c r="J304" s="25"/>
      <c r="K304" s="24"/>
      <c r="L304" s="25"/>
      <c r="M304" s="25"/>
      <c r="N304" s="25"/>
      <c r="O304" s="25"/>
      <c r="P304" s="25" t="str">
        <f>IF(AND(A304="",B304="",H304=""),"",IF(OR(A304="",B304="",C304="",E304="",F304="",H304="",AND(A304="client",COUNTIF(الزبائن!$A$6:$A$505,B304)=0),AND(A304="proposed_name",COUNTIF('أسماء مقترحة'!$A$6:$A$505,B304)=0)),"REVIEW","READY"))</f>
        <v/>
      </c>
      <c r="Q304" s="27" t="str">
        <f>IF(P304="","",IF(P304="READY","",TRIM(IF(A304="","missing entity_type; ","")&amp;IF(B304="","missing entity_key; ","")&amp;IF(C304="","missing referrer_order; ","")&amp;IF(E304="","missing referrer_type; ","")&amp;IF(F304="","missing referral_origin_channel; ","")&amp;IF(H304="","missing referrer_name_snapshot; ","")&amp;IF(AND(A304="client",COUNTIF(الزبائن!$A$6:$A$505,B304)=0),"client key not found; ","")&amp;IF(AND(A304="proposed_name",COUNTIF('أسماء مقترحة'!$A$6:$A$505,B304)=0),"proposed_name key not found; ",""))))</f>
        <v/>
      </c>
    </row>
    <row r="305" spans="1:17">
      <c r="A305" s="23"/>
      <c r="B305" s="24"/>
      <c r="C305" s="25"/>
      <c r="D305" s="25"/>
      <c r="E305" s="25"/>
      <c r="F305" s="25"/>
      <c r="G305" s="24"/>
      <c r="H305" s="25"/>
      <c r="I305" s="32"/>
      <c r="J305" s="25"/>
      <c r="K305" s="24"/>
      <c r="L305" s="25"/>
      <c r="M305" s="25"/>
      <c r="N305" s="25"/>
      <c r="O305" s="25"/>
      <c r="P305" s="25" t="str">
        <f>IF(AND(A305="",B305="",H305=""),"",IF(OR(A305="",B305="",C305="",E305="",F305="",H305="",AND(A305="client",COUNTIF(الزبائن!$A$6:$A$505,B305)=0),AND(A305="proposed_name",COUNTIF('أسماء مقترحة'!$A$6:$A$505,B305)=0)),"REVIEW","READY"))</f>
        <v/>
      </c>
      <c r="Q305" s="27" t="str">
        <f>IF(P305="","",IF(P305="READY","",TRIM(IF(A305="","missing entity_type; ","")&amp;IF(B305="","missing entity_key; ","")&amp;IF(C305="","missing referrer_order; ","")&amp;IF(E305="","missing referrer_type; ","")&amp;IF(F305="","missing referral_origin_channel; ","")&amp;IF(H305="","missing referrer_name_snapshot; ","")&amp;IF(AND(A305="client",COUNTIF(الزبائن!$A$6:$A$505,B305)=0),"client key not found; ","")&amp;IF(AND(A305="proposed_name",COUNTIF('أسماء مقترحة'!$A$6:$A$505,B305)=0),"proposed_name key not found; ",""))))</f>
        <v/>
      </c>
    </row>
    <row r="306" spans="1:17">
      <c r="A306" s="23"/>
      <c r="B306" s="24"/>
      <c r="C306" s="25"/>
      <c r="D306" s="25"/>
      <c r="E306" s="25"/>
      <c r="F306" s="25"/>
      <c r="G306" s="24"/>
      <c r="H306" s="25"/>
      <c r="I306" s="32"/>
      <c r="J306" s="25"/>
      <c r="K306" s="24"/>
      <c r="L306" s="25"/>
      <c r="M306" s="25"/>
      <c r="N306" s="25"/>
      <c r="O306" s="25"/>
      <c r="P306" s="25" t="str">
        <f>IF(AND(A306="",B306="",H306=""),"",IF(OR(A306="",B306="",C306="",E306="",F306="",H306="",AND(A306="client",COUNTIF(الزبائن!$A$6:$A$505,B306)=0),AND(A306="proposed_name",COUNTIF('أسماء مقترحة'!$A$6:$A$505,B306)=0)),"REVIEW","READY"))</f>
        <v/>
      </c>
      <c r="Q306" s="27" t="str">
        <f>IF(P306="","",IF(P306="READY","",TRIM(IF(A306="","missing entity_type; ","")&amp;IF(B306="","missing entity_key; ","")&amp;IF(C306="","missing referrer_order; ","")&amp;IF(E306="","missing referrer_type; ","")&amp;IF(F306="","missing referral_origin_channel; ","")&amp;IF(H306="","missing referrer_name_snapshot; ","")&amp;IF(AND(A306="client",COUNTIF(الزبائن!$A$6:$A$505,B306)=0),"client key not found; ","")&amp;IF(AND(A306="proposed_name",COUNTIF('أسماء مقترحة'!$A$6:$A$505,B306)=0),"proposed_name key not found; ",""))))</f>
        <v/>
      </c>
    </row>
    <row r="307" spans="1:17">
      <c r="A307" s="23"/>
      <c r="B307" s="24"/>
      <c r="C307" s="25"/>
      <c r="D307" s="25"/>
      <c r="E307" s="25"/>
      <c r="F307" s="25"/>
      <c r="G307" s="24"/>
      <c r="H307" s="25"/>
      <c r="I307" s="32"/>
      <c r="J307" s="25"/>
      <c r="K307" s="24"/>
      <c r="L307" s="25"/>
      <c r="M307" s="25"/>
      <c r="N307" s="25"/>
      <c r="O307" s="25"/>
      <c r="P307" s="25" t="str">
        <f>IF(AND(A307="",B307="",H307=""),"",IF(OR(A307="",B307="",C307="",E307="",F307="",H307="",AND(A307="client",COUNTIF(الزبائن!$A$6:$A$505,B307)=0),AND(A307="proposed_name",COUNTIF('أسماء مقترحة'!$A$6:$A$505,B307)=0)),"REVIEW","READY"))</f>
        <v/>
      </c>
      <c r="Q307" s="27" t="str">
        <f>IF(P307="","",IF(P307="READY","",TRIM(IF(A307="","missing entity_type; ","")&amp;IF(B307="","missing entity_key; ","")&amp;IF(C307="","missing referrer_order; ","")&amp;IF(E307="","missing referrer_type; ","")&amp;IF(F307="","missing referral_origin_channel; ","")&amp;IF(H307="","missing referrer_name_snapshot; ","")&amp;IF(AND(A307="client",COUNTIF(الزبائن!$A$6:$A$505,B307)=0),"client key not found; ","")&amp;IF(AND(A307="proposed_name",COUNTIF('أسماء مقترحة'!$A$6:$A$505,B307)=0),"proposed_name key not found; ",""))))</f>
        <v/>
      </c>
    </row>
    <row r="308" spans="1:17">
      <c r="A308" s="23"/>
      <c r="B308" s="24"/>
      <c r="C308" s="25"/>
      <c r="D308" s="25"/>
      <c r="E308" s="25"/>
      <c r="F308" s="25"/>
      <c r="G308" s="24"/>
      <c r="H308" s="25"/>
      <c r="I308" s="32"/>
      <c r="J308" s="25"/>
      <c r="K308" s="24"/>
      <c r="L308" s="25"/>
      <c r="M308" s="25"/>
      <c r="N308" s="25"/>
      <c r="O308" s="25"/>
      <c r="P308" s="25" t="str">
        <f>IF(AND(A308="",B308="",H308=""),"",IF(OR(A308="",B308="",C308="",E308="",F308="",H308="",AND(A308="client",COUNTIF(الزبائن!$A$6:$A$505,B308)=0),AND(A308="proposed_name",COUNTIF('أسماء مقترحة'!$A$6:$A$505,B308)=0)),"REVIEW","READY"))</f>
        <v/>
      </c>
      <c r="Q308" s="27" t="str">
        <f>IF(P308="","",IF(P308="READY","",TRIM(IF(A308="","missing entity_type; ","")&amp;IF(B308="","missing entity_key; ","")&amp;IF(C308="","missing referrer_order; ","")&amp;IF(E308="","missing referrer_type; ","")&amp;IF(F308="","missing referral_origin_channel; ","")&amp;IF(H308="","missing referrer_name_snapshot; ","")&amp;IF(AND(A308="client",COUNTIF(الزبائن!$A$6:$A$505,B308)=0),"client key not found; ","")&amp;IF(AND(A308="proposed_name",COUNTIF('أسماء مقترحة'!$A$6:$A$505,B308)=0),"proposed_name key not found; ",""))))</f>
        <v/>
      </c>
    </row>
    <row r="309" spans="1:17">
      <c r="A309" s="23"/>
      <c r="B309" s="24"/>
      <c r="C309" s="25"/>
      <c r="D309" s="25"/>
      <c r="E309" s="25"/>
      <c r="F309" s="25"/>
      <c r="G309" s="24"/>
      <c r="H309" s="25"/>
      <c r="I309" s="32"/>
      <c r="J309" s="25"/>
      <c r="K309" s="24"/>
      <c r="L309" s="25"/>
      <c r="M309" s="25"/>
      <c r="N309" s="25"/>
      <c r="O309" s="25"/>
      <c r="P309" s="25" t="str">
        <f>IF(AND(A309="",B309="",H309=""),"",IF(OR(A309="",B309="",C309="",E309="",F309="",H309="",AND(A309="client",COUNTIF(الزبائن!$A$6:$A$505,B309)=0),AND(A309="proposed_name",COUNTIF('أسماء مقترحة'!$A$6:$A$505,B309)=0)),"REVIEW","READY"))</f>
        <v/>
      </c>
      <c r="Q309" s="27" t="str">
        <f>IF(P309="","",IF(P309="READY","",TRIM(IF(A309="","missing entity_type; ","")&amp;IF(B309="","missing entity_key; ","")&amp;IF(C309="","missing referrer_order; ","")&amp;IF(E309="","missing referrer_type; ","")&amp;IF(F309="","missing referral_origin_channel; ","")&amp;IF(H309="","missing referrer_name_snapshot; ","")&amp;IF(AND(A309="client",COUNTIF(الزبائن!$A$6:$A$505,B309)=0),"client key not found; ","")&amp;IF(AND(A309="proposed_name",COUNTIF('أسماء مقترحة'!$A$6:$A$505,B309)=0),"proposed_name key not found; ",""))))</f>
        <v/>
      </c>
    </row>
    <row r="310" spans="1:17">
      <c r="A310" s="23"/>
      <c r="B310" s="24"/>
      <c r="C310" s="25"/>
      <c r="D310" s="25"/>
      <c r="E310" s="25"/>
      <c r="F310" s="25"/>
      <c r="G310" s="24"/>
      <c r="H310" s="25"/>
      <c r="I310" s="32"/>
      <c r="J310" s="25"/>
      <c r="K310" s="24"/>
      <c r="L310" s="25"/>
      <c r="M310" s="25"/>
      <c r="N310" s="25"/>
      <c r="O310" s="25"/>
      <c r="P310" s="25" t="str">
        <f>IF(AND(A310="",B310="",H310=""),"",IF(OR(A310="",B310="",C310="",E310="",F310="",H310="",AND(A310="client",COUNTIF(الزبائن!$A$6:$A$505,B310)=0),AND(A310="proposed_name",COUNTIF('أسماء مقترحة'!$A$6:$A$505,B310)=0)),"REVIEW","READY"))</f>
        <v/>
      </c>
      <c r="Q310" s="27" t="str">
        <f>IF(P310="","",IF(P310="READY","",TRIM(IF(A310="","missing entity_type; ","")&amp;IF(B310="","missing entity_key; ","")&amp;IF(C310="","missing referrer_order; ","")&amp;IF(E310="","missing referrer_type; ","")&amp;IF(F310="","missing referral_origin_channel; ","")&amp;IF(H310="","missing referrer_name_snapshot; ","")&amp;IF(AND(A310="client",COUNTIF(الزبائن!$A$6:$A$505,B310)=0),"client key not found; ","")&amp;IF(AND(A310="proposed_name",COUNTIF('أسماء مقترحة'!$A$6:$A$505,B310)=0),"proposed_name key not found; ",""))))</f>
        <v/>
      </c>
    </row>
    <row r="311" spans="1:17">
      <c r="A311" s="23"/>
      <c r="B311" s="24"/>
      <c r="C311" s="25"/>
      <c r="D311" s="25"/>
      <c r="E311" s="25"/>
      <c r="F311" s="25"/>
      <c r="G311" s="24"/>
      <c r="H311" s="25"/>
      <c r="I311" s="32"/>
      <c r="J311" s="25"/>
      <c r="K311" s="24"/>
      <c r="L311" s="25"/>
      <c r="M311" s="25"/>
      <c r="N311" s="25"/>
      <c r="O311" s="25"/>
      <c r="P311" s="25" t="str">
        <f>IF(AND(A311="",B311="",H311=""),"",IF(OR(A311="",B311="",C311="",E311="",F311="",H311="",AND(A311="client",COUNTIF(الزبائن!$A$6:$A$505,B311)=0),AND(A311="proposed_name",COUNTIF('أسماء مقترحة'!$A$6:$A$505,B311)=0)),"REVIEW","READY"))</f>
        <v/>
      </c>
      <c r="Q311" s="27" t="str">
        <f>IF(P311="","",IF(P311="READY","",TRIM(IF(A311="","missing entity_type; ","")&amp;IF(B311="","missing entity_key; ","")&amp;IF(C311="","missing referrer_order; ","")&amp;IF(E311="","missing referrer_type; ","")&amp;IF(F311="","missing referral_origin_channel; ","")&amp;IF(H311="","missing referrer_name_snapshot; ","")&amp;IF(AND(A311="client",COUNTIF(الزبائن!$A$6:$A$505,B311)=0),"client key not found; ","")&amp;IF(AND(A311="proposed_name",COUNTIF('أسماء مقترحة'!$A$6:$A$505,B311)=0),"proposed_name key not found; ",""))))</f>
        <v/>
      </c>
    </row>
    <row r="312" spans="1:17">
      <c r="A312" s="23"/>
      <c r="B312" s="24"/>
      <c r="C312" s="25"/>
      <c r="D312" s="25"/>
      <c r="E312" s="25"/>
      <c r="F312" s="25"/>
      <c r="G312" s="24"/>
      <c r="H312" s="25"/>
      <c r="I312" s="32"/>
      <c r="J312" s="25"/>
      <c r="K312" s="24"/>
      <c r="L312" s="25"/>
      <c r="M312" s="25"/>
      <c r="N312" s="25"/>
      <c r="O312" s="25"/>
      <c r="P312" s="25" t="str">
        <f>IF(AND(A312="",B312="",H312=""),"",IF(OR(A312="",B312="",C312="",E312="",F312="",H312="",AND(A312="client",COUNTIF(الزبائن!$A$6:$A$505,B312)=0),AND(A312="proposed_name",COUNTIF('أسماء مقترحة'!$A$6:$A$505,B312)=0)),"REVIEW","READY"))</f>
        <v/>
      </c>
      <c r="Q312" s="27" t="str">
        <f>IF(P312="","",IF(P312="READY","",TRIM(IF(A312="","missing entity_type; ","")&amp;IF(B312="","missing entity_key; ","")&amp;IF(C312="","missing referrer_order; ","")&amp;IF(E312="","missing referrer_type; ","")&amp;IF(F312="","missing referral_origin_channel; ","")&amp;IF(H312="","missing referrer_name_snapshot; ","")&amp;IF(AND(A312="client",COUNTIF(الزبائن!$A$6:$A$505,B312)=0),"client key not found; ","")&amp;IF(AND(A312="proposed_name",COUNTIF('أسماء مقترحة'!$A$6:$A$505,B312)=0),"proposed_name key not found; ",""))))</f>
        <v/>
      </c>
    </row>
    <row r="313" spans="1:17">
      <c r="A313" s="23"/>
      <c r="B313" s="24"/>
      <c r="C313" s="25"/>
      <c r="D313" s="25"/>
      <c r="E313" s="25"/>
      <c r="F313" s="25"/>
      <c r="G313" s="24"/>
      <c r="H313" s="25"/>
      <c r="I313" s="32"/>
      <c r="J313" s="25"/>
      <c r="K313" s="24"/>
      <c r="L313" s="25"/>
      <c r="M313" s="25"/>
      <c r="N313" s="25"/>
      <c r="O313" s="25"/>
      <c r="P313" s="25" t="str">
        <f>IF(AND(A313="",B313="",H313=""),"",IF(OR(A313="",B313="",C313="",E313="",F313="",H313="",AND(A313="client",COUNTIF(الزبائن!$A$6:$A$505,B313)=0),AND(A313="proposed_name",COUNTIF('أسماء مقترحة'!$A$6:$A$505,B313)=0)),"REVIEW","READY"))</f>
        <v/>
      </c>
      <c r="Q313" s="27" t="str">
        <f>IF(P313="","",IF(P313="READY","",TRIM(IF(A313="","missing entity_type; ","")&amp;IF(B313="","missing entity_key; ","")&amp;IF(C313="","missing referrer_order; ","")&amp;IF(E313="","missing referrer_type; ","")&amp;IF(F313="","missing referral_origin_channel; ","")&amp;IF(H313="","missing referrer_name_snapshot; ","")&amp;IF(AND(A313="client",COUNTIF(الزبائن!$A$6:$A$505,B313)=0),"client key not found; ","")&amp;IF(AND(A313="proposed_name",COUNTIF('أسماء مقترحة'!$A$6:$A$505,B313)=0),"proposed_name key not found; ",""))))</f>
        <v/>
      </c>
    </row>
    <row r="314" spans="1:17">
      <c r="A314" s="23"/>
      <c r="B314" s="24"/>
      <c r="C314" s="25"/>
      <c r="D314" s="25"/>
      <c r="E314" s="25"/>
      <c r="F314" s="25"/>
      <c r="G314" s="24"/>
      <c r="H314" s="25"/>
      <c r="I314" s="32"/>
      <c r="J314" s="25"/>
      <c r="K314" s="24"/>
      <c r="L314" s="25"/>
      <c r="M314" s="25"/>
      <c r="N314" s="25"/>
      <c r="O314" s="25"/>
      <c r="P314" s="25" t="str">
        <f>IF(AND(A314="",B314="",H314=""),"",IF(OR(A314="",B314="",C314="",E314="",F314="",H314="",AND(A314="client",COUNTIF(الزبائن!$A$6:$A$505,B314)=0),AND(A314="proposed_name",COUNTIF('أسماء مقترحة'!$A$6:$A$505,B314)=0)),"REVIEW","READY"))</f>
        <v/>
      </c>
      <c r="Q314" s="27" t="str">
        <f>IF(P314="","",IF(P314="READY","",TRIM(IF(A314="","missing entity_type; ","")&amp;IF(B314="","missing entity_key; ","")&amp;IF(C314="","missing referrer_order; ","")&amp;IF(E314="","missing referrer_type; ","")&amp;IF(F314="","missing referral_origin_channel; ","")&amp;IF(H314="","missing referrer_name_snapshot; ","")&amp;IF(AND(A314="client",COUNTIF(الزبائن!$A$6:$A$505,B314)=0),"client key not found; ","")&amp;IF(AND(A314="proposed_name",COUNTIF('أسماء مقترحة'!$A$6:$A$505,B314)=0),"proposed_name key not found; ",""))))</f>
        <v/>
      </c>
    </row>
    <row r="315" spans="1:17">
      <c r="A315" s="23"/>
      <c r="B315" s="24"/>
      <c r="C315" s="25"/>
      <c r="D315" s="25"/>
      <c r="E315" s="25"/>
      <c r="F315" s="25"/>
      <c r="G315" s="24"/>
      <c r="H315" s="25"/>
      <c r="I315" s="32"/>
      <c r="J315" s="25"/>
      <c r="K315" s="24"/>
      <c r="L315" s="25"/>
      <c r="M315" s="25"/>
      <c r="N315" s="25"/>
      <c r="O315" s="25"/>
      <c r="P315" s="25" t="str">
        <f>IF(AND(A315="",B315="",H315=""),"",IF(OR(A315="",B315="",C315="",E315="",F315="",H315="",AND(A315="client",COUNTIF(الزبائن!$A$6:$A$505,B315)=0),AND(A315="proposed_name",COUNTIF('أسماء مقترحة'!$A$6:$A$505,B315)=0)),"REVIEW","READY"))</f>
        <v/>
      </c>
      <c r="Q315" s="27" t="str">
        <f>IF(P315="","",IF(P315="READY","",TRIM(IF(A315="","missing entity_type; ","")&amp;IF(B315="","missing entity_key; ","")&amp;IF(C315="","missing referrer_order; ","")&amp;IF(E315="","missing referrer_type; ","")&amp;IF(F315="","missing referral_origin_channel; ","")&amp;IF(H315="","missing referrer_name_snapshot; ","")&amp;IF(AND(A315="client",COUNTIF(الزبائن!$A$6:$A$505,B315)=0),"client key not found; ","")&amp;IF(AND(A315="proposed_name",COUNTIF('أسماء مقترحة'!$A$6:$A$505,B315)=0),"proposed_name key not found; ",""))))</f>
        <v/>
      </c>
    </row>
    <row r="316" spans="1:17">
      <c r="A316" s="23"/>
      <c r="B316" s="24"/>
      <c r="C316" s="25"/>
      <c r="D316" s="25"/>
      <c r="E316" s="25"/>
      <c r="F316" s="25"/>
      <c r="G316" s="24"/>
      <c r="H316" s="25"/>
      <c r="I316" s="32"/>
      <c r="J316" s="25"/>
      <c r="K316" s="24"/>
      <c r="L316" s="25"/>
      <c r="M316" s="25"/>
      <c r="N316" s="25"/>
      <c r="O316" s="25"/>
      <c r="P316" s="25" t="str">
        <f>IF(AND(A316="",B316="",H316=""),"",IF(OR(A316="",B316="",C316="",E316="",F316="",H316="",AND(A316="client",COUNTIF(الزبائن!$A$6:$A$505,B316)=0),AND(A316="proposed_name",COUNTIF('أسماء مقترحة'!$A$6:$A$505,B316)=0)),"REVIEW","READY"))</f>
        <v/>
      </c>
      <c r="Q316" s="27" t="str">
        <f>IF(P316="","",IF(P316="READY","",TRIM(IF(A316="","missing entity_type; ","")&amp;IF(B316="","missing entity_key; ","")&amp;IF(C316="","missing referrer_order; ","")&amp;IF(E316="","missing referrer_type; ","")&amp;IF(F316="","missing referral_origin_channel; ","")&amp;IF(H316="","missing referrer_name_snapshot; ","")&amp;IF(AND(A316="client",COUNTIF(الزبائن!$A$6:$A$505,B316)=0),"client key not found; ","")&amp;IF(AND(A316="proposed_name",COUNTIF('أسماء مقترحة'!$A$6:$A$505,B316)=0),"proposed_name key not found; ",""))))</f>
        <v/>
      </c>
    </row>
    <row r="317" spans="1:17">
      <c r="A317" s="23"/>
      <c r="B317" s="24"/>
      <c r="C317" s="25"/>
      <c r="D317" s="25"/>
      <c r="E317" s="25"/>
      <c r="F317" s="25"/>
      <c r="G317" s="24"/>
      <c r="H317" s="25"/>
      <c r="I317" s="32"/>
      <c r="J317" s="25"/>
      <c r="K317" s="24"/>
      <c r="L317" s="25"/>
      <c r="M317" s="25"/>
      <c r="N317" s="25"/>
      <c r="O317" s="25"/>
      <c r="P317" s="25" t="str">
        <f>IF(AND(A317="",B317="",H317=""),"",IF(OR(A317="",B317="",C317="",E317="",F317="",H317="",AND(A317="client",COUNTIF(الزبائن!$A$6:$A$505,B317)=0),AND(A317="proposed_name",COUNTIF('أسماء مقترحة'!$A$6:$A$505,B317)=0)),"REVIEW","READY"))</f>
        <v/>
      </c>
      <c r="Q317" s="27" t="str">
        <f>IF(P317="","",IF(P317="READY","",TRIM(IF(A317="","missing entity_type; ","")&amp;IF(B317="","missing entity_key; ","")&amp;IF(C317="","missing referrer_order; ","")&amp;IF(E317="","missing referrer_type; ","")&amp;IF(F317="","missing referral_origin_channel; ","")&amp;IF(H317="","missing referrer_name_snapshot; ","")&amp;IF(AND(A317="client",COUNTIF(الزبائن!$A$6:$A$505,B317)=0),"client key not found; ","")&amp;IF(AND(A317="proposed_name",COUNTIF('أسماء مقترحة'!$A$6:$A$505,B317)=0),"proposed_name key not found; ",""))))</f>
        <v/>
      </c>
    </row>
    <row r="318" spans="1:17">
      <c r="A318" s="23"/>
      <c r="B318" s="24"/>
      <c r="C318" s="25"/>
      <c r="D318" s="25"/>
      <c r="E318" s="25"/>
      <c r="F318" s="25"/>
      <c r="G318" s="24"/>
      <c r="H318" s="25"/>
      <c r="I318" s="32"/>
      <c r="J318" s="25"/>
      <c r="K318" s="24"/>
      <c r="L318" s="25"/>
      <c r="M318" s="25"/>
      <c r="N318" s="25"/>
      <c r="O318" s="25"/>
      <c r="P318" s="25" t="str">
        <f>IF(AND(A318="",B318="",H318=""),"",IF(OR(A318="",B318="",C318="",E318="",F318="",H318="",AND(A318="client",COUNTIF(الزبائن!$A$6:$A$505,B318)=0),AND(A318="proposed_name",COUNTIF('أسماء مقترحة'!$A$6:$A$505,B318)=0)),"REVIEW","READY"))</f>
        <v/>
      </c>
      <c r="Q318" s="27" t="str">
        <f>IF(P318="","",IF(P318="READY","",TRIM(IF(A318="","missing entity_type; ","")&amp;IF(B318="","missing entity_key; ","")&amp;IF(C318="","missing referrer_order; ","")&amp;IF(E318="","missing referrer_type; ","")&amp;IF(F318="","missing referral_origin_channel; ","")&amp;IF(H318="","missing referrer_name_snapshot; ","")&amp;IF(AND(A318="client",COUNTIF(الزبائن!$A$6:$A$505,B318)=0),"client key not found; ","")&amp;IF(AND(A318="proposed_name",COUNTIF('أسماء مقترحة'!$A$6:$A$505,B318)=0),"proposed_name key not found; ",""))))</f>
        <v/>
      </c>
    </row>
    <row r="319" spans="1:17">
      <c r="A319" s="23"/>
      <c r="B319" s="24"/>
      <c r="C319" s="25"/>
      <c r="D319" s="25"/>
      <c r="E319" s="25"/>
      <c r="F319" s="25"/>
      <c r="G319" s="24"/>
      <c r="H319" s="25"/>
      <c r="I319" s="32"/>
      <c r="J319" s="25"/>
      <c r="K319" s="24"/>
      <c r="L319" s="25"/>
      <c r="M319" s="25"/>
      <c r="N319" s="25"/>
      <c r="O319" s="25"/>
      <c r="P319" s="25" t="str">
        <f>IF(AND(A319="",B319="",H319=""),"",IF(OR(A319="",B319="",C319="",E319="",F319="",H319="",AND(A319="client",COUNTIF(الزبائن!$A$6:$A$505,B319)=0),AND(A319="proposed_name",COUNTIF('أسماء مقترحة'!$A$6:$A$505,B319)=0)),"REVIEW","READY"))</f>
        <v/>
      </c>
      <c r="Q319" s="27" t="str">
        <f>IF(P319="","",IF(P319="READY","",TRIM(IF(A319="","missing entity_type; ","")&amp;IF(B319="","missing entity_key; ","")&amp;IF(C319="","missing referrer_order; ","")&amp;IF(E319="","missing referrer_type; ","")&amp;IF(F319="","missing referral_origin_channel; ","")&amp;IF(H319="","missing referrer_name_snapshot; ","")&amp;IF(AND(A319="client",COUNTIF(الزبائن!$A$6:$A$505,B319)=0),"client key not found; ","")&amp;IF(AND(A319="proposed_name",COUNTIF('أسماء مقترحة'!$A$6:$A$505,B319)=0),"proposed_name key not found; ",""))))</f>
        <v/>
      </c>
    </row>
    <row r="320" spans="1:17">
      <c r="A320" s="23"/>
      <c r="B320" s="24"/>
      <c r="C320" s="25"/>
      <c r="D320" s="25"/>
      <c r="E320" s="25"/>
      <c r="F320" s="25"/>
      <c r="G320" s="24"/>
      <c r="H320" s="25"/>
      <c r="I320" s="32"/>
      <c r="J320" s="25"/>
      <c r="K320" s="24"/>
      <c r="L320" s="25"/>
      <c r="M320" s="25"/>
      <c r="N320" s="25"/>
      <c r="O320" s="25"/>
      <c r="P320" s="25" t="str">
        <f>IF(AND(A320="",B320="",H320=""),"",IF(OR(A320="",B320="",C320="",E320="",F320="",H320="",AND(A320="client",COUNTIF(الزبائن!$A$6:$A$505,B320)=0),AND(A320="proposed_name",COUNTIF('أسماء مقترحة'!$A$6:$A$505,B320)=0)),"REVIEW","READY"))</f>
        <v/>
      </c>
      <c r="Q320" s="27" t="str">
        <f>IF(P320="","",IF(P320="READY","",TRIM(IF(A320="","missing entity_type; ","")&amp;IF(B320="","missing entity_key; ","")&amp;IF(C320="","missing referrer_order; ","")&amp;IF(E320="","missing referrer_type; ","")&amp;IF(F320="","missing referral_origin_channel; ","")&amp;IF(H320="","missing referrer_name_snapshot; ","")&amp;IF(AND(A320="client",COUNTIF(الزبائن!$A$6:$A$505,B320)=0),"client key not found; ","")&amp;IF(AND(A320="proposed_name",COUNTIF('أسماء مقترحة'!$A$6:$A$505,B320)=0),"proposed_name key not found; ",""))))</f>
        <v/>
      </c>
    </row>
    <row r="321" spans="1:17">
      <c r="A321" s="23"/>
      <c r="B321" s="24"/>
      <c r="C321" s="25"/>
      <c r="D321" s="25"/>
      <c r="E321" s="25"/>
      <c r="F321" s="25"/>
      <c r="G321" s="24"/>
      <c r="H321" s="25"/>
      <c r="I321" s="32"/>
      <c r="J321" s="25"/>
      <c r="K321" s="24"/>
      <c r="L321" s="25"/>
      <c r="M321" s="25"/>
      <c r="N321" s="25"/>
      <c r="O321" s="25"/>
      <c r="P321" s="25" t="str">
        <f>IF(AND(A321="",B321="",H321=""),"",IF(OR(A321="",B321="",C321="",E321="",F321="",H321="",AND(A321="client",COUNTIF(الزبائن!$A$6:$A$505,B321)=0),AND(A321="proposed_name",COUNTIF('أسماء مقترحة'!$A$6:$A$505,B321)=0)),"REVIEW","READY"))</f>
        <v/>
      </c>
      <c r="Q321" s="27" t="str">
        <f>IF(P321="","",IF(P321="READY","",TRIM(IF(A321="","missing entity_type; ","")&amp;IF(B321="","missing entity_key; ","")&amp;IF(C321="","missing referrer_order; ","")&amp;IF(E321="","missing referrer_type; ","")&amp;IF(F321="","missing referral_origin_channel; ","")&amp;IF(H321="","missing referrer_name_snapshot; ","")&amp;IF(AND(A321="client",COUNTIF(الزبائن!$A$6:$A$505,B321)=0),"client key not found; ","")&amp;IF(AND(A321="proposed_name",COUNTIF('أسماء مقترحة'!$A$6:$A$505,B321)=0),"proposed_name key not found; ",""))))</f>
        <v/>
      </c>
    </row>
    <row r="322" spans="1:17">
      <c r="A322" s="23"/>
      <c r="B322" s="24"/>
      <c r="C322" s="25"/>
      <c r="D322" s="25"/>
      <c r="E322" s="25"/>
      <c r="F322" s="25"/>
      <c r="G322" s="24"/>
      <c r="H322" s="25"/>
      <c r="I322" s="32"/>
      <c r="J322" s="25"/>
      <c r="K322" s="24"/>
      <c r="L322" s="25"/>
      <c r="M322" s="25"/>
      <c r="N322" s="25"/>
      <c r="O322" s="25"/>
      <c r="P322" s="25" t="str">
        <f>IF(AND(A322="",B322="",H322=""),"",IF(OR(A322="",B322="",C322="",E322="",F322="",H322="",AND(A322="client",COUNTIF(الزبائن!$A$6:$A$505,B322)=0),AND(A322="proposed_name",COUNTIF('أسماء مقترحة'!$A$6:$A$505,B322)=0)),"REVIEW","READY"))</f>
        <v/>
      </c>
      <c r="Q322" s="27" t="str">
        <f>IF(P322="","",IF(P322="READY","",TRIM(IF(A322="","missing entity_type; ","")&amp;IF(B322="","missing entity_key; ","")&amp;IF(C322="","missing referrer_order; ","")&amp;IF(E322="","missing referrer_type; ","")&amp;IF(F322="","missing referral_origin_channel; ","")&amp;IF(H322="","missing referrer_name_snapshot; ","")&amp;IF(AND(A322="client",COUNTIF(الزبائن!$A$6:$A$505,B322)=0),"client key not found; ","")&amp;IF(AND(A322="proposed_name",COUNTIF('أسماء مقترحة'!$A$6:$A$505,B322)=0),"proposed_name key not found; ",""))))</f>
        <v/>
      </c>
    </row>
    <row r="323" spans="1:17">
      <c r="A323" s="23"/>
      <c r="B323" s="24"/>
      <c r="C323" s="25"/>
      <c r="D323" s="25"/>
      <c r="E323" s="25"/>
      <c r="F323" s="25"/>
      <c r="G323" s="24"/>
      <c r="H323" s="25"/>
      <c r="I323" s="32"/>
      <c r="J323" s="25"/>
      <c r="K323" s="24"/>
      <c r="L323" s="25"/>
      <c r="M323" s="25"/>
      <c r="N323" s="25"/>
      <c r="O323" s="25"/>
      <c r="P323" s="25" t="str">
        <f>IF(AND(A323="",B323="",H323=""),"",IF(OR(A323="",B323="",C323="",E323="",F323="",H323="",AND(A323="client",COUNTIF(الزبائن!$A$6:$A$505,B323)=0),AND(A323="proposed_name",COUNTIF('أسماء مقترحة'!$A$6:$A$505,B323)=0)),"REVIEW","READY"))</f>
        <v/>
      </c>
      <c r="Q323" s="27" t="str">
        <f>IF(P323="","",IF(P323="READY","",TRIM(IF(A323="","missing entity_type; ","")&amp;IF(B323="","missing entity_key; ","")&amp;IF(C323="","missing referrer_order; ","")&amp;IF(E323="","missing referrer_type; ","")&amp;IF(F323="","missing referral_origin_channel; ","")&amp;IF(H323="","missing referrer_name_snapshot; ","")&amp;IF(AND(A323="client",COUNTIF(الزبائن!$A$6:$A$505,B323)=0),"client key not found; ","")&amp;IF(AND(A323="proposed_name",COUNTIF('أسماء مقترحة'!$A$6:$A$505,B323)=0),"proposed_name key not found; ",""))))</f>
        <v/>
      </c>
    </row>
    <row r="324" spans="1:17">
      <c r="A324" s="23"/>
      <c r="B324" s="24"/>
      <c r="C324" s="25"/>
      <c r="D324" s="25"/>
      <c r="E324" s="25"/>
      <c r="F324" s="25"/>
      <c r="G324" s="24"/>
      <c r="H324" s="25"/>
      <c r="I324" s="32"/>
      <c r="J324" s="25"/>
      <c r="K324" s="24"/>
      <c r="L324" s="25"/>
      <c r="M324" s="25"/>
      <c r="N324" s="25"/>
      <c r="O324" s="25"/>
      <c r="P324" s="25" t="str">
        <f>IF(AND(A324="",B324="",H324=""),"",IF(OR(A324="",B324="",C324="",E324="",F324="",H324="",AND(A324="client",COUNTIF(الزبائن!$A$6:$A$505,B324)=0),AND(A324="proposed_name",COUNTIF('أسماء مقترحة'!$A$6:$A$505,B324)=0)),"REVIEW","READY"))</f>
        <v/>
      </c>
      <c r="Q324" s="27" t="str">
        <f>IF(P324="","",IF(P324="READY","",TRIM(IF(A324="","missing entity_type; ","")&amp;IF(B324="","missing entity_key; ","")&amp;IF(C324="","missing referrer_order; ","")&amp;IF(E324="","missing referrer_type; ","")&amp;IF(F324="","missing referral_origin_channel; ","")&amp;IF(H324="","missing referrer_name_snapshot; ","")&amp;IF(AND(A324="client",COUNTIF(الزبائن!$A$6:$A$505,B324)=0),"client key not found; ","")&amp;IF(AND(A324="proposed_name",COUNTIF('أسماء مقترحة'!$A$6:$A$505,B324)=0),"proposed_name key not found; ",""))))</f>
        <v/>
      </c>
    </row>
    <row r="325" spans="1:17">
      <c r="A325" s="23"/>
      <c r="B325" s="24"/>
      <c r="C325" s="25"/>
      <c r="D325" s="25"/>
      <c r="E325" s="25"/>
      <c r="F325" s="25"/>
      <c r="G325" s="24"/>
      <c r="H325" s="25"/>
      <c r="I325" s="32"/>
      <c r="J325" s="25"/>
      <c r="K325" s="24"/>
      <c r="L325" s="25"/>
      <c r="M325" s="25"/>
      <c r="N325" s="25"/>
      <c r="O325" s="25"/>
      <c r="P325" s="25" t="str">
        <f>IF(AND(A325="",B325="",H325=""),"",IF(OR(A325="",B325="",C325="",E325="",F325="",H325="",AND(A325="client",COUNTIF(الزبائن!$A$6:$A$505,B325)=0),AND(A325="proposed_name",COUNTIF('أسماء مقترحة'!$A$6:$A$505,B325)=0)),"REVIEW","READY"))</f>
        <v/>
      </c>
      <c r="Q325" s="27" t="str">
        <f>IF(P325="","",IF(P325="READY","",TRIM(IF(A325="","missing entity_type; ","")&amp;IF(B325="","missing entity_key; ","")&amp;IF(C325="","missing referrer_order; ","")&amp;IF(E325="","missing referrer_type; ","")&amp;IF(F325="","missing referral_origin_channel; ","")&amp;IF(H325="","missing referrer_name_snapshot; ","")&amp;IF(AND(A325="client",COUNTIF(الزبائن!$A$6:$A$505,B325)=0),"client key not found; ","")&amp;IF(AND(A325="proposed_name",COUNTIF('أسماء مقترحة'!$A$6:$A$505,B325)=0),"proposed_name key not found; ",""))))</f>
        <v/>
      </c>
    </row>
    <row r="326" spans="1:17">
      <c r="A326" s="23"/>
      <c r="B326" s="24"/>
      <c r="C326" s="25"/>
      <c r="D326" s="25"/>
      <c r="E326" s="25"/>
      <c r="F326" s="25"/>
      <c r="G326" s="24"/>
      <c r="H326" s="25"/>
      <c r="I326" s="32"/>
      <c r="J326" s="25"/>
      <c r="K326" s="24"/>
      <c r="L326" s="25"/>
      <c r="M326" s="25"/>
      <c r="N326" s="25"/>
      <c r="O326" s="25"/>
      <c r="P326" s="25" t="str">
        <f>IF(AND(A326="",B326="",H326=""),"",IF(OR(A326="",B326="",C326="",E326="",F326="",H326="",AND(A326="client",COUNTIF(الزبائن!$A$6:$A$505,B326)=0),AND(A326="proposed_name",COUNTIF('أسماء مقترحة'!$A$6:$A$505,B326)=0)),"REVIEW","READY"))</f>
        <v/>
      </c>
      <c r="Q326" s="27" t="str">
        <f>IF(P326="","",IF(P326="READY","",TRIM(IF(A326="","missing entity_type; ","")&amp;IF(B326="","missing entity_key; ","")&amp;IF(C326="","missing referrer_order; ","")&amp;IF(E326="","missing referrer_type; ","")&amp;IF(F326="","missing referral_origin_channel; ","")&amp;IF(H326="","missing referrer_name_snapshot; ","")&amp;IF(AND(A326="client",COUNTIF(الزبائن!$A$6:$A$505,B326)=0),"client key not found; ","")&amp;IF(AND(A326="proposed_name",COUNTIF('أسماء مقترحة'!$A$6:$A$505,B326)=0),"proposed_name key not found; ",""))))</f>
        <v/>
      </c>
    </row>
    <row r="327" spans="1:17">
      <c r="A327" s="23"/>
      <c r="B327" s="24"/>
      <c r="C327" s="25"/>
      <c r="D327" s="25"/>
      <c r="E327" s="25"/>
      <c r="F327" s="25"/>
      <c r="G327" s="24"/>
      <c r="H327" s="25"/>
      <c r="I327" s="32"/>
      <c r="J327" s="25"/>
      <c r="K327" s="24"/>
      <c r="L327" s="25"/>
      <c r="M327" s="25"/>
      <c r="N327" s="25"/>
      <c r="O327" s="25"/>
      <c r="P327" s="25" t="str">
        <f>IF(AND(A327="",B327="",H327=""),"",IF(OR(A327="",B327="",C327="",E327="",F327="",H327="",AND(A327="client",COUNTIF(الزبائن!$A$6:$A$505,B327)=0),AND(A327="proposed_name",COUNTIF('أسماء مقترحة'!$A$6:$A$505,B327)=0)),"REVIEW","READY"))</f>
        <v/>
      </c>
      <c r="Q327" s="27" t="str">
        <f>IF(P327="","",IF(P327="READY","",TRIM(IF(A327="","missing entity_type; ","")&amp;IF(B327="","missing entity_key; ","")&amp;IF(C327="","missing referrer_order; ","")&amp;IF(E327="","missing referrer_type; ","")&amp;IF(F327="","missing referral_origin_channel; ","")&amp;IF(H327="","missing referrer_name_snapshot; ","")&amp;IF(AND(A327="client",COUNTIF(الزبائن!$A$6:$A$505,B327)=0),"client key not found; ","")&amp;IF(AND(A327="proposed_name",COUNTIF('أسماء مقترحة'!$A$6:$A$505,B327)=0),"proposed_name key not found; ",""))))</f>
        <v/>
      </c>
    </row>
    <row r="328" spans="1:17">
      <c r="A328" s="23"/>
      <c r="B328" s="24"/>
      <c r="C328" s="25"/>
      <c r="D328" s="25"/>
      <c r="E328" s="25"/>
      <c r="F328" s="25"/>
      <c r="G328" s="24"/>
      <c r="H328" s="25"/>
      <c r="I328" s="32"/>
      <c r="J328" s="25"/>
      <c r="K328" s="24"/>
      <c r="L328" s="25"/>
      <c r="M328" s="25"/>
      <c r="N328" s="25"/>
      <c r="O328" s="25"/>
      <c r="P328" s="25" t="str">
        <f>IF(AND(A328="",B328="",H328=""),"",IF(OR(A328="",B328="",C328="",E328="",F328="",H328="",AND(A328="client",COUNTIF(الزبائن!$A$6:$A$505,B328)=0),AND(A328="proposed_name",COUNTIF('أسماء مقترحة'!$A$6:$A$505,B328)=0)),"REVIEW","READY"))</f>
        <v/>
      </c>
      <c r="Q328" s="27" t="str">
        <f>IF(P328="","",IF(P328="READY","",TRIM(IF(A328="","missing entity_type; ","")&amp;IF(B328="","missing entity_key; ","")&amp;IF(C328="","missing referrer_order; ","")&amp;IF(E328="","missing referrer_type; ","")&amp;IF(F328="","missing referral_origin_channel; ","")&amp;IF(H328="","missing referrer_name_snapshot; ","")&amp;IF(AND(A328="client",COUNTIF(الزبائن!$A$6:$A$505,B328)=0),"client key not found; ","")&amp;IF(AND(A328="proposed_name",COUNTIF('أسماء مقترحة'!$A$6:$A$505,B328)=0),"proposed_name key not found; ",""))))</f>
        <v/>
      </c>
    </row>
    <row r="329" spans="1:17">
      <c r="A329" s="23"/>
      <c r="B329" s="24"/>
      <c r="C329" s="25"/>
      <c r="D329" s="25"/>
      <c r="E329" s="25"/>
      <c r="F329" s="25"/>
      <c r="G329" s="24"/>
      <c r="H329" s="25"/>
      <c r="I329" s="32"/>
      <c r="J329" s="25"/>
      <c r="K329" s="24"/>
      <c r="L329" s="25"/>
      <c r="M329" s="25"/>
      <c r="N329" s="25"/>
      <c r="O329" s="25"/>
      <c r="P329" s="25" t="str">
        <f>IF(AND(A329="",B329="",H329=""),"",IF(OR(A329="",B329="",C329="",E329="",F329="",H329="",AND(A329="client",COUNTIF(الزبائن!$A$6:$A$505,B329)=0),AND(A329="proposed_name",COUNTIF('أسماء مقترحة'!$A$6:$A$505,B329)=0)),"REVIEW","READY"))</f>
        <v/>
      </c>
      <c r="Q329" s="27" t="str">
        <f>IF(P329="","",IF(P329="READY","",TRIM(IF(A329="","missing entity_type; ","")&amp;IF(B329="","missing entity_key; ","")&amp;IF(C329="","missing referrer_order; ","")&amp;IF(E329="","missing referrer_type; ","")&amp;IF(F329="","missing referral_origin_channel; ","")&amp;IF(H329="","missing referrer_name_snapshot; ","")&amp;IF(AND(A329="client",COUNTIF(الزبائن!$A$6:$A$505,B329)=0),"client key not found; ","")&amp;IF(AND(A329="proposed_name",COUNTIF('أسماء مقترحة'!$A$6:$A$505,B329)=0),"proposed_name key not found; ",""))))</f>
        <v/>
      </c>
    </row>
    <row r="330" spans="1:17">
      <c r="A330" s="23"/>
      <c r="B330" s="24"/>
      <c r="C330" s="25"/>
      <c r="D330" s="25"/>
      <c r="E330" s="25"/>
      <c r="F330" s="25"/>
      <c r="G330" s="24"/>
      <c r="H330" s="25"/>
      <c r="I330" s="32"/>
      <c r="J330" s="25"/>
      <c r="K330" s="24"/>
      <c r="L330" s="25"/>
      <c r="M330" s="25"/>
      <c r="N330" s="25"/>
      <c r="O330" s="25"/>
      <c r="P330" s="25" t="str">
        <f>IF(AND(A330="",B330="",H330=""),"",IF(OR(A330="",B330="",C330="",E330="",F330="",H330="",AND(A330="client",COUNTIF(الزبائن!$A$6:$A$505,B330)=0),AND(A330="proposed_name",COUNTIF('أسماء مقترحة'!$A$6:$A$505,B330)=0)),"REVIEW","READY"))</f>
        <v/>
      </c>
      <c r="Q330" s="27" t="str">
        <f>IF(P330="","",IF(P330="READY","",TRIM(IF(A330="","missing entity_type; ","")&amp;IF(B330="","missing entity_key; ","")&amp;IF(C330="","missing referrer_order; ","")&amp;IF(E330="","missing referrer_type; ","")&amp;IF(F330="","missing referral_origin_channel; ","")&amp;IF(H330="","missing referrer_name_snapshot; ","")&amp;IF(AND(A330="client",COUNTIF(الزبائن!$A$6:$A$505,B330)=0),"client key not found; ","")&amp;IF(AND(A330="proposed_name",COUNTIF('أسماء مقترحة'!$A$6:$A$505,B330)=0),"proposed_name key not found; ",""))))</f>
        <v/>
      </c>
    </row>
    <row r="331" spans="1:17">
      <c r="A331" s="23"/>
      <c r="B331" s="24"/>
      <c r="C331" s="25"/>
      <c r="D331" s="25"/>
      <c r="E331" s="25"/>
      <c r="F331" s="25"/>
      <c r="G331" s="24"/>
      <c r="H331" s="25"/>
      <c r="I331" s="32"/>
      <c r="J331" s="25"/>
      <c r="K331" s="24"/>
      <c r="L331" s="25"/>
      <c r="M331" s="25"/>
      <c r="N331" s="25"/>
      <c r="O331" s="25"/>
      <c r="P331" s="25" t="str">
        <f>IF(AND(A331="",B331="",H331=""),"",IF(OR(A331="",B331="",C331="",E331="",F331="",H331="",AND(A331="client",COUNTIF(الزبائن!$A$6:$A$505,B331)=0),AND(A331="proposed_name",COUNTIF('أسماء مقترحة'!$A$6:$A$505,B331)=0)),"REVIEW","READY"))</f>
        <v/>
      </c>
      <c r="Q331" s="27" t="str">
        <f>IF(P331="","",IF(P331="READY","",TRIM(IF(A331="","missing entity_type; ","")&amp;IF(B331="","missing entity_key; ","")&amp;IF(C331="","missing referrer_order; ","")&amp;IF(E331="","missing referrer_type; ","")&amp;IF(F331="","missing referral_origin_channel; ","")&amp;IF(H331="","missing referrer_name_snapshot; ","")&amp;IF(AND(A331="client",COUNTIF(الزبائن!$A$6:$A$505,B331)=0),"client key not found; ","")&amp;IF(AND(A331="proposed_name",COUNTIF('أسماء مقترحة'!$A$6:$A$505,B331)=0),"proposed_name key not found; ",""))))</f>
        <v/>
      </c>
    </row>
    <row r="332" spans="1:17">
      <c r="A332" s="23"/>
      <c r="B332" s="24"/>
      <c r="C332" s="25"/>
      <c r="D332" s="25"/>
      <c r="E332" s="25"/>
      <c r="F332" s="25"/>
      <c r="G332" s="24"/>
      <c r="H332" s="25"/>
      <c r="I332" s="32"/>
      <c r="J332" s="25"/>
      <c r="K332" s="24"/>
      <c r="L332" s="25"/>
      <c r="M332" s="25"/>
      <c r="N332" s="25"/>
      <c r="O332" s="25"/>
      <c r="P332" s="25" t="str">
        <f>IF(AND(A332="",B332="",H332=""),"",IF(OR(A332="",B332="",C332="",E332="",F332="",H332="",AND(A332="client",COUNTIF(الزبائن!$A$6:$A$505,B332)=0),AND(A332="proposed_name",COUNTIF('أسماء مقترحة'!$A$6:$A$505,B332)=0)),"REVIEW","READY"))</f>
        <v/>
      </c>
      <c r="Q332" s="27" t="str">
        <f>IF(P332="","",IF(P332="READY","",TRIM(IF(A332="","missing entity_type; ","")&amp;IF(B332="","missing entity_key; ","")&amp;IF(C332="","missing referrer_order; ","")&amp;IF(E332="","missing referrer_type; ","")&amp;IF(F332="","missing referral_origin_channel; ","")&amp;IF(H332="","missing referrer_name_snapshot; ","")&amp;IF(AND(A332="client",COUNTIF(الزبائن!$A$6:$A$505,B332)=0),"client key not found; ","")&amp;IF(AND(A332="proposed_name",COUNTIF('أسماء مقترحة'!$A$6:$A$505,B332)=0),"proposed_name key not found; ",""))))</f>
        <v/>
      </c>
    </row>
    <row r="333" spans="1:17">
      <c r="A333" s="23"/>
      <c r="B333" s="24"/>
      <c r="C333" s="25"/>
      <c r="D333" s="25"/>
      <c r="E333" s="25"/>
      <c r="F333" s="25"/>
      <c r="G333" s="24"/>
      <c r="H333" s="25"/>
      <c r="I333" s="32"/>
      <c r="J333" s="25"/>
      <c r="K333" s="24"/>
      <c r="L333" s="25"/>
      <c r="M333" s="25"/>
      <c r="N333" s="25"/>
      <c r="O333" s="25"/>
      <c r="P333" s="25" t="str">
        <f>IF(AND(A333="",B333="",H333=""),"",IF(OR(A333="",B333="",C333="",E333="",F333="",H333="",AND(A333="client",COUNTIF(الزبائن!$A$6:$A$505,B333)=0),AND(A333="proposed_name",COUNTIF('أسماء مقترحة'!$A$6:$A$505,B333)=0)),"REVIEW","READY"))</f>
        <v/>
      </c>
      <c r="Q333" s="27" t="str">
        <f>IF(P333="","",IF(P333="READY","",TRIM(IF(A333="","missing entity_type; ","")&amp;IF(B333="","missing entity_key; ","")&amp;IF(C333="","missing referrer_order; ","")&amp;IF(E333="","missing referrer_type; ","")&amp;IF(F333="","missing referral_origin_channel; ","")&amp;IF(H333="","missing referrer_name_snapshot; ","")&amp;IF(AND(A333="client",COUNTIF(الزبائن!$A$6:$A$505,B333)=0),"client key not found; ","")&amp;IF(AND(A333="proposed_name",COUNTIF('أسماء مقترحة'!$A$6:$A$505,B333)=0),"proposed_name key not found; ",""))))</f>
        <v/>
      </c>
    </row>
    <row r="334" spans="1:17">
      <c r="A334" s="23"/>
      <c r="B334" s="24"/>
      <c r="C334" s="25"/>
      <c r="D334" s="25"/>
      <c r="E334" s="25"/>
      <c r="F334" s="25"/>
      <c r="G334" s="24"/>
      <c r="H334" s="25"/>
      <c r="I334" s="32"/>
      <c r="J334" s="25"/>
      <c r="K334" s="24"/>
      <c r="L334" s="25"/>
      <c r="M334" s="25"/>
      <c r="N334" s="25"/>
      <c r="O334" s="25"/>
      <c r="P334" s="25" t="str">
        <f>IF(AND(A334="",B334="",H334=""),"",IF(OR(A334="",B334="",C334="",E334="",F334="",H334="",AND(A334="client",COUNTIF(الزبائن!$A$6:$A$505,B334)=0),AND(A334="proposed_name",COUNTIF('أسماء مقترحة'!$A$6:$A$505,B334)=0)),"REVIEW","READY"))</f>
        <v/>
      </c>
      <c r="Q334" s="27" t="str">
        <f>IF(P334="","",IF(P334="READY","",TRIM(IF(A334="","missing entity_type; ","")&amp;IF(B334="","missing entity_key; ","")&amp;IF(C334="","missing referrer_order; ","")&amp;IF(E334="","missing referrer_type; ","")&amp;IF(F334="","missing referral_origin_channel; ","")&amp;IF(H334="","missing referrer_name_snapshot; ","")&amp;IF(AND(A334="client",COUNTIF(الزبائن!$A$6:$A$505,B334)=0),"client key not found; ","")&amp;IF(AND(A334="proposed_name",COUNTIF('أسماء مقترحة'!$A$6:$A$505,B334)=0),"proposed_name key not found; ",""))))</f>
        <v/>
      </c>
    </row>
    <row r="335" spans="1:17">
      <c r="A335" s="23"/>
      <c r="B335" s="24"/>
      <c r="C335" s="25"/>
      <c r="D335" s="25"/>
      <c r="E335" s="25"/>
      <c r="F335" s="25"/>
      <c r="G335" s="24"/>
      <c r="H335" s="25"/>
      <c r="I335" s="32"/>
      <c r="J335" s="25"/>
      <c r="K335" s="24"/>
      <c r="L335" s="25"/>
      <c r="M335" s="25"/>
      <c r="N335" s="25"/>
      <c r="O335" s="25"/>
      <c r="P335" s="25" t="str">
        <f>IF(AND(A335="",B335="",H335=""),"",IF(OR(A335="",B335="",C335="",E335="",F335="",H335="",AND(A335="client",COUNTIF(الزبائن!$A$6:$A$505,B335)=0),AND(A335="proposed_name",COUNTIF('أسماء مقترحة'!$A$6:$A$505,B335)=0)),"REVIEW","READY"))</f>
        <v/>
      </c>
      <c r="Q335" s="27" t="str">
        <f>IF(P335="","",IF(P335="READY","",TRIM(IF(A335="","missing entity_type; ","")&amp;IF(B335="","missing entity_key; ","")&amp;IF(C335="","missing referrer_order; ","")&amp;IF(E335="","missing referrer_type; ","")&amp;IF(F335="","missing referral_origin_channel; ","")&amp;IF(H335="","missing referrer_name_snapshot; ","")&amp;IF(AND(A335="client",COUNTIF(الزبائن!$A$6:$A$505,B335)=0),"client key not found; ","")&amp;IF(AND(A335="proposed_name",COUNTIF('أسماء مقترحة'!$A$6:$A$505,B335)=0),"proposed_name key not found; ",""))))</f>
        <v/>
      </c>
    </row>
    <row r="336" spans="1:17">
      <c r="A336" s="23"/>
      <c r="B336" s="24"/>
      <c r="C336" s="25"/>
      <c r="D336" s="25"/>
      <c r="E336" s="25"/>
      <c r="F336" s="25"/>
      <c r="G336" s="24"/>
      <c r="H336" s="25"/>
      <c r="I336" s="32"/>
      <c r="J336" s="25"/>
      <c r="K336" s="24"/>
      <c r="L336" s="25"/>
      <c r="M336" s="25"/>
      <c r="N336" s="25"/>
      <c r="O336" s="25"/>
      <c r="P336" s="25" t="str">
        <f>IF(AND(A336="",B336="",H336=""),"",IF(OR(A336="",B336="",C336="",E336="",F336="",H336="",AND(A336="client",COUNTIF(الزبائن!$A$6:$A$505,B336)=0),AND(A336="proposed_name",COUNTIF('أسماء مقترحة'!$A$6:$A$505,B336)=0)),"REVIEW","READY"))</f>
        <v/>
      </c>
      <c r="Q336" s="27" t="str">
        <f>IF(P336="","",IF(P336="READY","",TRIM(IF(A336="","missing entity_type; ","")&amp;IF(B336="","missing entity_key; ","")&amp;IF(C336="","missing referrer_order; ","")&amp;IF(E336="","missing referrer_type; ","")&amp;IF(F336="","missing referral_origin_channel; ","")&amp;IF(H336="","missing referrer_name_snapshot; ","")&amp;IF(AND(A336="client",COUNTIF(الزبائن!$A$6:$A$505,B336)=0),"client key not found; ","")&amp;IF(AND(A336="proposed_name",COUNTIF('أسماء مقترحة'!$A$6:$A$505,B336)=0),"proposed_name key not found; ",""))))</f>
        <v/>
      </c>
    </row>
    <row r="337" spans="1:17">
      <c r="A337" s="23"/>
      <c r="B337" s="24"/>
      <c r="C337" s="25"/>
      <c r="D337" s="25"/>
      <c r="E337" s="25"/>
      <c r="F337" s="25"/>
      <c r="G337" s="24"/>
      <c r="H337" s="25"/>
      <c r="I337" s="32"/>
      <c r="J337" s="25"/>
      <c r="K337" s="24"/>
      <c r="L337" s="25"/>
      <c r="M337" s="25"/>
      <c r="N337" s="25"/>
      <c r="O337" s="25"/>
      <c r="P337" s="25" t="str">
        <f>IF(AND(A337="",B337="",H337=""),"",IF(OR(A337="",B337="",C337="",E337="",F337="",H337="",AND(A337="client",COUNTIF(الزبائن!$A$6:$A$505,B337)=0),AND(A337="proposed_name",COUNTIF('أسماء مقترحة'!$A$6:$A$505,B337)=0)),"REVIEW","READY"))</f>
        <v/>
      </c>
      <c r="Q337" s="27" t="str">
        <f>IF(P337="","",IF(P337="READY","",TRIM(IF(A337="","missing entity_type; ","")&amp;IF(B337="","missing entity_key; ","")&amp;IF(C337="","missing referrer_order; ","")&amp;IF(E337="","missing referrer_type; ","")&amp;IF(F337="","missing referral_origin_channel; ","")&amp;IF(H337="","missing referrer_name_snapshot; ","")&amp;IF(AND(A337="client",COUNTIF(الزبائن!$A$6:$A$505,B337)=0),"client key not found; ","")&amp;IF(AND(A337="proposed_name",COUNTIF('أسماء مقترحة'!$A$6:$A$505,B337)=0),"proposed_name key not found; ",""))))</f>
        <v/>
      </c>
    </row>
    <row r="338" spans="1:17">
      <c r="A338" s="23"/>
      <c r="B338" s="24"/>
      <c r="C338" s="25"/>
      <c r="D338" s="25"/>
      <c r="E338" s="25"/>
      <c r="F338" s="25"/>
      <c r="G338" s="24"/>
      <c r="H338" s="25"/>
      <c r="I338" s="32"/>
      <c r="J338" s="25"/>
      <c r="K338" s="24"/>
      <c r="L338" s="25"/>
      <c r="M338" s="25"/>
      <c r="N338" s="25"/>
      <c r="O338" s="25"/>
      <c r="P338" s="25" t="str">
        <f>IF(AND(A338="",B338="",H338=""),"",IF(OR(A338="",B338="",C338="",E338="",F338="",H338="",AND(A338="client",COUNTIF(الزبائن!$A$6:$A$505,B338)=0),AND(A338="proposed_name",COUNTIF('أسماء مقترحة'!$A$6:$A$505,B338)=0)),"REVIEW","READY"))</f>
        <v/>
      </c>
      <c r="Q338" s="27" t="str">
        <f>IF(P338="","",IF(P338="READY","",TRIM(IF(A338="","missing entity_type; ","")&amp;IF(B338="","missing entity_key; ","")&amp;IF(C338="","missing referrer_order; ","")&amp;IF(E338="","missing referrer_type; ","")&amp;IF(F338="","missing referral_origin_channel; ","")&amp;IF(H338="","missing referrer_name_snapshot; ","")&amp;IF(AND(A338="client",COUNTIF(الزبائن!$A$6:$A$505,B338)=0),"client key not found; ","")&amp;IF(AND(A338="proposed_name",COUNTIF('أسماء مقترحة'!$A$6:$A$505,B338)=0),"proposed_name key not found; ",""))))</f>
        <v/>
      </c>
    </row>
    <row r="339" spans="1:17">
      <c r="A339" s="23"/>
      <c r="B339" s="24"/>
      <c r="C339" s="25"/>
      <c r="D339" s="25"/>
      <c r="E339" s="25"/>
      <c r="F339" s="25"/>
      <c r="G339" s="24"/>
      <c r="H339" s="25"/>
      <c r="I339" s="32"/>
      <c r="J339" s="25"/>
      <c r="K339" s="24"/>
      <c r="L339" s="25"/>
      <c r="M339" s="25"/>
      <c r="N339" s="25"/>
      <c r="O339" s="25"/>
      <c r="P339" s="25" t="str">
        <f>IF(AND(A339="",B339="",H339=""),"",IF(OR(A339="",B339="",C339="",E339="",F339="",H339="",AND(A339="client",COUNTIF(الزبائن!$A$6:$A$505,B339)=0),AND(A339="proposed_name",COUNTIF('أسماء مقترحة'!$A$6:$A$505,B339)=0)),"REVIEW","READY"))</f>
        <v/>
      </c>
      <c r="Q339" s="27" t="str">
        <f>IF(P339="","",IF(P339="READY","",TRIM(IF(A339="","missing entity_type; ","")&amp;IF(B339="","missing entity_key; ","")&amp;IF(C339="","missing referrer_order; ","")&amp;IF(E339="","missing referrer_type; ","")&amp;IF(F339="","missing referral_origin_channel; ","")&amp;IF(H339="","missing referrer_name_snapshot; ","")&amp;IF(AND(A339="client",COUNTIF(الزبائن!$A$6:$A$505,B339)=0),"client key not found; ","")&amp;IF(AND(A339="proposed_name",COUNTIF('أسماء مقترحة'!$A$6:$A$505,B339)=0),"proposed_name key not found; ",""))))</f>
        <v/>
      </c>
    </row>
    <row r="340" spans="1:17">
      <c r="A340" s="23"/>
      <c r="B340" s="24"/>
      <c r="C340" s="25"/>
      <c r="D340" s="25"/>
      <c r="E340" s="25"/>
      <c r="F340" s="25"/>
      <c r="G340" s="24"/>
      <c r="H340" s="25"/>
      <c r="I340" s="32"/>
      <c r="J340" s="25"/>
      <c r="K340" s="24"/>
      <c r="L340" s="25"/>
      <c r="M340" s="25"/>
      <c r="N340" s="25"/>
      <c r="O340" s="25"/>
      <c r="P340" s="25" t="str">
        <f>IF(AND(A340="",B340="",H340=""),"",IF(OR(A340="",B340="",C340="",E340="",F340="",H340="",AND(A340="client",COUNTIF(الزبائن!$A$6:$A$505,B340)=0),AND(A340="proposed_name",COUNTIF('أسماء مقترحة'!$A$6:$A$505,B340)=0)),"REVIEW","READY"))</f>
        <v/>
      </c>
      <c r="Q340" s="27" t="str">
        <f>IF(P340="","",IF(P340="READY","",TRIM(IF(A340="","missing entity_type; ","")&amp;IF(B340="","missing entity_key; ","")&amp;IF(C340="","missing referrer_order; ","")&amp;IF(E340="","missing referrer_type; ","")&amp;IF(F340="","missing referral_origin_channel; ","")&amp;IF(H340="","missing referrer_name_snapshot; ","")&amp;IF(AND(A340="client",COUNTIF(الزبائن!$A$6:$A$505,B340)=0),"client key not found; ","")&amp;IF(AND(A340="proposed_name",COUNTIF('أسماء مقترحة'!$A$6:$A$505,B340)=0),"proposed_name key not found; ",""))))</f>
        <v/>
      </c>
    </row>
    <row r="341" spans="1:17">
      <c r="A341" s="23"/>
      <c r="B341" s="24"/>
      <c r="C341" s="25"/>
      <c r="D341" s="25"/>
      <c r="E341" s="25"/>
      <c r="F341" s="25"/>
      <c r="G341" s="24"/>
      <c r="H341" s="25"/>
      <c r="I341" s="32"/>
      <c r="J341" s="25"/>
      <c r="K341" s="24"/>
      <c r="L341" s="25"/>
      <c r="M341" s="25"/>
      <c r="N341" s="25"/>
      <c r="O341" s="25"/>
      <c r="P341" s="25" t="str">
        <f>IF(AND(A341="",B341="",H341=""),"",IF(OR(A341="",B341="",C341="",E341="",F341="",H341="",AND(A341="client",COUNTIF(الزبائن!$A$6:$A$505,B341)=0),AND(A341="proposed_name",COUNTIF('أسماء مقترحة'!$A$6:$A$505,B341)=0)),"REVIEW","READY"))</f>
        <v/>
      </c>
      <c r="Q341" s="27" t="str">
        <f>IF(P341="","",IF(P341="READY","",TRIM(IF(A341="","missing entity_type; ","")&amp;IF(B341="","missing entity_key; ","")&amp;IF(C341="","missing referrer_order; ","")&amp;IF(E341="","missing referrer_type; ","")&amp;IF(F341="","missing referral_origin_channel; ","")&amp;IF(H341="","missing referrer_name_snapshot; ","")&amp;IF(AND(A341="client",COUNTIF(الزبائن!$A$6:$A$505,B341)=0),"client key not found; ","")&amp;IF(AND(A341="proposed_name",COUNTIF('أسماء مقترحة'!$A$6:$A$505,B341)=0),"proposed_name key not found; ",""))))</f>
        <v/>
      </c>
    </row>
    <row r="342" spans="1:17">
      <c r="A342" s="23"/>
      <c r="B342" s="24"/>
      <c r="C342" s="25"/>
      <c r="D342" s="25"/>
      <c r="E342" s="25"/>
      <c r="F342" s="25"/>
      <c r="G342" s="24"/>
      <c r="H342" s="25"/>
      <c r="I342" s="32"/>
      <c r="J342" s="25"/>
      <c r="K342" s="24"/>
      <c r="L342" s="25"/>
      <c r="M342" s="25"/>
      <c r="N342" s="25"/>
      <c r="O342" s="25"/>
      <c r="P342" s="25" t="str">
        <f>IF(AND(A342="",B342="",H342=""),"",IF(OR(A342="",B342="",C342="",E342="",F342="",H342="",AND(A342="client",COUNTIF(الزبائن!$A$6:$A$505,B342)=0),AND(A342="proposed_name",COUNTIF('أسماء مقترحة'!$A$6:$A$505,B342)=0)),"REVIEW","READY"))</f>
        <v/>
      </c>
      <c r="Q342" s="27" t="str">
        <f>IF(P342="","",IF(P342="READY","",TRIM(IF(A342="","missing entity_type; ","")&amp;IF(B342="","missing entity_key; ","")&amp;IF(C342="","missing referrer_order; ","")&amp;IF(E342="","missing referrer_type; ","")&amp;IF(F342="","missing referral_origin_channel; ","")&amp;IF(H342="","missing referrer_name_snapshot; ","")&amp;IF(AND(A342="client",COUNTIF(الزبائن!$A$6:$A$505,B342)=0),"client key not found; ","")&amp;IF(AND(A342="proposed_name",COUNTIF('أسماء مقترحة'!$A$6:$A$505,B342)=0),"proposed_name key not found; ",""))))</f>
        <v/>
      </c>
    </row>
    <row r="343" spans="1:17">
      <c r="A343" s="23"/>
      <c r="B343" s="24"/>
      <c r="C343" s="25"/>
      <c r="D343" s="25"/>
      <c r="E343" s="25"/>
      <c r="F343" s="25"/>
      <c r="G343" s="24"/>
      <c r="H343" s="25"/>
      <c r="I343" s="32"/>
      <c r="J343" s="25"/>
      <c r="K343" s="24"/>
      <c r="L343" s="25"/>
      <c r="M343" s="25"/>
      <c r="N343" s="25"/>
      <c r="O343" s="25"/>
      <c r="P343" s="25" t="str">
        <f>IF(AND(A343="",B343="",H343=""),"",IF(OR(A343="",B343="",C343="",E343="",F343="",H343="",AND(A343="client",COUNTIF(الزبائن!$A$6:$A$505,B343)=0),AND(A343="proposed_name",COUNTIF('أسماء مقترحة'!$A$6:$A$505,B343)=0)),"REVIEW","READY"))</f>
        <v/>
      </c>
      <c r="Q343" s="27" t="str">
        <f>IF(P343="","",IF(P343="READY","",TRIM(IF(A343="","missing entity_type; ","")&amp;IF(B343="","missing entity_key; ","")&amp;IF(C343="","missing referrer_order; ","")&amp;IF(E343="","missing referrer_type; ","")&amp;IF(F343="","missing referral_origin_channel; ","")&amp;IF(H343="","missing referrer_name_snapshot; ","")&amp;IF(AND(A343="client",COUNTIF(الزبائن!$A$6:$A$505,B343)=0),"client key not found; ","")&amp;IF(AND(A343="proposed_name",COUNTIF('أسماء مقترحة'!$A$6:$A$505,B343)=0),"proposed_name key not found; ",""))))</f>
        <v/>
      </c>
    </row>
    <row r="344" spans="1:17">
      <c r="A344" s="23"/>
      <c r="B344" s="24"/>
      <c r="C344" s="25"/>
      <c r="D344" s="25"/>
      <c r="E344" s="25"/>
      <c r="F344" s="25"/>
      <c r="G344" s="24"/>
      <c r="H344" s="25"/>
      <c r="I344" s="32"/>
      <c r="J344" s="25"/>
      <c r="K344" s="24"/>
      <c r="L344" s="25"/>
      <c r="M344" s="25"/>
      <c r="N344" s="25"/>
      <c r="O344" s="25"/>
      <c r="P344" s="25" t="str">
        <f>IF(AND(A344="",B344="",H344=""),"",IF(OR(A344="",B344="",C344="",E344="",F344="",H344="",AND(A344="client",COUNTIF(الزبائن!$A$6:$A$505,B344)=0),AND(A344="proposed_name",COUNTIF('أسماء مقترحة'!$A$6:$A$505,B344)=0)),"REVIEW","READY"))</f>
        <v/>
      </c>
      <c r="Q344" s="27" t="str">
        <f>IF(P344="","",IF(P344="READY","",TRIM(IF(A344="","missing entity_type; ","")&amp;IF(B344="","missing entity_key; ","")&amp;IF(C344="","missing referrer_order; ","")&amp;IF(E344="","missing referrer_type; ","")&amp;IF(F344="","missing referral_origin_channel; ","")&amp;IF(H344="","missing referrer_name_snapshot; ","")&amp;IF(AND(A344="client",COUNTIF(الزبائن!$A$6:$A$505,B344)=0),"client key not found; ","")&amp;IF(AND(A344="proposed_name",COUNTIF('أسماء مقترحة'!$A$6:$A$505,B344)=0),"proposed_name key not found; ",""))))</f>
        <v/>
      </c>
    </row>
    <row r="345" spans="1:17">
      <c r="A345" s="23"/>
      <c r="B345" s="24"/>
      <c r="C345" s="25"/>
      <c r="D345" s="25"/>
      <c r="E345" s="25"/>
      <c r="F345" s="25"/>
      <c r="G345" s="24"/>
      <c r="H345" s="25"/>
      <c r="I345" s="32"/>
      <c r="J345" s="25"/>
      <c r="K345" s="24"/>
      <c r="L345" s="25"/>
      <c r="M345" s="25"/>
      <c r="N345" s="25"/>
      <c r="O345" s="25"/>
      <c r="P345" s="25" t="str">
        <f>IF(AND(A345="",B345="",H345=""),"",IF(OR(A345="",B345="",C345="",E345="",F345="",H345="",AND(A345="client",COUNTIF(الزبائن!$A$6:$A$505,B345)=0),AND(A345="proposed_name",COUNTIF('أسماء مقترحة'!$A$6:$A$505,B345)=0)),"REVIEW","READY"))</f>
        <v/>
      </c>
      <c r="Q345" s="27" t="str">
        <f>IF(P345="","",IF(P345="READY","",TRIM(IF(A345="","missing entity_type; ","")&amp;IF(B345="","missing entity_key; ","")&amp;IF(C345="","missing referrer_order; ","")&amp;IF(E345="","missing referrer_type; ","")&amp;IF(F345="","missing referral_origin_channel; ","")&amp;IF(H345="","missing referrer_name_snapshot; ","")&amp;IF(AND(A345="client",COUNTIF(الزبائن!$A$6:$A$505,B345)=0),"client key not found; ","")&amp;IF(AND(A345="proposed_name",COUNTIF('أسماء مقترحة'!$A$6:$A$505,B345)=0),"proposed_name key not found; ",""))))</f>
        <v/>
      </c>
    </row>
    <row r="346" spans="1:17">
      <c r="A346" s="23"/>
      <c r="B346" s="24"/>
      <c r="C346" s="25"/>
      <c r="D346" s="25"/>
      <c r="E346" s="25"/>
      <c r="F346" s="25"/>
      <c r="G346" s="24"/>
      <c r="H346" s="25"/>
      <c r="I346" s="32"/>
      <c r="J346" s="25"/>
      <c r="K346" s="24"/>
      <c r="L346" s="25"/>
      <c r="M346" s="25"/>
      <c r="N346" s="25"/>
      <c r="O346" s="25"/>
      <c r="P346" s="25" t="str">
        <f>IF(AND(A346="",B346="",H346=""),"",IF(OR(A346="",B346="",C346="",E346="",F346="",H346="",AND(A346="client",COUNTIF(الزبائن!$A$6:$A$505,B346)=0),AND(A346="proposed_name",COUNTIF('أسماء مقترحة'!$A$6:$A$505,B346)=0)),"REVIEW","READY"))</f>
        <v/>
      </c>
      <c r="Q346" s="27" t="str">
        <f>IF(P346="","",IF(P346="READY","",TRIM(IF(A346="","missing entity_type; ","")&amp;IF(B346="","missing entity_key; ","")&amp;IF(C346="","missing referrer_order; ","")&amp;IF(E346="","missing referrer_type; ","")&amp;IF(F346="","missing referral_origin_channel; ","")&amp;IF(H346="","missing referrer_name_snapshot; ","")&amp;IF(AND(A346="client",COUNTIF(الزبائن!$A$6:$A$505,B346)=0),"client key not found; ","")&amp;IF(AND(A346="proposed_name",COUNTIF('أسماء مقترحة'!$A$6:$A$505,B346)=0),"proposed_name key not found; ",""))))</f>
        <v/>
      </c>
    </row>
    <row r="347" spans="1:17">
      <c r="A347" s="23"/>
      <c r="B347" s="24"/>
      <c r="C347" s="25"/>
      <c r="D347" s="25"/>
      <c r="E347" s="25"/>
      <c r="F347" s="25"/>
      <c r="G347" s="24"/>
      <c r="H347" s="25"/>
      <c r="I347" s="32"/>
      <c r="J347" s="25"/>
      <c r="K347" s="24"/>
      <c r="L347" s="25"/>
      <c r="M347" s="25"/>
      <c r="N347" s="25"/>
      <c r="O347" s="25"/>
      <c r="P347" s="25" t="str">
        <f>IF(AND(A347="",B347="",H347=""),"",IF(OR(A347="",B347="",C347="",E347="",F347="",H347="",AND(A347="client",COUNTIF(الزبائن!$A$6:$A$505,B347)=0),AND(A347="proposed_name",COUNTIF('أسماء مقترحة'!$A$6:$A$505,B347)=0)),"REVIEW","READY"))</f>
        <v/>
      </c>
      <c r="Q347" s="27" t="str">
        <f>IF(P347="","",IF(P347="READY","",TRIM(IF(A347="","missing entity_type; ","")&amp;IF(B347="","missing entity_key; ","")&amp;IF(C347="","missing referrer_order; ","")&amp;IF(E347="","missing referrer_type; ","")&amp;IF(F347="","missing referral_origin_channel; ","")&amp;IF(H347="","missing referrer_name_snapshot; ","")&amp;IF(AND(A347="client",COUNTIF(الزبائن!$A$6:$A$505,B347)=0),"client key not found; ","")&amp;IF(AND(A347="proposed_name",COUNTIF('أسماء مقترحة'!$A$6:$A$505,B347)=0),"proposed_name key not found; ",""))))</f>
        <v/>
      </c>
    </row>
    <row r="348" spans="1:17">
      <c r="A348" s="23"/>
      <c r="B348" s="24"/>
      <c r="C348" s="25"/>
      <c r="D348" s="25"/>
      <c r="E348" s="25"/>
      <c r="F348" s="25"/>
      <c r="G348" s="24"/>
      <c r="H348" s="25"/>
      <c r="I348" s="32"/>
      <c r="J348" s="25"/>
      <c r="K348" s="24"/>
      <c r="L348" s="25"/>
      <c r="M348" s="25"/>
      <c r="N348" s="25"/>
      <c r="O348" s="25"/>
      <c r="P348" s="25" t="str">
        <f>IF(AND(A348="",B348="",H348=""),"",IF(OR(A348="",B348="",C348="",E348="",F348="",H348="",AND(A348="client",COUNTIF(الزبائن!$A$6:$A$505,B348)=0),AND(A348="proposed_name",COUNTIF('أسماء مقترحة'!$A$6:$A$505,B348)=0)),"REVIEW","READY"))</f>
        <v/>
      </c>
      <c r="Q348" s="27" t="str">
        <f>IF(P348="","",IF(P348="READY","",TRIM(IF(A348="","missing entity_type; ","")&amp;IF(B348="","missing entity_key; ","")&amp;IF(C348="","missing referrer_order; ","")&amp;IF(E348="","missing referrer_type; ","")&amp;IF(F348="","missing referral_origin_channel; ","")&amp;IF(H348="","missing referrer_name_snapshot; ","")&amp;IF(AND(A348="client",COUNTIF(الزبائن!$A$6:$A$505,B348)=0),"client key not found; ","")&amp;IF(AND(A348="proposed_name",COUNTIF('أسماء مقترحة'!$A$6:$A$505,B348)=0),"proposed_name key not found; ",""))))</f>
        <v/>
      </c>
    </row>
    <row r="349" spans="1:17">
      <c r="A349" s="23"/>
      <c r="B349" s="24"/>
      <c r="C349" s="25"/>
      <c r="D349" s="25"/>
      <c r="E349" s="25"/>
      <c r="F349" s="25"/>
      <c r="G349" s="24"/>
      <c r="H349" s="25"/>
      <c r="I349" s="32"/>
      <c r="J349" s="25"/>
      <c r="K349" s="24"/>
      <c r="L349" s="25"/>
      <c r="M349" s="25"/>
      <c r="N349" s="25"/>
      <c r="O349" s="25"/>
      <c r="P349" s="25" t="str">
        <f>IF(AND(A349="",B349="",H349=""),"",IF(OR(A349="",B349="",C349="",E349="",F349="",H349="",AND(A349="client",COUNTIF(الزبائن!$A$6:$A$505,B349)=0),AND(A349="proposed_name",COUNTIF('أسماء مقترحة'!$A$6:$A$505,B349)=0)),"REVIEW","READY"))</f>
        <v/>
      </c>
      <c r="Q349" s="27" t="str">
        <f>IF(P349="","",IF(P349="READY","",TRIM(IF(A349="","missing entity_type; ","")&amp;IF(B349="","missing entity_key; ","")&amp;IF(C349="","missing referrer_order; ","")&amp;IF(E349="","missing referrer_type; ","")&amp;IF(F349="","missing referral_origin_channel; ","")&amp;IF(H349="","missing referrer_name_snapshot; ","")&amp;IF(AND(A349="client",COUNTIF(الزبائن!$A$6:$A$505,B349)=0),"client key not found; ","")&amp;IF(AND(A349="proposed_name",COUNTIF('أسماء مقترحة'!$A$6:$A$505,B349)=0),"proposed_name key not found; ",""))))</f>
        <v/>
      </c>
    </row>
    <row r="350" spans="1:17">
      <c r="A350" s="23"/>
      <c r="B350" s="24"/>
      <c r="C350" s="25"/>
      <c r="D350" s="25"/>
      <c r="E350" s="25"/>
      <c r="F350" s="25"/>
      <c r="G350" s="24"/>
      <c r="H350" s="25"/>
      <c r="I350" s="32"/>
      <c r="J350" s="25"/>
      <c r="K350" s="24"/>
      <c r="L350" s="25"/>
      <c r="M350" s="25"/>
      <c r="N350" s="25"/>
      <c r="O350" s="25"/>
      <c r="P350" s="25" t="str">
        <f>IF(AND(A350="",B350="",H350=""),"",IF(OR(A350="",B350="",C350="",E350="",F350="",H350="",AND(A350="client",COUNTIF(الزبائن!$A$6:$A$505,B350)=0),AND(A350="proposed_name",COUNTIF('أسماء مقترحة'!$A$6:$A$505,B350)=0)),"REVIEW","READY"))</f>
        <v/>
      </c>
      <c r="Q350" s="27" t="str">
        <f>IF(P350="","",IF(P350="READY","",TRIM(IF(A350="","missing entity_type; ","")&amp;IF(B350="","missing entity_key; ","")&amp;IF(C350="","missing referrer_order; ","")&amp;IF(E350="","missing referrer_type; ","")&amp;IF(F350="","missing referral_origin_channel; ","")&amp;IF(H350="","missing referrer_name_snapshot; ","")&amp;IF(AND(A350="client",COUNTIF(الزبائن!$A$6:$A$505,B350)=0),"client key not found; ","")&amp;IF(AND(A350="proposed_name",COUNTIF('أسماء مقترحة'!$A$6:$A$505,B350)=0),"proposed_name key not found; ",""))))</f>
        <v/>
      </c>
    </row>
    <row r="351" spans="1:17">
      <c r="A351" s="23"/>
      <c r="B351" s="24"/>
      <c r="C351" s="25"/>
      <c r="D351" s="25"/>
      <c r="E351" s="25"/>
      <c r="F351" s="25"/>
      <c r="G351" s="24"/>
      <c r="H351" s="25"/>
      <c r="I351" s="32"/>
      <c r="J351" s="25"/>
      <c r="K351" s="24"/>
      <c r="L351" s="25"/>
      <c r="M351" s="25"/>
      <c r="N351" s="25"/>
      <c r="O351" s="25"/>
      <c r="P351" s="25" t="str">
        <f>IF(AND(A351="",B351="",H351=""),"",IF(OR(A351="",B351="",C351="",E351="",F351="",H351="",AND(A351="client",COUNTIF(الزبائن!$A$6:$A$505,B351)=0),AND(A351="proposed_name",COUNTIF('أسماء مقترحة'!$A$6:$A$505,B351)=0)),"REVIEW","READY"))</f>
        <v/>
      </c>
      <c r="Q351" s="27" t="str">
        <f>IF(P351="","",IF(P351="READY","",TRIM(IF(A351="","missing entity_type; ","")&amp;IF(B351="","missing entity_key; ","")&amp;IF(C351="","missing referrer_order; ","")&amp;IF(E351="","missing referrer_type; ","")&amp;IF(F351="","missing referral_origin_channel; ","")&amp;IF(H351="","missing referrer_name_snapshot; ","")&amp;IF(AND(A351="client",COUNTIF(الزبائن!$A$6:$A$505,B351)=0),"client key not found; ","")&amp;IF(AND(A351="proposed_name",COUNTIF('أسماء مقترحة'!$A$6:$A$505,B351)=0),"proposed_name key not found; ",""))))</f>
        <v/>
      </c>
    </row>
    <row r="352" spans="1:17">
      <c r="A352" s="23"/>
      <c r="B352" s="24"/>
      <c r="C352" s="25"/>
      <c r="D352" s="25"/>
      <c r="E352" s="25"/>
      <c r="F352" s="25"/>
      <c r="G352" s="24"/>
      <c r="H352" s="25"/>
      <c r="I352" s="32"/>
      <c r="J352" s="25"/>
      <c r="K352" s="24"/>
      <c r="L352" s="25"/>
      <c r="M352" s="25"/>
      <c r="N352" s="25"/>
      <c r="O352" s="25"/>
      <c r="P352" s="25" t="str">
        <f>IF(AND(A352="",B352="",H352=""),"",IF(OR(A352="",B352="",C352="",E352="",F352="",H352="",AND(A352="client",COUNTIF(الزبائن!$A$6:$A$505,B352)=0),AND(A352="proposed_name",COUNTIF('أسماء مقترحة'!$A$6:$A$505,B352)=0)),"REVIEW","READY"))</f>
        <v/>
      </c>
      <c r="Q352" s="27" t="str">
        <f>IF(P352="","",IF(P352="READY","",TRIM(IF(A352="","missing entity_type; ","")&amp;IF(B352="","missing entity_key; ","")&amp;IF(C352="","missing referrer_order; ","")&amp;IF(E352="","missing referrer_type; ","")&amp;IF(F352="","missing referral_origin_channel; ","")&amp;IF(H352="","missing referrer_name_snapshot; ","")&amp;IF(AND(A352="client",COUNTIF(الزبائن!$A$6:$A$505,B352)=0),"client key not found; ","")&amp;IF(AND(A352="proposed_name",COUNTIF('أسماء مقترحة'!$A$6:$A$505,B352)=0),"proposed_name key not found; ",""))))</f>
        <v/>
      </c>
    </row>
    <row r="353" spans="1:17">
      <c r="A353" s="23"/>
      <c r="B353" s="24"/>
      <c r="C353" s="25"/>
      <c r="D353" s="25"/>
      <c r="E353" s="25"/>
      <c r="F353" s="25"/>
      <c r="G353" s="24"/>
      <c r="H353" s="25"/>
      <c r="I353" s="32"/>
      <c r="J353" s="25"/>
      <c r="K353" s="24"/>
      <c r="L353" s="25"/>
      <c r="M353" s="25"/>
      <c r="N353" s="25"/>
      <c r="O353" s="25"/>
      <c r="P353" s="25" t="str">
        <f>IF(AND(A353="",B353="",H353=""),"",IF(OR(A353="",B353="",C353="",E353="",F353="",H353="",AND(A353="client",COUNTIF(الزبائن!$A$6:$A$505,B353)=0),AND(A353="proposed_name",COUNTIF('أسماء مقترحة'!$A$6:$A$505,B353)=0)),"REVIEW","READY"))</f>
        <v/>
      </c>
      <c r="Q353" s="27" t="str">
        <f>IF(P353="","",IF(P353="READY","",TRIM(IF(A353="","missing entity_type; ","")&amp;IF(B353="","missing entity_key; ","")&amp;IF(C353="","missing referrer_order; ","")&amp;IF(E353="","missing referrer_type; ","")&amp;IF(F353="","missing referral_origin_channel; ","")&amp;IF(H353="","missing referrer_name_snapshot; ","")&amp;IF(AND(A353="client",COUNTIF(الزبائن!$A$6:$A$505,B353)=0),"client key not found; ","")&amp;IF(AND(A353="proposed_name",COUNTIF('أسماء مقترحة'!$A$6:$A$505,B353)=0),"proposed_name key not found; ",""))))</f>
        <v/>
      </c>
    </row>
    <row r="354" spans="1:17">
      <c r="A354" s="23"/>
      <c r="B354" s="24"/>
      <c r="C354" s="25"/>
      <c r="D354" s="25"/>
      <c r="E354" s="25"/>
      <c r="F354" s="25"/>
      <c r="G354" s="24"/>
      <c r="H354" s="25"/>
      <c r="I354" s="32"/>
      <c r="J354" s="25"/>
      <c r="K354" s="24"/>
      <c r="L354" s="25"/>
      <c r="M354" s="25"/>
      <c r="N354" s="25"/>
      <c r="O354" s="25"/>
      <c r="P354" s="25" t="str">
        <f>IF(AND(A354="",B354="",H354=""),"",IF(OR(A354="",B354="",C354="",E354="",F354="",H354="",AND(A354="client",COUNTIF(الزبائن!$A$6:$A$505,B354)=0),AND(A354="proposed_name",COUNTIF('أسماء مقترحة'!$A$6:$A$505,B354)=0)),"REVIEW","READY"))</f>
        <v/>
      </c>
      <c r="Q354" s="27" t="str">
        <f>IF(P354="","",IF(P354="READY","",TRIM(IF(A354="","missing entity_type; ","")&amp;IF(B354="","missing entity_key; ","")&amp;IF(C354="","missing referrer_order; ","")&amp;IF(E354="","missing referrer_type; ","")&amp;IF(F354="","missing referral_origin_channel; ","")&amp;IF(H354="","missing referrer_name_snapshot; ","")&amp;IF(AND(A354="client",COUNTIF(الزبائن!$A$6:$A$505,B354)=0),"client key not found; ","")&amp;IF(AND(A354="proposed_name",COUNTIF('أسماء مقترحة'!$A$6:$A$505,B354)=0),"proposed_name key not found; ",""))))</f>
        <v/>
      </c>
    </row>
    <row r="355" spans="1:17">
      <c r="A355" s="23"/>
      <c r="B355" s="24"/>
      <c r="C355" s="25"/>
      <c r="D355" s="25"/>
      <c r="E355" s="25"/>
      <c r="F355" s="25"/>
      <c r="G355" s="24"/>
      <c r="H355" s="25"/>
      <c r="I355" s="32"/>
      <c r="J355" s="25"/>
      <c r="K355" s="24"/>
      <c r="L355" s="25"/>
      <c r="M355" s="25"/>
      <c r="N355" s="25"/>
      <c r="O355" s="25"/>
      <c r="P355" s="25" t="str">
        <f>IF(AND(A355="",B355="",H355=""),"",IF(OR(A355="",B355="",C355="",E355="",F355="",H355="",AND(A355="client",COUNTIF(الزبائن!$A$6:$A$505,B355)=0),AND(A355="proposed_name",COUNTIF('أسماء مقترحة'!$A$6:$A$505,B355)=0)),"REVIEW","READY"))</f>
        <v/>
      </c>
      <c r="Q355" s="27" t="str">
        <f>IF(P355="","",IF(P355="READY","",TRIM(IF(A355="","missing entity_type; ","")&amp;IF(B355="","missing entity_key; ","")&amp;IF(C355="","missing referrer_order; ","")&amp;IF(E355="","missing referrer_type; ","")&amp;IF(F355="","missing referral_origin_channel; ","")&amp;IF(H355="","missing referrer_name_snapshot; ","")&amp;IF(AND(A355="client",COUNTIF(الزبائن!$A$6:$A$505,B355)=0),"client key not found; ","")&amp;IF(AND(A355="proposed_name",COUNTIF('أسماء مقترحة'!$A$6:$A$505,B355)=0),"proposed_name key not found; ",""))))</f>
        <v/>
      </c>
    </row>
    <row r="356" spans="1:17">
      <c r="A356" s="23"/>
      <c r="B356" s="24"/>
      <c r="C356" s="25"/>
      <c r="D356" s="25"/>
      <c r="E356" s="25"/>
      <c r="F356" s="25"/>
      <c r="G356" s="24"/>
      <c r="H356" s="25"/>
      <c r="I356" s="32"/>
      <c r="J356" s="25"/>
      <c r="K356" s="24"/>
      <c r="L356" s="25"/>
      <c r="M356" s="25"/>
      <c r="N356" s="25"/>
      <c r="O356" s="25"/>
      <c r="P356" s="25" t="str">
        <f>IF(AND(A356="",B356="",H356=""),"",IF(OR(A356="",B356="",C356="",E356="",F356="",H356="",AND(A356="client",COUNTIF(الزبائن!$A$6:$A$505,B356)=0),AND(A356="proposed_name",COUNTIF('أسماء مقترحة'!$A$6:$A$505,B356)=0)),"REVIEW","READY"))</f>
        <v/>
      </c>
      <c r="Q356" s="27" t="str">
        <f>IF(P356="","",IF(P356="READY","",TRIM(IF(A356="","missing entity_type; ","")&amp;IF(B356="","missing entity_key; ","")&amp;IF(C356="","missing referrer_order; ","")&amp;IF(E356="","missing referrer_type; ","")&amp;IF(F356="","missing referral_origin_channel; ","")&amp;IF(H356="","missing referrer_name_snapshot; ","")&amp;IF(AND(A356="client",COUNTIF(الزبائن!$A$6:$A$505,B356)=0),"client key not found; ","")&amp;IF(AND(A356="proposed_name",COUNTIF('أسماء مقترحة'!$A$6:$A$505,B356)=0),"proposed_name key not found; ",""))))</f>
        <v/>
      </c>
    </row>
    <row r="357" spans="1:17">
      <c r="A357" s="23"/>
      <c r="B357" s="24"/>
      <c r="C357" s="25"/>
      <c r="D357" s="25"/>
      <c r="E357" s="25"/>
      <c r="F357" s="25"/>
      <c r="G357" s="24"/>
      <c r="H357" s="25"/>
      <c r="I357" s="32"/>
      <c r="J357" s="25"/>
      <c r="K357" s="24"/>
      <c r="L357" s="25"/>
      <c r="M357" s="25"/>
      <c r="N357" s="25"/>
      <c r="O357" s="25"/>
      <c r="P357" s="25" t="str">
        <f>IF(AND(A357="",B357="",H357=""),"",IF(OR(A357="",B357="",C357="",E357="",F357="",H357="",AND(A357="client",COUNTIF(الزبائن!$A$6:$A$505,B357)=0),AND(A357="proposed_name",COUNTIF('أسماء مقترحة'!$A$6:$A$505,B357)=0)),"REVIEW","READY"))</f>
        <v/>
      </c>
      <c r="Q357" s="27" t="str">
        <f>IF(P357="","",IF(P357="READY","",TRIM(IF(A357="","missing entity_type; ","")&amp;IF(B357="","missing entity_key; ","")&amp;IF(C357="","missing referrer_order; ","")&amp;IF(E357="","missing referrer_type; ","")&amp;IF(F357="","missing referral_origin_channel; ","")&amp;IF(H357="","missing referrer_name_snapshot; ","")&amp;IF(AND(A357="client",COUNTIF(الزبائن!$A$6:$A$505,B357)=0),"client key not found; ","")&amp;IF(AND(A357="proposed_name",COUNTIF('أسماء مقترحة'!$A$6:$A$505,B357)=0),"proposed_name key not found; ",""))))</f>
        <v/>
      </c>
    </row>
    <row r="358" spans="1:17">
      <c r="A358" s="23"/>
      <c r="B358" s="24"/>
      <c r="C358" s="25"/>
      <c r="D358" s="25"/>
      <c r="E358" s="25"/>
      <c r="F358" s="25"/>
      <c r="G358" s="24"/>
      <c r="H358" s="25"/>
      <c r="I358" s="32"/>
      <c r="J358" s="25"/>
      <c r="K358" s="24"/>
      <c r="L358" s="25"/>
      <c r="M358" s="25"/>
      <c r="N358" s="25"/>
      <c r="O358" s="25"/>
      <c r="P358" s="25" t="str">
        <f>IF(AND(A358="",B358="",H358=""),"",IF(OR(A358="",B358="",C358="",E358="",F358="",H358="",AND(A358="client",COUNTIF(الزبائن!$A$6:$A$505,B358)=0),AND(A358="proposed_name",COUNTIF('أسماء مقترحة'!$A$6:$A$505,B358)=0)),"REVIEW","READY"))</f>
        <v/>
      </c>
      <c r="Q358" s="27" t="str">
        <f>IF(P358="","",IF(P358="READY","",TRIM(IF(A358="","missing entity_type; ","")&amp;IF(B358="","missing entity_key; ","")&amp;IF(C358="","missing referrer_order; ","")&amp;IF(E358="","missing referrer_type; ","")&amp;IF(F358="","missing referral_origin_channel; ","")&amp;IF(H358="","missing referrer_name_snapshot; ","")&amp;IF(AND(A358="client",COUNTIF(الزبائن!$A$6:$A$505,B358)=0),"client key not found; ","")&amp;IF(AND(A358="proposed_name",COUNTIF('أسماء مقترحة'!$A$6:$A$505,B358)=0),"proposed_name key not found; ",""))))</f>
        <v/>
      </c>
    </row>
    <row r="359" spans="1:17">
      <c r="A359" s="23"/>
      <c r="B359" s="24"/>
      <c r="C359" s="25"/>
      <c r="D359" s="25"/>
      <c r="E359" s="25"/>
      <c r="F359" s="25"/>
      <c r="G359" s="24"/>
      <c r="H359" s="25"/>
      <c r="I359" s="32"/>
      <c r="J359" s="25"/>
      <c r="K359" s="24"/>
      <c r="L359" s="25"/>
      <c r="M359" s="25"/>
      <c r="N359" s="25"/>
      <c r="O359" s="25"/>
      <c r="P359" s="25" t="str">
        <f>IF(AND(A359="",B359="",H359=""),"",IF(OR(A359="",B359="",C359="",E359="",F359="",H359="",AND(A359="client",COUNTIF(الزبائن!$A$6:$A$505,B359)=0),AND(A359="proposed_name",COUNTIF('أسماء مقترحة'!$A$6:$A$505,B359)=0)),"REVIEW","READY"))</f>
        <v/>
      </c>
      <c r="Q359" s="27" t="str">
        <f>IF(P359="","",IF(P359="READY","",TRIM(IF(A359="","missing entity_type; ","")&amp;IF(B359="","missing entity_key; ","")&amp;IF(C359="","missing referrer_order; ","")&amp;IF(E359="","missing referrer_type; ","")&amp;IF(F359="","missing referral_origin_channel; ","")&amp;IF(H359="","missing referrer_name_snapshot; ","")&amp;IF(AND(A359="client",COUNTIF(الزبائن!$A$6:$A$505,B359)=0),"client key not found; ","")&amp;IF(AND(A359="proposed_name",COUNTIF('أسماء مقترحة'!$A$6:$A$505,B359)=0),"proposed_name key not found; ",""))))</f>
        <v/>
      </c>
    </row>
    <row r="360" spans="1:17">
      <c r="A360" s="23"/>
      <c r="B360" s="24"/>
      <c r="C360" s="25"/>
      <c r="D360" s="25"/>
      <c r="E360" s="25"/>
      <c r="F360" s="25"/>
      <c r="G360" s="24"/>
      <c r="H360" s="25"/>
      <c r="I360" s="32"/>
      <c r="J360" s="25"/>
      <c r="K360" s="24"/>
      <c r="L360" s="25"/>
      <c r="M360" s="25"/>
      <c r="N360" s="25"/>
      <c r="O360" s="25"/>
      <c r="P360" s="25" t="str">
        <f>IF(AND(A360="",B360="",H360=""),"",IF(OR(A360="",B360="",C360="",E360="",F360="",H360="",AND(A360="client",COUNTIF(الزبائن!$A$6:$A$505,B360)=0),AND(A360="proposed_name",COUNTIF('أسماء مقترحة'!$A$6:$A$505,B360)=0)),"REVIEW","READY"))</f>
        <v/>
      </c>
      <c r="Q360" s="27" t="str">
        <f>IF(P360="","",IF(P360="READY","",TRIM(IF(A360="","missing entity_type; ","")&amp;IF(B360="","missing entity_key; ","")&amp;IF(C360="","missing referrer_order; ","")&amp;IF(E360="","missing referrer_type; ","")&amp;IF(F360="","missing referral_origin_channel; ","")&amp;IF(H360="","missing referrer_name_snapshot; ","")&amp;IF(AND(A360="client",COUNTIF(الزبائن!$A$6:$A$505,B360)=0),"client key not found; ","")&amp;IF(AND(A360="proposed_name",COUNTIF('أسماء مقترحة'!$A$6:$A$505,B360)=0),"proposed_name key not found; ",""))))</f>
        <v/>
      </c>
    </row>
    <row r="361" spans="1:17">
      <c r="A361" s="23"/>
      <c r="B361" s="24"/>
      <c r="C361" s="25"/>
      <c r="D361" s="25"/>
      <c r="E361" s="25"/>
      <c r="F361" s="25"/>
      <c r="G361" s="24"/>
      <c r="H361" s="25"/>
      <c r="I361" s="32"/>
      <c r="J361" s="25"/>
      <c r="K361" s="24"/>
      <c r="L361" s="25"/>
      <c r="M361" s="25"/>
      <c r="N361" s="25"/>
      <c r="O361" s="25"/>
      <c r="P361" s="25" t="str">
        <f>IF(AND(A361="",B361="",H361=""),"",IF(OR(A361="",B361="",C361="",E361="",F361="",H361="",AND(A361="client",COUNTIF(الزبائن!$A$6:$A$505,B361)=0),AND(A361="proposed_name",COUNTIF('أسماء مقترحة'!$A$6:$A$505,B361)=0)),"REVIEW","READY"))</f>
        <v/>
      </c>
      <c r="Q361" s="27" t="str">
        <f>IF(P361="","",IF(P361="READY","",TRIM(IF(A361="","missing entity_type; ","")&amp;IF(B361="","missing entity_key; ","")&amp;IF(C361="","missing referrer_order; ","")&amp;IF(E361="","missing referrer_type; ","")&amp;IF(F361="","missing referral_origin_channel; ","")&amp;IF(H361="","missing referrer_name_snapshot; ","")&amp;IF(AND(A361="client",COUNTIF(الزبائن!$A$6:$A$505,B361)=0),"client key not found; ","")&amp;IF(AND(A361="proposed_name",COUNTIF('أسماء مقترحة'!$A$6:$A$505,B361)=0),"proposed_name key not found; ",""))))</f>
        <v/>
      </c>
    </row>
    <row r="362" spans="1:17">
      <c r="A362" s="23"/>
      <c r="B362" s="24"/>
      <c r="C362" s="25"/>
      <c r="D362" s="25"/>
      <c r="E362" s="25"/>
      <c r="F362" s="25"/>
      <c r="G362" s="24"/>
      <c r="H362" s="25"/>
      <c r="I362" s="32"/>
      <c r="J362" s="25"/>
      <c r="K362" s="24"/>
      <c r="L362" s="25"/>
      <c r="M362" s="25"/>
      <c r="N362" s="25"/>
      <c r="O362" s="25"/>
      <c r="P362" s="25" t="str">
        <f>IF(AND(A362="",B362="",H362=""),"",IF(OR(A362="",B362="",C362="",E362="",F362="",H362="",AND(A362="client",COUNTIF(الزبائن!$A$6:$A$505,B362)=0),AND(A362="proposed_name",COUNTIF('أسماء مقترحة'!$A$6:$A$505,B362)=0)),"REVIEW","READY"))</f>
        <v/>
      </c>
      <c r="Q362" s="27" t="str">
        <f>IF(P362="","",IF(P362="READY","",TRIM(IF(A362="","missing entity_type; ","")&amp;IF(B362="","missing entity_key; ","")&amp;IF(C362="","missing referrer_order; ","")&amp;IF(E362="","missing referrer_type; ","")&amp;IF(F362="","missing referral_origin_channel; ","")&amp;IF(H362="","missing referrer_name_snapshot; ","")&amp;IF(AND(A362="client",COUNTIF(الزبائن!$A$6:$A$505,B362)=0),"client key not found; ","")&amp;IF(AND(A362="proposed_name",COUNTIF('أسماء مقترحة'!$A$6:$A$505,B362)=0),"proposed_name key not found; ",""))))</f>
        <v/>
      </c>
    </row>
    <row r="363" spans="1:17">
      <c r="A363" s="23"/>
      <c r="B363" s="24"/>
      <c r="C363" s="25"/>
      <c r="D363" s="25"/>
      <c r="E363" s="25"/>
      <c r="F363" s="25"/>
      <c r="G363" s="24"/>
      <c r="H363" s="25"/>
      <c r="I363" s="32"/>
      <c r="J363" s="25"/>
      <c r="K363" s="24"/>
      <c r="L363" s="25"/>
      <c r="M363" s="25"/>
      <c r="N363" s="25"/>
      <c r="O363" s="25"/>
      <c r="P363" s="25" t="str">
        <f>IF(AND(A363="",B363="",H363=""),"",IF(OR(A363="",B363="",C363="",E363="",F363="",H363="",AND(A363="client",COUNTIF(الزبائن!$A$6:$A$505,B363)=0),AND(A363="proposed_name",COUNTIF('أسماء مقترحة'!$A$6:$A$505,B363)=0)),"REVIEW","READY"))</f>
        <v/>
      </c>
      <c r="Q363" s="27" t="str">
        <f>IF(P363="","",IF(P363="READY","",TRIM(IF(A363="","missing entity_type; ","")&amp;IF(B363="","missing entity_key; ","")&amp;IF(C363="","missing referrer_order; ","")&amp;IF(E363="","missing referrer_type; ","")&amp;IF(F363="","missing referral_origin_channel; ","")&amp;IF(H363="","missing referrer_name_snapshot; ","")&amp;IF(AND(A363="client",COUNTIF(الزبائن!$A$6:$A$505,B363)=0),"client key not found; ","")&amp;IF(AND(A363="proposed_name",COUNTIF('أسماء مقترحة'!$A$6:$A$505,B363)=0),"proposed_name key not found; ",""))))</f>
        <v/>
      </c>
    </row>
    <row r="364" spans="1:17">
      <c r="A364" s="23"/>
      <c r="B364" s="24"/>
      <c r="C364" s="25"/>
      <c r="D364" s="25"/>
      <c r="E364" s="25"/>
      <c r="F364" s="25"/>
      <c r="G364" s="24"/>
      <c r="H364" s="25"/>
      <c r="I364" s="32"/>
      <c r="J364" s="25"/>
      <c r="K364" s="24"/>
      <c r="L364" s="25"/>
      <c r="M364" s="25"/>
      <c r="N364" s="25"/>
      <c r="O364" s="25"/>
      <c r="P364" s="25" t="str">
        <f>IF(AND(A364="",B364="",H364=""),"",IF(OR(A364="",B364="",C364="",E364="",F364="",H364="",AND(A364="client",COUNTIF(الزبائن!$A$6:$A$505,B364)=0),AND(A364="proposed_name",COUNTIF('أسماء مقترحة'!$A$6:$A$505,B364)=0)),"REVIEW","READY"))</f>
        <v/>
      </c>
      <c r="Q364" s="27" t="str">
        <f>IF(P364="","",IF(P364="READY","",TRIM(IF(A364="","missing entity_type; ","")&amp;IF(B364="","missing entity_key; ","")&amp;IF(C364="","missing referrer_order; ","")&amp;IF(E364="","missing referrer_type; ","")&amp;IF(F364="","missing referral_origin_channel; ","")&amp;IF(H364="","missing referrer_name_snapshot; ","")&amp;IF(AND(A364="client",COUNTIF(الزبائن!$A$6:$A$505,B364)=0),"client key not found; ","")&amp;IF(AND(A364="proposed_name",COUNTIF('أسماء مقترحة'!$A$6:$A$505,B364)=0),"proposed_name key not found; ",""))))</f>
        <v/>
      </c>
    </row>
    <row r="365" spans="1:17">
      <c r="A365" s="23"/>
      <c r="B365" s="24"/>
      <c r="C365" s="25"/>
      <c r="D365" s="25"/>
      <c r="E365" s="25"/>
      <c r="F365" s="25"/>
      <c r="G365" s="24"/>
      <c r="H365" s="25"/>
      <c r="I365" s="32"/>
      <c r="J365" s="25"/>
      <c r="K365" s="24"/>
      <c r="L365" s="25"/>
      <c r="M365" s="25"/>
      <c r="N365" s="25"/>
      <c r="O365" s="25"/>
      <c r="P365" s="25" t="str">
        <f>IF(AND(A365="",B365="",H365=""),"",IF(OR(A365="",B365="",C365="",E365="",F365="",H365="",AND(A365="client",COUNTIF(الزبائن!$A$6:$A$505,B365)=0),AND(A365="proposed_name",COUNTIF('أسماء مقترحة'!$A$6:$A$505,B365)=0)),"REVIEW","READY"))</f>
        <v/>
      </c>
      <c r="Q365" s="27" t="str">
        <f>IF(P365="","",IF(P365="READY","",TRIM(IF(A365="","missing entity_type; ","")&amp;IF(B365="","missing entity_key; ","")&amp;IF(C365="","missing referrer_order; ","")&amp;IF(E365="","missing referrer_type; ","")&amp;IF(F365="","missing referral_origin_channel; ","")&amp;IF(H365="","missing referrer_name_snapshot; ","")&amp;IF(AND(A365="client",COUNTIF(الزبائن!$A$6:$A$505,B365)=0),"client key not found; ","")&amp;IF(AND(A365="proposed_name",COUNTIF('أسماء مقترحة'!$A$6:$A$505,B365)=0),"proposed_name key not found; ",""))))</f>
        <v/>
      </c>
    </row>
    <row r="366" spans="1:17">
      <c r="A366" s="23"/>
      <c r="B366" s="24"/>
      <c r="C366" s="25"/>
      <c r="D366" s="25"/>
      <c r="E366" s="25"/>
      <c r="F366" s="25"/>
      <c r="G366" s="24"/>
      <c r="H366" s="25"/>
      <c r="I366" s="32"/>
      <c r="J366" s="25"/>
      <c r="K366" s="24"/>
      <c r="L366" s="25"/>
      <c r="M366" s="25"/>
      <c r="N366" s="25"/>
      <c r="O366" s="25"/>
      <c r="P366" s="25" t="str">
        <f>IF(AND(A366="",B366="",H366=""),"",IF(OR(A366="",B366="",C366="",E366="",F366="",H366="",AND(A366="client",COUNTIF(الزبائن!$A$6:$A$505,B366)=0),AND(A366="proposed_name",COUNTIF('أسماء مقترحة'!$A$6:$A$505,B366)=0)),"REVIEW","READY"))</f>
        <v/>
      </c>
      <c r="Q366" s="27" t="str">
        <f>IF(P366="","",IF(P366="READY","",TRIM(IF(A366="","missing entity_type; ","")&amp;IF(B366="","missing entity_key; ","")&amp;IF(C366="","missing referrer_order; ","")&amp;IF(E366="","missing referrer_type; ","")&amp;IF(F366="","missing referral_origin_channel; ","")&amp;IF(H366="","missing referrer_name_snapshot; ","")&amp;IF(AND(A366="client",COUNTIF(الزبائن!$A$6:$A$505,B366)=0),"client key not found; ","")&amp;IF(AND(A366="proposed_name",COUNTIF('أسماء مقترحة'!$A$6:$A$505,B366)=0),"proposed_name key not found; ",""))))</f>
        <v/>
      </c>
    </row>
    <row r="367" spans="1:17">
      <c r="A367" s="23"/>
      <c r="B367" s="24"/>
      <c r="C367" s="25"/>
      <c r="D367" s="25"/>
      <c r="E367" s="25"/>
      <c r="F367" s="25"/>
      <c r="G367" s="24"/>
      <c r="H367" s="25"/>
      <c r="I367" s="32"/>
      <c r="J367" s="25"/>
      <c r="K367" s="24"/>
      <c r="L367" s="25"/>
      <c r="M367" s="25"/>
      <c r="N367" s="25"/>
      <c r="O367" s="25"/>
      <c r="P367" s="25" t="str">
        <f>IF(AND(A367="",B367="",H367=""),"",IF(OR(A367="",B367="",C367="",E367="",F367="",H367="",AND(A367="client",COUNTIF(الزبائن!$A$6:$A$505,B367)=0),AND(A367="proposed_name",COUNTIF('أسماء مقترحة'!$A$6:$A$505,B367)=0)),"REVIEW","READY"))</f>
        <v/>
      </c>
      <c r="Q367" s="27" t="str">
        <f>IF(P367="","",IF(P367="READY","",TRIM(IF(A367="","missing entity_type; ","")&amp;IF(B367="","missing entity_key; ","")&amp;IF(C367="","missing referrer_order; ","")&amp;IF(E367="","missing referrer_type; ","")&amp;IF(F367="","missing referral_origin_channel; ","")&amp;IF(H367="","missing referrer_name_snapshot; ","")&amp;IF(AND(A367="client",COUNTIF(الزبائن!$A$6:$A$505,B367)=0),"client key not found; ","")&amp;IF(AND(A367="proposed_name",COUNTIF('أسماء مقترحة'!$A$6:$A$505,B367)=0),"proposed_name key not found; ",""))))</f>
        <v/>
      </c>
    </row>
    <row r="368" spans="1:17">
      <c r="A368" s="23"/>
      <c r="B368" s="24"/>
      <c r="C368" s="25"/>
      <c r="D368" s="25"/>
      <c r="E368" s="25"/>
      <c r="F368" s="25"/>
      <c r="G368" s="24"/>
      <c r="H368" s="25"/>
      <c r="I368" s="32"/>
      <c r="J368" s="25"/>
      <c r="K368" s="24"/>
      <c r="L368" s="25"/>
      <c r="M368" s="25"/>
      <c r="N368" s="25"/>
      <c r="O368" s="25"/>
      <c r="P368" s="25" t="str">
        <f>IF(AND(A368="",B368="",H368=""),"",IF(OR(A368="",B368="",C368="",E368="",F368="",H368="",AND(A368="client",COUNTIF(الزبائن!$A$6:$A$505,B368)=0),AND(A368="proposed_name",COUNTIF('أسماء مقترحة'!$A$6:$A$505,B368)=0)),"REVIEW","READY"))</f>
        <v/>
      </c>
      <c r="Q368" s="27" t="str">
        <f>IF(P368="","",IF(P368="READY","",TRIM(IF(A368="","missing entity_type; ","")&amp;IF(B368="","missing entity_key; ","")&amp;IF(C368="","missing referrer_order; ","")&amp;IF(E368="","missing referrer_type; ","")&amp;IF(F368="","missing referral_origin_channel; ","")&amp;IF(H368="","missing referrer_name_snapshot; ","")&amp;IF(AND(A368="client",COUNTIF(الزبائن!$A$6:$A$505,B368)=0),"client key not found; ","")&amp;IF(AND(A368="proposed_name",COUNTIF('أسماء مقترحة'!$A$6:$A$505,B368)=0),"proposed_name key not found; ",""))))</f>
        <v/>
      </c>
    </row>
    <row r="369" spans="1:17">
      <c r="A369" s="23"/>
      <c r="B369" s="24"/>
      <c r="C369" s="25"/>
      <c r="D369" s="25"/>
      <c r="E369" s="25"/>
      <c r="F369" s="25"/>
      <c r="G369" s="24"/>
      <c r="H369" s="25"/>
      <c r="I369" s="32"/>
      <c r="J369" s="25"/>
      <c r="K369" s="24"/>
      <c r="L369" s="25"/>
      <c r="M369" s="25"/>
      <c r="N369" s="25"/>
      <c r="O369" s="25"/>
      <c r="P369" s="25" t="str">
        <f>IF(AND(A369="",B369="",H369=""),"",IF(OR(A369="",B369="",C369="",E369="",F369="",H369="",AND(A369="client",COUNTIF(الزبائن!$A$6:$A$505,B369)=0),AND(A369="proposed_name",COUNTIF('أسماء مقترحة'!$A$6:$A$505,B369)=0)),"REVIEW","READY"))</f>
        <v/>
      </c>
      <c r="Q369" s="27" t="str">
        <f>IF(P369="","",IF(P369="READY","",TRIM(IF(A369="","missing entity_type; ","")&amp;IF(B369="","missing entity_key; ","")&amp;IF(C369="","missing referrer_order; ","")&amp;IF(E369="","missing referrer_type; ","")&amp;IF(F369="","missing referral_origin_channel; ","")&amp;IF(H369="","missing referrer_name_snapshot; ","")&amp;IF(AND(A369="client",COUNTIF(الزبائن!$A$6:$A$505,B369)=0),"client key not found; ","")&amp;IF(AND(A369="proposed_name",COUNTIF('أسماء مقترحة'!$A$6:$A$505,B369)=0),"proposed_name key not found; ",""))))</f>
        <v/>
      </c>
    </row>
    <row r="370" spans="1:17">
      <c r="A370" s="23"/>
      <c r="B370" s="24"/>
      <c r="C370" s="25"/>
      <c r="D370" s="25"/>
      <c r="E370" s="25"/>
      <c r="F370" s="25"/>
      <c r="G370" s="24"/>
      <c r="H370" s="25"/>
      <c r="I370" s="32"/>
      <c r="J370" s="25"/>
      <c r="K370" s="24"/>
      <c r="L370" s="25"/>
      <c r="M370" s="25"/>
      <c r="N370" s="25"/>
      <c r="O370" s="25"/>
      <c r="P370" s="25" t="str">
        <f>IF(AND(A370="",B370="",H370=""),"",IF(OR(A370="",B370="",C370="",E370="",F370="",H370="",AND(A370="client",COUNTIF(الزبائن!$A$6:$A$505,B370)=0),AND(A370="proposed_name",COUNTIF('أسماء مقترحة'!$A$6:$A$505,B370)=0)),"REVIEW","READY"))</f>
        <v/>
      </c>
      <c r="Q370" s="27" t="str">
        <f>IF(P370="","",IF(P370="READY","",TRIM(IF(A370="","missing entity_type; ","")&amp;IF(B370="","missing entity_key; ","")&amp;IF(C370="","missing referrer_order; ","")&amp;IF(E370="","missing referrer_type; ","")&amp;IF(F370="","missing referral_origin_channel; ","")&amp;IF(H370="","missing referrer_name_snapshot; ","")&amp;IF(AND(A370="client",COUNTIF(الزبائن!$A$6:$A$505,B370)=0),"client key not found; ","")&amp;IF(AND(A370="proposed_name",COUNTIF('أسماء مقترحة'!$A$6:$A$505,B370)=0),"proposed_name key not found; ",""))))</f>
        <v/>
      </c>
    </row>
    <row r="371" spans="1:17">
      <c r="A371" s="23"/>
      <c r="B371" s="24"/>
      <c r="C371" s="25"/>
      <c r="D371" s="25"/>
      <c r="E371" s="25"/>
      <c r="F371" s="25"/>
      <c r="G371" s="24"/>
      <c r="H371" s="25"/>
      <c r="I371" s="32"/>
      <c r="J371" s="25"/>
      <c r="K371" s="24"/>
      <c r="L371" s="25"/>
      <c r="M371" s="25"/>
      <c r="N371" s="25"/>
      <c r="O371" s="25"/>
      <c r="P371" s="25" t="str">
        <f>IF(AND(A371="",B371="",H371=""),"",IF(OR(A371="",B371="",C371="",E371="",F371="",H371="",AND(A371="client",COUNTIF(الزبائن!$A$6:$A$505,B371)=0),AND(A371="proposed_name",COUNTIF('أسماء مقترحة'!$A$6:$A$505,B371)=0)),"REVIEW","READY"))</f>
        <v/>
      </c>
      <c r="Q371" s="27" t="str">
        <f>IF(P371="","",IF(P371="READY","",TRIM(IF(A371="","missing entity_type; ","")&amp;IF(B371="","missing entity_key; ","")&amp;IF(C371="","missing referrer_order; ","")&amp;IF(E371="","missing referrer_type; ","")&amp;IF(F371="","missing referral_origin_channel; ","")&amp;IF(H371="","missing referrer_name_snapshot; ","")&amp;IF(AND(A371="client",COUNTIF(الزبائن!$A$6:$A$505,B371)=0),"client key not found; ","")&amp;IF(AND(A371="proposed_name",COUNTIF('أسماء مقترحة'!$A$6:$A$505,B371)=0),"proposed_name key not found; ",""))))</f>
        <v/>
      </c>
    </row>
    <row r="372" spans="1:17">
      <c r="A372" s="23"/>
      <c r="B372" s="24"/>
      <c r="C372" s="25"/>
      <c r="D372" s="25"/>
      <c r="E372" s="25"/>
      <c r="F372" s="25"/>
      <c r="G372" s="24"/>
      <c r="H372" s="25"/>
      <c r="I372" s="32"/>
      <c r="J372" s="25"/>
      <c r="K372" s="24"/>
      <c r="L372" s="25"/>
      <c r="M372" s="25"/>
      <c r="N372" s="25"/>
      <c r="O372" s="25"/>
      <c r="P372" s="25" t="str">
        <f>IF(AND(A372="",B372="",H372=""),"",IF(OR(A372="",B372="",C372="",E372="",F372="",H372="",AND(A372="client",COUNTIF(الزبائن!$A$6:$A$505,B372)=0),AND(A372="proposed_name",COUNTIF('أسماء مقترحة'!$A$6:$A$505,B372)=0)),"REVIEW","READY"))</f>
        <v/>
      </c>
      <c r="Q372" s="27" t="str">
        <f>IF(P372="","",IF(P372="READY","",TRIM(IF(A372="","missing entity_type; ","")&amp;IF(B372="","missing entity_key; ","")&amp;IF(C372="","missing referrer_order; ","")&amp;IF(E372="","missing referrer_type; ","")&amp;IF(F372="","missing referral_origin_channel; ","")&amp;IF(H372="","missing referrer_name_snapshot; ","")&amp;IF(AND(A372="client",COUNTIF(الزبائن!$A$6:$A$505,B372)=0),"client key not found; ","")&amp;IF(AND(A372="proposed_name",COUNTIF('أسماء مقترحة'!$A$6:$A$505,B372)=0),"proposed_name key not found; ",""))))</f>
        <v/>
      </c>
    </row>
    <row r="373" spans="1:17">
      <c r="A373" s="23"/>
      <c r="B373" s="24"/>
      <c r="C373" s="25"/>
      <c r="D373" s="25"/>
      <c r="E373" s="25"/>
      <c r="F373" s="25"/>
      <c r="G373" s="24"/>
      <c r="H373" s="25"/>
      <c r="I373" s="32"/>
      <c r="J373" s="25"/>
      <c r="K373" s="24"/>
      <c r="L373" s="25"/>
      <c r="M373" s="25"/>
      <c r="N373" s="25"/>
      <c r="O373" s="25"/>
      <c r="P373" s="25" t="str">
        <f>IF(AND(A373="",B373="",H373=""),"",IF(OR(A373="",B373="",C373="",E373="",F373="",H373="",AND(A373="client",COUNTIF(الزبائن!$A$6:$A$505,B373)=0),AND(A373="proposed_name",COUNTIF('أسماء مقترحة'!$A$6:$A$505,B373)=0)),"REVIEW","READY"))</f>
        <v/>
      </c>
      <c r="Q373" s="27" t="str">
        <f>IF(P373="","",IF(P373="READY","",TRIM(IF(A373="","missing entity_type; ","")&amp;IF(B373="","missing entity_key; ","")&amp;IF(C373="","missing referrer_order; ","")&amp;IF(E373="","missing referrer_type; ","")&amp;IF(F373="","missing referral_origin_channel; ","")&amp;IF(H373="","missing referrer_name_snapshot; ","")&amp;IF(AND(A373="client",COUNTIF(الزبائن!$A$6:$A$505,B373)=0),"client key not found; ","")&amp;IF(AND(A373="proposed_name",COUNTIF('أسماء مقترحة'!$A$6:$A$505,B373)=0),"proposed_name key not found; ",""))))</f>
        <v/>
      </c>
    </row>
    <row r="374" spans="1:17">
      <c r="A374" s="23"/>
      <c r="B374" s="24"/>
      <c r="C374" s="25"/>
      <c r="D374" s="25"/>
      <c r="E374" s="25"/>
      <c r="F374" s="25"/>
      <c r="G374" s="24"/>
      <c r="H374" s="25"/>
      <c r="I374" s="32"/>
      <c r="J374" s="25"/>
      <c r="K374" s="24"/>
      <c r="L374" s="25"/>
      <c r="M374" s="25"/>
      <c r="N374" s="25"/>
      <c r="O374" s="25"/>
      <c r="P374" s="25" t="str">
        <f>IF(AND(A374="",B374="",H374=""),"",IF(OR(A374="",B374="",C374="",E374="",F374="",H374="",AND(A374="client",COUNTIF(الزبائن!$A$6:$A$505,B374)=0),AND(A374="proposed_name",COUNTIF('أسماء مقترحة'!$A$6:$A$505,B374)=0)),"REVIEW","READY"))</f>
        <v/>
      </c>
      <c r="Q374" s="27" t="str">
        <f>IF(P374="","",IF(P374="READY","",TRIM(IF(A374="","missing entity_type; ","")&amp;IF(B374="","missing entity_key; ","")&amp;IF(C374="","missing referrer_order; ","")&amp;IF(E374="","missing referrer_type; ","")&amp;IF(F374="","missing referral_origin_channel; ","")&amp;IF(H374="","missing referrer_name_snapshot; ","")&amp;IF(AND(A374="client",COUNTIF(الزبائن!$A$6:$A$505,B374)=0),"client key not found; ","")&amp;IF(AND(A374="proposed_name",COUNTIF('أسماء مقترحة'!$A$6:$A$505,B374)=0),"proposed_name key not found; ",""))))</f>
        <v/>
      </c>
    </row>
    <row r="375" spans="1:17">
      <c r="A375" s="23"/>
      <c r="B375" s="24"/>
      <c r="C375" s="25"/>
      <c r="D375" s="25"/>
      <c r="E375" s="25"/>
      <c r="F375" s="25"/>
      <c r="G375" s="24"/>
      <c r="H375" s="25"/>
      <c r="I375" s="32"/>
      <c r="J375" s="25"/>
      <c r="K375" s="24"/>
      <c r="L375" s="25"/>
      <c r="M375" s="25"/>
      <c r="N375" s="25"/>
      <c r="O375" s="25"/>
      <c r="P375" s="25" t="str">
        <f>IF(AND(A375="",B375="",H375=""),"",IF(OR(A375="",B375="",C375="",E375="",F375="",H375="",AND(A375="client",COUNTIF(الزبائن!$A$6:$A$505,B375)=0),AND(A375="proposed_name",COUNTIF('أسماء مقترحة'!$A$6:$A$505,B375)=0)),"REVIEW","READY"))</f>
        <v/>
      </c>
      <c r="Q375" s="27" t="str">
        <f>IF(P375="","",IF(P375="READY","",TRIM(IF(A375="","missing entity_type; ","")&amp;IF(B375="","missing entity_key; ","")&amp;IF(C375="","missing referrer_order; ","")&amp;IF(E375="","missing referrer_type; ","")&amp;IF(F375="","missing referral_origin_channel; ","")&amp;IF(H375="","missing referrer_name_snapshot; ","")&amp;IF(AND(A375="client",COUNTIF(الزبائن!$A$6:$A$505,B375)=0),"client key not found; ","")&amp;IF(AND(A375="proposed_name",COUNTIF('أسماء مقترحة'!$A$6:$A$505,B375)=0),"proposed_name key not found; ",""))))</f>
        <v/>
      </c>
    </row>
    <row r="376" spans="1:17">
      <c r="A376" s="23"/>
      <c r="B376" s="24"/>
      <c r="C376" s="25"/>
      <c r="D376" s="25"/>
      <c r="E376" s="25"/>
      <c r="F376" s="25"/>
      <c r="G376" s="24"/>
      <c r="H376" s="25"/>
      <c r="I376" s="32"/>
      <c r="J376" s="25"/>
      <c r="K376" s="24"/>
      <c r="L376" s="25"/>
      <c r="M376" s="25"/>
      <c r="N376" s="25"/>
      <c r="O376" s="25"/>
      <c r="P376" s="25" t="str">
        <f>IF(AND(A376="",B376="",H376=""),"",IF(OR(A376="",B376="",C376="",E376="",F376="",H376="",AND(A376="client",COUNTIF(الزبائن!$A$6:$A$505,B376)=0),AND(A376="proposed_name",COUNTIF('أسماء مقترحة'!$A$6:$A$505,B376)=0)),"REVIEW","READY"))</f>
        <v/>
      </c>
      <c r="Q376" s="27" t="str">
        <f>IF(P376="","",IF(P376="READY","",TRIM(IF(A376="","missing entity_type; ","")&amp;IF(B376="","missing entity_key; ","")&amp;IF(C376="","missing referrer_order; ","")&amp;IF(E376="","missing referrer_type; ","")&amp;IF(F376="","missing referral_origin_channel; ","")&amp;IF(H376="","missing referrer_name_snapshot; ","")&amp;IF(AND(A376="client",COUNTIF(الزبائن!$A$6:$A$505,B376)=0),"client key not found; ","")&amp;IF(AND(A376="proposed_name",COUNTIF('أسماء مقترحة'!$A$6:$A$505,B376)=0),"proposed_name key not found; ",""))))</f>
        <v/>
      </c>
    </row>
    <row r="377" spans="1:17">
      <c r="A377" s="23"/>
      <c r="B377" s="24"/>
      <c r="C377" s="25"/>
      <c r="D377" s="25"/>
      <c r="E377" s="25"/>
      <c r="F377" s="25"/>
      <c r="G377" s="24"/>
      <c r="H377" s="25"/>
      <c r="I377" s="32"/>
      <c r="J377" s="25"/>
      <c r="K377" s="24"/>
      <c r="L377" s="25"/>
      <c r="M377" s="25"/>
      <c r="N377" s="25"/>
      <c r="O377" s="25"/>
      <c r="P377" s="25" t="str">
        <f>IF(AND(A377="",B377="",H377=""),"",IF(OR(A377="",B377="",C377="",E377="",F377="",H377="",AND(A377="client",COUNTIF(الزبائن!$A$6:$A$505,B377)=0),AND(A377="proposed_name",COUNTIF('أسماء مقترحة'!$A$6:$A$505,B377)=0)),"REVIEW","READY"))</f>
        <v/>
      </c>
      <c r="Q377" s="27" t="str">
        <f>IF(P377="","",IF(P377="READY","",TRIM(IF(A377="","missing entity_type; ","")&amp;IF(B377="","missing entity_key; ","")&amp;IF(C377="","missing referrer_order; ","")&amp;IF(E377="","missing referrer_type; ","")&amp;IF(F377="","missing referral_origin_channel; ","")&amp;IF(H377="","missing referrer_name_snapshot; ","")&amp;IF(AND(A377="client",COUNTIF(الزبائن!$A$6:$A$505,B377)=0),"client key not found; ","")&amp;IF(AND(A377="proposed_name",COUNTIF('أسماء مقترحة'!$A$6:$A$505,B377)=0),"proposed_name key not found; ",""))))</f>
        <v/>
      </c>
    </row>
    <row r="378" spans="1:17">
      <c r="A378" s="23"/>
      <c r="B378" s="24"/>
      <c r="C378" s="25"/>
      <c r="D378" s="25"/>
      <c r="E378" s="25"/>
      <c r="F378" s="25"/>
      <c r="G378" s="24"/>
      <c r="H378" s="25"/>
      <c r="I378" s="32"/>
      <c r="J378" s="25"/>
      <c r="K378" s="24"/>
      <c r="L378" s="25"/>
      <c r="M378" s="25"/>
      <c r="N378" s="25"/>
      <c r="O378" s="25"/>
      <c r="P378" s="25" t="str">
        <f>IF(AND(A378="",B378="",H378=""),"",IF(OR(A378="",B378="",C378="",E378="",F378="",H378="",AND(A378="client",COUNTIF(الزبائن!$A$6:$A$505,B378)=0),AND(A378="proposed_name",COUNTIF('أسماء مقترحة'!$A$6:$A$505,B378)=0)),"REVIEW","READY"))</f>
        <v/>
      </c>
      <c r="Q378" s="27" t="str">
        <f>IF(P378="","",IF(P378="READY","",TRIM(IF(A378="","missing entity_type; ","")&amp;IF(B378="","missing entity_key; ","")&amp;IF(C378="","missing referrer_order; ","")&amp;IF(E378="","missing referrer_type; ","")&amp;IF(F378="","missing referral_origin_channel; ","")&amp;IF(H378="","missing referrer_name_snapshot; ","")&amp;IF(AND(A378="client",COUNTIF(الزبائن!$A$6:$A$505,B378)=0),"client key not found; ","")&amp;IF(AND(A378="proposed_name",COUNTIF('أسماء مقترحة'!$A$6:$A$505,B378)=0),"proposed_name key not found; ",""))))</f>
        <v/>
      </c>
    </row>
    <row r="379" spans="1:17">
      <c r="A379" s="23"/>
      <c r="B379" s="24"/>
      <c r="C379" s="25"/>
      <c r="D379" s="25"/>
      <c r="E379" s="25"/>
      <c r="F379" s="25"/>
      <c r="G379" s="24"/>
      <c r="H379" s="25"/>
      <c r="I379" s="32"/>
      <c r="J379" s="25"/>
      <c r="K379" s="24"/>
      <c r="L379" s="25"/>
      <c r="M379" s="25"/>
      <c r="N379" s="25"/>
      <c r="O379" s="25"/>
      <c r="P379" s="25" t="str">
        <f>IF(AND(A379="",B379="",H379=""),"",IF(OR(A379="",B379="",C379="",E379="",F379="",H379="",AND(A379="client",COUNTIF(الزبائن!$A$6:$A$505,B379)=0),AND(A379="proposed_name",COUNTIF('أسماء مقترحة'!$A$6:$A$505,B379)=0)),"REVIEW","READY"))</f>
        <v/>
      </c>
      <c r="Q379" s="27" t="str">
        <f>IF(P379="","",IF(P379="READY","",TRIM(IF(A379="","missing entity_type; ","")&amp;IF(B379="","missing entity_key; ","")&amp;IF(C379="","missing referrer_order; ","")&amp;IF(E379="","missing referrer_type; ","")&amp;IF(F379="","missing referral_origin_channel; ","")&amp;IF(H379="","missing referrer_name_snapshot; ","")&amp;IF(AND(A379="client",COUNTIF(الزبائن!$A$6:$A$505,B379)=0),"client key not found; ","")&amp;IF(AND(A379="proposed_name",COUNTIF('أسماء مقترحة'!$A$6:$A$505,B379)=0),"proposed_name key not found; ",""))))</f>
        <v/>
      </c>
    </row>
    <row r="380" spans="1:17">
      <c r="A380" s="23"/>
      <c r="B380" s="24"/>
      <c r="C380" s="25"/>
      <c r="D380" s="25"/>
      <c r="E380" s="25"/>
      <c r="F380" s="25"/>
      <c r="G380" s="24"/>
      <c r="H380" s="25"/>
      <c r="I380" s="32"/>
      <c r="J380" s="25"/>
      <c r="K380" s="24"/>
      <c r="L380" s="25"/>
      <c r="M380" s="25"/>
      <c r="N380" s="25"/>
      <c r="O380" s="25"/>
      <c r="P380" s="25" t="str">
        <f>IF(AND(A380="",B380="",H380=""),"",IF(OR(A380="",B380="",C380="",E380="",F380="",H380="",AND(A380="client",COUNTIF(الزبائن!$A$6:$A$505,B380)=0),AND(A380="proposed_name",COUNTIF('أسماء مقترحة'!$A$6:$A$505,B380)=0)),"REVIEW","READY"))</f>
        <v/>
      </c>
      <c r="Q380" s="27" t="str">
        <f>IF(P380="","",IF(P380="READY","",TRIM(IF(A380="","missing entity_type; ","")&amp;IF(B380="","missing entity_key; ","")&amp;IF(C380="","missing referrer_order; ","")&amp;IF(E380="","missing referrer_type; ","")&amp;IF(F380="","missing referral_origin_channel; ","")&amp;IF(H380="","missing referrer_name_snapshot; ","")&amp;IF(AND(A380="client",COUNTIF(الزبائن!$A$6:$A$505,B380)=0),"client key not found; ","")&amp;IF(AND(A380="proposed_name",COUNTIF('أسماء مقترحة'!$A$6:$A$505,B380)=0),"proposed_name key not found; ",""))))</f>
        <v/>
      </c>
    </row>
    <row r="381" spans="1:17">
      <c r="A381" s="23"/>
      <c r="B381" s="24"/>
      <c r="C381" s="25"/>
      <c r="D381" s="25"/>
      <c r="E381" s="25"/>
      <c r="F381" s="25"/>
      <c r="G381" s="24"/>
      <c r="H381" s="25"/>
      <c r="I381" s="32"/>
      <c r="J381" s="25"/>
      <c r="K381" s="24"/>
      <c r="L381" s="25"/>
      <c r="M381" s="25"/>
      <c r="N381" s="25"/>
      <c r="O381" s="25"/>
      <c r="P381" s="25" t="str">
        <f>IF(AND(A381="",B381="",H381=""),"",IF(OR(A381="",B381="",C381="",E381="",F381="",H381="",AND(A381="client",COUNTIF(الزبائن!$A$6:$A$505,B381)=0),AND(A381="proposed_name",COUNTIF('أسماء مقترحة'!$A$6:$A$505,B381)=0)),"REVIEW","READY"))</f>
        <v/>
      </c>
      <c r="Q381" s="27" t="str">
        <f>IF(P381="","",IF(P381="READY","",TRIM(IF(A381="","missing entity_type; ","")&amp;IF(B381="","missing entity_key; ","")&amp;IF(C381="","missing referrer_order; ","")&amp;IF(E381="","missing referrer_type; ","")&amp;IF(F381="","missing referral_origin_channel; ","")&amp;IF(H381="","missing referrer_name_snapshot; ","")&amp;IF(AND(A381="client",COUNTIF(الزبائن!$A$6:$A$505,B381)=0),"client key not found; ","")&amp;IF(AND(A381="proposed_name",COUNTIF('أسماء مقترحة'!$A$6:$A$505,B381)=0),"proposed_name key not found; ",""))))</f>
        <v/>
      </c>
    </row>
    <row r="382" spans="1:17">
      <c r="A382" s="23"/>
      <c r="B382" s="24"/>
      <c r="C382" s="25"/>
      <c r="D382" s="25"/>
      <c r="E382" s="25"/>
      <c r="F382" s="25"/>
      <c r="G382" s="24"/>
      <c r="H382" s="25"/>
      <c r="I382" s="32"/>
      <c r="J382" s="25"/>
      <c r="K382" s="24"/>
      <c r="L382" s="25"/>
      <c r="M382" s="25"/>
      <c r="N382" s="25"/>
      <c r="O382" s="25"/>
      <c r="P382" s="25" t="str">
        <f>IF(AND(A382="",B382="",H382=""),"",IF(OR(A382="",B382="",C382="",E382="",F382="",H382="",AND(A382="client",COUNTIF(الزبائن!$A$6:$A$505,B382)=0),AND(A382="proposed_name",COUNTIF('أسماء مقترحة'!$A$6:$A$505,B382)=0)),"REVIEW","READY"))</f>
        <v/>
      </c>
      <c r="Q382" s="27" t="str">
        <f>IF(P382="","",IF(P382="READY","",TRIM(IF(A382="","missing entity_type; ","")&amp;IF(B382="","missing entity_key; ","")&amp;IF(C382="","missing referrer_order; ","")&amp;IF(E382="","missing referrer_type; ","")&amp;IF(F382="","missing referral_origin_channel; ","")&amp;IF(H382="","missing referrer_name_snapshot; ","")&amp;IF(AND(A382="client",COUNTIF(الزبائن!$A$6:$A$505,B382)=0),"client key not found; ","")&amp;IF(AND(A382="proposed_name",COUNTIF('أسماء مقترحة'!$A$6:$A$505,B382)=0),"proposed_name key not found; ",""))))</f>
        <v/>
      </c>
    </row>
    <row r="383" spans="1:17">
      <c r="A383" s="23"/>
      <c r="B383" s="24"/>
      <c r="C383" s="25"/>
      <c r="D383" s="25"/>
      <c r="E383" s="25"/>
      <c r="F383" s="25"/>
      <c r="G383" s="24"/>
      <c r="H383" s="25"/>
      <c r="I383" s="32"/>
      <c r="J383" s="25"/>
      <c r="K383" s="24"/>
      <c r="L383" s="25"/>
      <c r="M383" s="25"/>
      <c r="N383" s="25"/>
      <c r="O383" s="25"/>
      <c r="P383" s="25" t="str">
        <f>IF(AND(A383="",B383="",H383=""),"",IF(OR(A383="",B383="",C383="",E383="",F383="",H383="",AND(A383="client",COUNTIF(الزبائن!$A$6:$A$505,B383)=0),AND(A383="proposed_name",COUNTIF('أسماء مقترحة'!$A$6:$A$505,B383)=0)),"REVIEW","READY"))</f>
        <v/>
      </c>
      <c r="Q383" s="27" t="str">
        <f>IF(P383="","",IF(P383="READY","",TRIM(IF(A383="","missing entity_type; ","")&amp;IF(B383="","missing entity_key; ","")&amp;IF(C383="","missing referrer_order; ","")&amp;IF(E383="","missing referrer_type; ","")&amp;IF(F383="","missing referral_origin_channel; ","")&amp;IF(H383="","missing referrer_name_snapshot; ","")&amp;IF(AND(A383="client",COUNTIF(الزبائن!$A$6:$A$505,B383)=0),"client key not found; ","")&amp;IF(AND(A383="proposed_name",COUNTIF('أسماء مقترحة'!$A$6:$A$505,B383)=0),"proposed_name key not found; ",""))))</f>
        <v/>
      </c>
    </row>
    <row r="384" spans="1:17">
      <c r="A384" s="23"/>
      <c r="B384" s="24"/>
      <c r="C384" s="25"/>
      <c r="D384" s="25"/>
      <c r="E384" s="25"/>
      <c r="F384" s="25"/>
      <c r="G384" s="24"/>
      <c r="H384" s="25"/>
      <c r="I384" s="32"/>
      <c r="J384" s="25"/>
      <c r="K384" s="24"/>
      <c r="L384" s="25"/>
      <c r="M384" s="25"/>
      <c r="N384" s="25"/>
      <c r="O384" s="25"/>
      <c r="P384" s="25" t="str">
        <f>IF(AND(A384="",B384="",H384=""),"",IF(OR(A384="",B384="",C384="",E384="",F384="",H384="",AND(A384="client",COUNTIF(الزبائن!$A$6:$A$505,B384)=0),AND(A384="proposed_name",COUNTIF('أسماء مقترحة'!$A$6:$A$505,B384)=0)),"REVIEW","READY"))</f>
        <v/>
      </c>
      <c r="Q384" s="27" t="str">
        <f>IF(P384="","",IF(P384="READY","",TRIM(IF(A384="","missing entity_type; ","")&amp;IF(B384="","missing entity_key; ","")&amp;IF(C384="","missing referrer_order; ","")&amp;IF(E384="","missing referrer_type; ","")&amp;IF(F384="","missing referral_origin_channel; ","")&amp;IF(H384="","missing referrer_name_snapshot; ","")&amp;IF(AND(A384="client",COUNTIF(الزبائن!$A$6:$A$505,B384)=0),"client key not found; ","")&amp;IF(AND(A384="proposed_name",COUNTIF('أسماء مقترحة'!$A$6:$A$505,B384)=0),"proposed_name key not found; ",""))))</f>
        <v/>
      </c>
    </row>
    <row r="385" spans="1:17">
      <c r="A385" s="23"/>
      <c r="B385" s="24"/>
      <c r="C385" s="25"/>
      <c r="D385" s="25"/>
      <c r="E385" s="25"/>
      <c r="F385" s="25"/>
      <c r="G385" s="24"/>
      <c r="H385" s="25"/>
      <c r="I385" s="32"/>
      <c r="J385" s="25"/>
      <c r="K385" s="24"/>
      <c r="L385" s="25"/>
      <c r="M385" s="25"/>
      <c r="N385" s="25"/>
      <c r="O385" s="25"/>
      <c r="P385" s="25" t="str">
        <f>IF(AND(A385="",B385="",H385=""),"",IF(OR(A385="",B385="",C385="",E385="",F385="",H385="",AND(A385="client",COUNTIF(الزبائن!$A$6:$A$505,B385)=0),AND(A385="proposed_name",COUNTIF('أسماء مقترحة'!$A$6:$A$505,B385)=0)),"REVIEW","READY"))</f>
        <v/>
      </c>
      <c r="Q385" s="27" t="str">
        <f>IF(P385="","",IF(P385="READY","",TRIM(IF(A385="","missing entity_type; ","")&amp;IF(B385="","missing entity_key; ","")&amp;IF(C385="","missing referrer_order; ","")&amp;IF(E385="","missing referrer_type; ","")&amp;IF(F385="","missing referral_origin_channel; ","")&amp;IF(H385="","missing referrer_name_snapshot; ","")&amp;IF(AND(A385="client",COUNTIF(الزبائن!$A$6:$A$505,B385)=0),"client key not found; ","")&amp;IF(AND(A385="proposed_name",COUNTIF('أسماء مقترحة'!$A$6:$A$505,B385)=0),"proposed_name key not found; ",""))))</f>
        <v/>
      </c>
    </row>
    <row r="386" spans="1:17">
      <c r="A386" s="23"/>
      <c r="B386" s="24"/>
      <c r="C386" s="25"/>
      <c r="D386" s="25"/>
      <c r="E386" s="25"/>
      <c r="F386" s="25"/>
      <c r="G386" s="24"/>
      <c r="H386" s="25"/>
      <c r="I386" s="32"/>
      <c r="J386" s="25"/>
      <c r="K386" s="24"/>
      <c r="L386" s="25"/>
      <c r="M386" s="25"/>
      <c r="N386" s="25"/>
      <c r="O386" s="25"/>
      <c r="P386" s="25" t="str">
        <f>IF(AND(A386="",B386="",H386=""),"",IF(OR(A386="",B386="",C386="",E386="",F386="",H386="",AND(A386="client",COUNTIF(الزبائن!$A$6:$A$505,B386)=0),AND(A386="proposed_name",COUNTIF('أسماء مقترحة'!$A$6:$A$505,B386)=0)),"REVIEW","READY"))</f>
        <v/>
      </c>
      <c r="Q386" s="27" t="str">
        <f>IF(P386="","",IF(P386="READY","",TRIM(IF(A386="","missing entity_type; ","")&amp;IF(B386="","missing entity_key; ","")&amp;IF(C386="","missing referrer_order; ","")&amp;IF(E386="","missing referrer_type; ","")&amp;IF(F386="","missing referral_origin_channel; ","")&amp;IF(H386="","missing referrer_name_snapshot; ","")&amp;IF(AND(A386="client",COUNTIF(الزبائن!$A$6:$A$505,B386)=0),"client key not found; ","")&amp;IF(AND(A386="proposed_name",COUNTIF('أسماء مقترحة'!$A$6:$A$505,B386)=0),"proposed_name key not found; ",""))))</f>
        <v/>
      </c>
    </row>
    <row r="387" spans="1:17">
      <c r="A387" s="23"/>
      <c r="B387" s="24"/>
      <c r="C387" s="25"/>
      <c r="D387" s="25"/>
      <c r="E387" s="25"/>
      <c r="F387" s="25"/>
      <c r="G387" s="24"/>
      <c r="H387" s="25"/>
      <c r="I387" s="32"/>
      <c r="J387" s="25"/>
      <c r="K387" s="24"/>
      <c r="L387" s="25"/>
      <c r="M387" s="25"/>
      <c r="N387" s="25"/>
      <c r="O387" s="25"/>
      <c r="P387" s="25" t="str">
        <f>IF(AND(A387="",B387="",H387=""),"",IF(OR(A387="",B387="",C387="",E387="",F387="",H387="",AND(A387="client",COUNTIF(الزبائن!$A$6:$A$505,B387)=0),AND(A387="proposed_name",COUNTIF('أسماء مقترحة'!$A$6:$A$505,B387)=0)),"REVIEW","READY"))</f>
        <v/>
      </c>
      <c r="Q387" s="27" t="str">
        <f>IF(P387="","",IF(P387="READY","",TRIM(IF(A387="","missing entity_type; ","")&amp;IF(B387="","missing entity_key; ","")&amp;IF(C387="","missing referrer_order; ","")&amp;IF(E387="","missing referrer_type; ","")&amp;IF(F387="","missing referral_origin_channel; ","")&amp;IF(H387="","missing referrer_name_snapshot; ","")&amp;IF(AND(A387="client",COUNTIF(الزبائن!$A$6:$A$505,B387)=0),"client key not found; ","")&amp;IF(AND(A387="proposed_name",COUNTIF('أسماء مقترحة'!$A$6:$A$505,B387)=0),"proposed_name key not found; ",""))))</f>
        <v/>
      </c>
    </row>
    <row r="388" spans="1:17">
      <c r="A388" s="23"/>
      <c r="B388" s="24"/>
      <c r="C388" s="25"/>
      <c r="D388" s="25"/>
      <c r="E388" s="25"/>
      <c r="F388" s="25"/>
      <c r="G388" s="24"/>
      <c r="H388" s="25"/>
      <c r="I388" s="32"/>
      <c r="J388" s="25"/>
      <c r="K388" s="24"/>
      <c r="L388" s="25"/>
      <c r="M388" s="25"/>
      <c r="N388" s="25"/>
      <c r="O388" s="25"/>
      <c r="P388" s="25" t="str">
        <f>IF(AND(A388="",B388="",H388=""),"",IF(OR(A388="",B388="",C388="",E388="",F388="",H388="",AND(A388="client",COUNTIF(الزبائن!$A$6:$A$505,B388)=0),AND(A388="proposed_name",COUNTIF('أسماء مقترحة'!$A$6:$A$505,B388)=0)),"REVIEW","READY"))</f>
        <v/>
      </c>
      <c r="Q388" s="27" t="str">
        <f>IF(P388="","",IF(P388="READY","",TRIM(IF(A388="","missing entity_type; ","")&amp;IF(B388="","missing entity_key; ","")&amp;IF(C388="","missing referrer_order; ","")&amp;IF(E388="","missing referrer_type; ","")&amp;IF(F388="","missing referral_origin_channel; ","")&amp;IF(H388="","missing referrer_name_snapshot; ","")&amp;IF(AND(A388="client",COUNTIF(الزبائن!$A$6:$A$505,B388)=0),"client key not found; ","")&amp;IF(AND(A388="proposed_name",COUNTIF('أسماء مقترحة'!$A$6:$A$505,B388)=0),"proposed_name key not found; ",""))))</f>
        <v/>
      </c>
    </row>
    <row r="389" spans="1:17">
      <c r="A389" s="23"/>
      <c r="B389" s="24"/>
      <c r="C389" s="25"/>
      <c r="D389" s="25"/>
      <c r="E389" s="25"/>
      <c r="F389" s="25"/>
      <c r="G389" s="24"/>
      <c r="H389" s="25"/>
      <c r="I389" s="32"/>
      <c r="J389" s="25"/>
      <c r="K389" s="24"/>
      <c r="L389" s="25"/>
      <c r="M389" s="25"/>
      <c r="N389" s="25"/>
      <c r="O389" s="25"/>
      <c r="P389" s="25" t="str">
        <f>IF(AND(A389="",B389="",H389=""),"",IF(OR(A389="",B389="",C389="",E389="",F389="",H389="",AND(A389="client",COUNTIF(الزبائن!$A$6:$A$505,B389)=0),AND(A389="proposed_name",COUNTIF('أسماء مقترحة'!$A$6:$A$505,B389)=0)),"REVIEW","READY"))</f>
        <v/>
      </c>
      <c r="Q389" s="27" t="str">
        <f>IF(P389="","",IF(P389="READY","",TRIM(IF(A389="","missing entity_type; ","")&amp;IF(B389="","missing entity_key; ","")&amp;IF(C389="","missing referrer_order; ","")&amp;IF(E389="","missing referrer_type; ","")&amp;IF(F389="","missing referral_origin_channel; ","")&amp;IF(H389="","missing referrer_name_snapshot; ","")&amp;IF(AND(A389="client",COUNTIF(الزبائن!$A$6:$A$505,B389)=0),"client key not found; ","")&amp;IF(AND(A389="proposed_name",COUNTIF('أسماء مقترحة'!$A$6:$A$505,B389)=0),"proposed_name key not found; ",""))))</f>
        <v/>
      </c>
    </row>
    <row r="390" spans="1:17">
      <c r="A390" s="23"/>
      <c r="B390" s="24"/>
      <c r="C390" s="25"/>
      <c r="D390" s="25"/>
      <c r="E390" s="25"/>
      <c r="F390" s="25"/>
      <c r="G390" s="24"/>
      <c r="H390" s="25"/>
      <c r="I390" s="32"/>
      <c r="J390" s="25"/>
      <c r="K390" s="24"/>
      <c r="L390" s="25"/>
      <c r="M390" s="25"/>
      <c r="N390" s="25"/>
      <c r="O390" s="25"/>
      <c r="P390" s="25" t="str">
        <f>IF(AND(A390="",B390="",H390=""),"",IF(OR(A390="",B390="",C390="",E390="",F390="",H390="",AND(A390="client",COUNTIF(الزبائن!$A$6:$A$505,B390)=0),AND(A390="proposed_name",COUNTIF('أسماء مقترحة'!$A$6:$A$505,B390)=0)),"REVIEW","READY"))</f>
        <v/>
      </c>
      <c r="Q390" s="27" t="str">
        <f>IF(P390="","",IF(P390="READY","",TRIM(IF(A390="","missing entity_type; ","")&amp;IF(B390="","missing entity_key; ","")&amp;IF(C390="","missing referrer_order; ","")&amp;IF(E390="","missing referrer_type; ","")&amp;IF(F390="","missing referral_origin_channel; ","")&amp;IF(H390="","missing referrer_name_snapshot; ","")&amp;IF(AND(A390="client",COUNTIF(الزبائن!$A$6:$A$505,B390)=0),"client key not found; ","")&amp;IF(AND(A390="proposed_name",COUNTIF('أسماء مقترحة'!$A$6:$A$505,B390)=0),"proposed_name key not found; ",""))))</f>
        <v/>
      </c>
    </row>
    <row r="391" spans="1:17">
      <c r="A391" s="23"/>
      <c r="B391" s="24"/>
      <c r="C391" s="25"/>
      <c r="D391" s="25"/>
      <c r="E391" s="25"/>
      <c r="F391" s="25"/>
      <c r="G391" s="24"/>
      <c r="H391" s="25"/>
      <c r="I391" s="32"/>
      <c r="J391" s="25"/>
      <c r="K391" s="24"/>
      <c r="L391" s="25"/>
      <c r="M391" s="25"/>
      <c r="N391" s="25"/>
      <c r="O391" s="25"/>
      <c r="P391" s="25" t="str">
        <f>IF(AND(A391="",B391="",H391=""),"",IF(OR(A391="",B391="",C391="",E391="",F391="",H391="",AND(A391="client",COUNTIF(الزبائن!$A$6:$A$505,B391)=0),AND(A391="proposed_name",COUNTIF('أسماء مقترحة'!$A$6:$A$505,B391)=0)),"REVIEW","READY"))</f>
        <v/>
      </c>
      <c r="Q391" s="27" t="str">
        <f>IF(P391="","",IF(P391="READY","",TRIM(IF(A391="","missing entity_type; ","")&amp;IF(B391="","missing entity_key; ","")&amp;IF(C391="","missing referrer_order; ","")&amp;IF(E391="","missing referrer_type; ","")&amp;IF(F391="","missing referral_origin_channel; ","")&amp;IF(H391="","missing referrer_name_snapshot; ","")&amp;IF(AND(A391="client",COUNTIF(الزبائن!$A$6:$A$505,B391)=0),"client key not found; ","")&amp;IF(AND(A391="proposed_name",COUNTIF('أسماء مقترحة'!$A$6:$A$505,B391)=0),"proposed_name key not found; ",""))))</f>
        <v/>
      </c>
    </row>
    <row r="392" spans="1:17">
      <c r="A392" s="23"/>
      <c r="B392" s="24"/>
      <c r="C392" s="25"/>
      <c r="D392" s="25"/>
      <c r="E392" s="25"/>
      <c r="F392" s="25"/>
      <c r="G392" s="24"/>
      <c r="H392" s="25"/>
      <c r="I392" s="32"/>
      <c r="J392" s="25"/>
      <c r="K392" s="24"/>
      <c r="L392" s="25"/>
      <c r="M392" s="25"/>
      <c r="N392" s="25"/>
      <c r="O392" s="25"/>
      <c r="P392" s="25" t="str">
        <f>IF(AND(A392="",B392="",H392=""),"",IF(OR(A392="",B392="",C392="",E392="",F392="",H392="",AND(A392="client",COUNTIF(الزبائن!$A$6:$A$505,B392)=0),AND(A392="proposed_name",COUNTIF('أسماء مقترحة'!$A$6:$A$505,B392)=0)),"REVIEW","READY"))</f>
        <v/>
      </c>
      <c r="Q392" s="27" t="str">
        <f>IF(P392="","",IF(P392="READY","",TRIM(IF(A392="","missing entity_type; ","")&amp;IF(B392="","missing entity_key; ","")&amp;IF(C392="","missing referrer_order; ","")&amp;IF(E392="","missing referrer_type; ","")&amp;IF(F392="","missing referral_origin_channel; ","")&amp;IF(H392="","missing referrer_name_snapshot; ","")&amp;IF(AND(A392="client",COUNTIF(الزبائن!$A$6:$A$505,B392)=0),"client key not found; ","")&amp;IF(AND(A392="proposed_name",COUNTIF('أسماء مقترحة'!$A$6:$A$505,B392)=0),"proposed_name key not found; ",""))))</f>
        <v/>
      </c>
    </row>
    <row r="393" spans="1:17">
      <c r="A393" s="23"/>
      <c r="B393" s="24"/>
      <c r="C393" s="25"/>
      <c r="D393" s="25"/>
      <c r="E393" s="25"/>
      <c r="F393" s="25"/>
      <c r="G393" s="24"/>
      <c r="H393" s="25"/>
      <c r="I393" s="32"/>
      <c r="J393" s="25"/>
      <c r="K393" s="24"/>
      <c r="L393" s="25"/>
      <c r="M393" s="25"/>
      <c r="N393" s="25"/>
      <c r="O393" s="25"/>
      <c r="P393" s="25" t="str">
        <f>IF(AND(A393="",B393="",H393=""),"",IF(OR(A393="",B393="",C393="",E393="",F393="",H393="",AND(A393="client",COUNTIF(الزبائن!$A$6:$A$505,B393)=0),AND(A393="proposed_name",COUNTIF('أسماء مقترحة'!$A$6:$A$505,B393)=0)),"REVIEW","READY"))</f>
        <v/>
      </c>
      <c r="Q393" s="27" t="str">
        <f>IF(P393="","",IF(P393="READY","",TRIM(IF(A393="","missing entity_type; ","")&amp;IF(B393="","missing entity_key; ","")&amp;IF(C393="","missing referrer_order; ","")&amp;IF(E393="","missing referrer_type; ","")&amp;IF(F393="","missing referral_origin_channel; ","")&amp;IF(H393="","missing referrer_name_snapshot; ","")&amp;IF(AND(A393="client",COUNTIF(الزبائن!$A$6:$A$505,B393)=0),"client key not found; ","")&amp;IF(AND(A393="proposed_name",COUNTIF('أسماء مقترحة'!$A$6:$A$505,B393)=0),"proposed_name key not found; ",""))))</f>
        <v/>
      </c>
    </row>
    <row r="394" spans="1:17">
      <c r="A394" s="23"/>
      <c r="B394" s="24"/>
      <c r="C394" s="25"/>
      <c r="D394" s="25"/>
      <c r="E394" s="25"/>
      <c r="F394" s="25"/>
      <c r="G394" s="24"/>
      <c r="H394" s="25"/>
      <c r="I394" s="32"/>
      <c r="J394" s="25"/>
      <c r="K394" s="24"/>
      <c r="L394" s="25"/>
      <c r="M394" s="25"/>
      <c r="N394" s="25"/>
      <c r="O394" s="25"/>
      <c r="P394" s="25" t="str">
        <f>IF(AND(A394="",B394="",H394=""),"",IF(OR(A394="",B394="",C394="",E394="",F394="",H394="",AND(A394="client",COUNTIF(الزبائن!$A$6:$A$505,B394)=0),AND(A394="proposed_name",COUNTIF('أسماء مقترحة'!$A$6:$A$505,B394)=0)),"REVIEW","READY"))</f>
        <v/>
      </c>
      <c r="Q394" s="27" t="str">
        <f>IF(P394="","",IF(P394="READY","",TRIM(IF(A394="","missing entity_type; ","")&amp;IF(B394="","missing entity_key; ","")&amp;IF(C394="","missing referrer_order; ","")&amp;IF(E394="","missing referrer_type; ","")&amp;IF(F394="","missing referral_origin_channel; ","")&amp;IF(H394="","missing referrer_name_snapshot; ","")&amp;IF(AND(A394="client",COUNTIF(الزبائن!$A$6:$A$505,B394)=0),"client key not found; ","")&amp;IF(AND(A394="proposed_name",COUNTIF('أسماء مقترحة'!$A$6:$A$505,B394)=0),"proposed_name key not found; ",""))))</f>
        <v/>
      </c>
    </row>
    <row r="395" spans="1:17">
      <c r="A395" s="23"/>
      <c r="B395" s="24"/>
      <c r="C395" s="25"/>
      <c r="D395" s="25"/>
      <c r="E395" s="25"/>
      <c r="F395" s="25"/>
      <c r="G395" s="24"/>
      <c r="H395" s="25"/>
      <c r="I395" s="32"/>
      <c r="J395" s="25"/>
      <c r="K395" s="24"/>
      <c r="L395" s="25"/>
      <c r="M395" s="25"/>
      <c r="N395" s="25"/>
      <c r="O395" s="25"/>
      <c r="P395" s="25" t="str">
        <f>IF(AND(A395="",B395="",H395=""),"",IF(OR(A395="",B395="",C395="",E395="",F395="",H395="",AND(A395="client",COUNTIF(الزبائن!$A$6:$A$505,B395)=0),AND(A395="proposed_name",COUNTIF('أسماء مقترحة'!$A$6:$A$505,B395)=0)),"REVIEW","READY"))</f>
        <v/>
      </c>
      <c r="Q395" s="27" t="str">
        <f>IF(P395="","",IF(P395="READY","",TRIM(IF(A395="","missing entity_type; ","")&amp;IF(B395="","missing entity_key; ","")&amp;IF(C395="","missing referrer_order; ","")&amp;IF(E395="","missing referrer_type; ","")&amp;IF(F395="","missing referral_origin_channel; ","")&amp;IF(H395="","missing referrer_name_snapshot; ","")&amp;IF(AND(A395="client",COUNTIF(الزبائن!$A$6:$A$505,B395)=0),"client key not found; ","")&amp;IF(AND(A395="proposed_name",COUNTIF('أسماء مقترحة'!$A$6:$A$505,B395)=0),"proposed_name key not found; ",""))))</f>
        <v/>
      </c>
    </row>
    <row r="396" spans="1:17">
      <c r="A396" s="23"/>
      <c r="B396" s="24"/>
      <c r="C396" s="25"/>
      <c r="D396" s="25"/>
      <c r="E396" s="25"/>
      <c r="F396" s="25"/>
      <c r="G396" s="24"/>
      <c r="H396" s="25"/>
      <c r="I396" s="32"/>
      <c r="J396" s="25"/>
      <c r="K396" s="24"/>
      <c r="L396" s="25"/>
      <c r="M396" s="25"/>
      <c r="N396" s="25"/>
      <c r="O396" s="25"/>
      <c r="P396" s="25" t="str">
        <f>IF(AND(A396="",B396="",H396=""),"",IF(OR(A396="",B396="",C396="",E396="",F396="",H396="",AND(A396="client",COUNTIF(الزبائن!$A$6:$A$505,B396)=0),AND(A396="proposed_name",COUNTIF('أسماء مقترحة'!$A$6:$A$505,B396)=0)),"REVIEW","READY"))</f>
        <v/>
      </c>
      <c r="Q396" s="27" t="str">
        <f>IF(P396="","",IF(P396="READY","",TRIM(IF(A396="","missing entity_type; ","")&amp;IF(B396="","missing entity_key; ","")&amp;IF(C396="","missing referrer_order; ","")&amp;IF(E396="","missing referrer_type; ","")&amp;IF(F396="","missing referral_origin_channel; ","")&amp;IF(H396="","missing referrer_name_snapshot; ","")&amp;IF(AND(A396="client",COUNTIF(الزبائن!$A$6:$A$505,B396)=0),"client key not found; ","")&amp;IF(AND(A396="proposed_name",COUNTIF('أسماء مقترحة'!$A$6:$A$505,B396)=0),"proposed_name key not found; ",""))))</f>
        <v/>
      </c>
    </row>
    <row r="397" spans="1:17">
      <c r="A397" s="23"/>
      <c r="B397" s="24"/>
      <c r="C397" s="25"/>
      <c r="D397" s="25"/>
      <c r="E397" s="25"/>
      <c r="F397" s="25"/>
      <c r="G397" s="24"/>
      <c r="H397" s="25"/>
      <c r="I397" s="32"/>
      <c r="J397" s="25"/>
      <c r="K397" s="24"/>
      <c r="L397" s="25"/>
      <c r="M397" s="25"/>
      <c r="N397" s="25"/>
      <c r="O397" s="25"/>
      <c r="P397" s="25" t="str">
        <f>IF(AND(A397="",B397="",H397=""),"",IF(OR(A397="",B397="",C397="",E397="",F397="",H397="",AND(A397="client",COUNTIF(الزبائن!$A$6:$A$505,B397)=0),AND(A397="proposed_name",COUNTIF('أسماء مقترحة'!$A$6:$A$505,B397)=0)),"REVIEW","READY"))</f>
        <v/>
      </c>
      <c r="Q397" s="27" t="str">
        <f>IF(P397="","",IF(P397="READY","",TRIM(IF(A397="","missing entity_type; ","")&amp;IF(B397="","missing entity_key; ","")&amp;IF(C397="","missing referrer_order; ","")&amp;IF(E397="","missing referrer_type; ","")&amp;IF(F397="","missing referral_origin_channel; ","")&amp;IF(H397="","missing referrer_name_snapshot; ","")&amp;IF(AND(A397="client",COUNTIF(الزبائن!$A$6:$A$505,B397)=0),"client key not found; ","")&amp;IF(AND(A397="proposed_name",COUNTIF('أسماء مقترحة'!$A$6:$A$505,B397)=0),"proposed_name key not found; ",""))))</f>
        <v/>
      </c>
    </row>
    <row r="398" spans="1:17">
      <c r="A398" s="23"/>
      <c r="B398" s="24"/>
      <c r="C398" s="25"/>
      <c r="D398" s="25"/>
      <c r="E398" s="25"/>
      <c r="F398" s="25"/>
      <c r="G398" s="24"/>
      <c r="H398" s="25"/>
      <c r="I398" s="32"/>
      <c r="J398" s="25"/>
      <c r="K398" s="24"/>
      <c r="L398" s="25"/>
      <c r="M398" s="25"/>
      <c r="N398" s="25"/>
      <c r="O398" s="25"/>
      <c r="P398" s="25" t="str">
        <f>IF(AND(A398="",B398="",H398=""),"",IF(OR(A398="",B398="",C398="",E398="",F398="",H398="",AND(A398="client",COUNTIF(الزبائن!$A$6:$A$505,B398)=0),AND(A398="proposed_name",COUNTIF('أسماء مقترحة'!$A$6:$A$505,B398)=0)),"REVIEW","READY"))</f>
        <v/>
      </c>
      <c r="Q398" s="27" t="str">
        <f>IF(P398="","",IF(P398="READY","",TRIM(IF(A398="","missing entity_type; ","")&amp;IF(B398="","missing entity_key; ","")&amp;IF(C398="","missing referrer_order; ","")&amp;IF(E398="","missing referrer_type; ","")&amp;IF(F398="","missing referral_origin_channel; ","")&amp;IF(H398="","missing referrer_name_snapshot; ","")&amp;IF(AND(A398="client",COUNTIF(الزبائن!$A$6:$A$505,B398)=0),"client key not found; ","")&amp;IF(AND(A398="proposed_name",COUNTIF('أسماء مقترحة'!$A$6:$A$505,B398)=0),"proposed_name key not found; ",""))))</f>
        <v/>
      </c>
    </row>
    <row r="399" spans="1:17">
      <c r="A399" s="23"/>
      <c r="B399" s="24"/>
      <c r="C399" s="25"/>
      <c r="D399" s="25"/>
      <c r="E399" s="25"/>
      <c r="F399" s="25"/>
      <c r="G399" s="24"/>
      <c r="H399" s="25"/>
      <c r="I399" s="32"/>
      <c r="J399" s="25"/>
      <c r="K399" s="24"/>
      <c r="L399" s="25"/>
      <c r="M399" s="25"/>
      <c r="N399" s="25"/>
      <c r="O399" s="25"/>
      <c r="P399" s="25" t="str">
        <f>IF(AND(A399="",B399="",H399=""),"",IF(OR(A399="",B399="",C399="",E399="",F399="",H399="",AND(A399="client",COUNTIF(الزبائن!$A$6:$A$505,B399)=0),AND(A399="proposed_name",COUNTIF('أسماء مقترحة'!$A$6:$A$505,B399)=0)),"REVIEW","READY"))</f>
        <v/>
      </c>
      <c r="Q399" s="27" t="str">
        <f>IF(P399="","",IF(P399="READY","",TRIM(IF(A399="","missing entity_type; ","")&amp;IF(B399="","missing entity_key; ","")&amp;IF(C399="","missing referrer_order; ","")&amp;IF(E399="","missing referrer_type; ","")&amp;IF(F399="","missing referral_origin_channel; ","")&amp;IF(H399="","missing referrer_name_snapshot; ","")&amp;IF(AND(A399="client",COUNTIF(الزبائن!$A$6:$A$505,B399)=0),"client key not found; ","")&amp;IF(AND(A399="proposed_name",COUNTIF('أسماء مقترحة'!$A$6:$A$505,B399)=0),"proposed_name key not found; ",""))))</f>
        <v/>
      </c>
    </row>
    <row r="400" spans="1:17">
      <c r="A400" s="23"/>
      <c r="B400" s="24"/>
      <c r="C400" s="25"/>
      <c r="D400" s="25"/>
      <c r="E400" s="25"/>
      <c r="F400" s="25"/>
      <c r="G400" s="24"/>
      <c r="H400" s="25"/>
      <c r="I400" s="32"/>
      <c r="J400" s="25"/>
      <c r="K400" s="24"/>
      <c r="L400" s="25"/>
      <c r="M400" s="25"/>
      <c r="N400" s="25"/>
      <c r="O400" s="25"/>
      <c r="P400" s="25" t="str">
        <f>IF(AND(A400="",B400="",H400=""),"",IF(OR(A400="",B400="",C400="",E400="",F400="",H400="",AND(A400="client",COUNTIF(الزبائن!$A$6:$A$505,B400)=0),AND(A400="proposed_name",COUNTIF('أسماء مقترحة'!$A$6:$A$505,B400)=0)),"REVIEW","READY"))</f>
        <v/>
      </c>
      <c r="Q400" s="27" t="str">
        <f>IF(P400="","",IF(P400="READY","",TRIM(IF(A400="","missing entity_type; ","")&amp;IF(B400="","missing entity_key; ","")&amp;IF(C400="","missing referrer_order; ","")&amp;IF(E400="","missing referrer_type; ","")&amp;IF(F400="","missing referral_origin_channel; ","")&amp;IF(H400="","missing referrer_name_snapshot; ","")&amp;IF(AND(A400="client",COUNTIF(الزبائن!$A$6:$A$505,B400)=0),"client key not found; ","")&amp;IF(AND(A400="proposed_name",COUNTIF('أسماء مقترحة'!$A$6:$A$505,B400)=0),"proposed_name key not found; ",""))))</f>
        <v/>
      </c>
    </row>
    <row r="401" spans="1:17">
      <c r="A401" s="23"/>
      <c r="B401" s="24"/>
      <c r="C401" s="25"/>
      <c r="D401" s="25"/>
      <c r="E401" s="25"/>
      <c r="F401" s="25"/>
      <c r="G401" s="24"/>
      <c r="H401" s="25"/>
      <c r="I401" s="32"/>
      <c r="J401" s="25"/>
      <c r="K401" s="24"/>
      <c r="L401" s="25"/>
      <c r="M401" s="25"/>
      <c r="N401" s="25"/>
      <c r="O401" s="25"/>
      <c r="P401" s="25" t="str">
        <f>IF(AND(A401="",B401="",H401=""),"",IF(OR(A401="",B401="",C401="",E401="",F401="",H401="",AND(A401="client",COUNTIF(الزبائن!$A$6:$A$505,B401)=0),AND(A401="proposed_name",COUNTIF('أسماء مقترحة'!$A$6:$A$505,B401)=0)),"REVIEW","READY"))</f>
        <v/>
      </c>
      <c r="Q401" s="27" t="str">
        <f>IF(P401="","",IF(P401="READY","",TRIM(IF(A401="","missing entity_type; ","")&amp;IF(B401="","missing entity_key; ","")&amp;IF(C401="","missing referrer_order; ","")&amp;IF(E401="","missing referrer_type; ","")&amp;IF(F401="","missing referral_origin_channel; ","")&amp;IF(H401="","missing referrer_name_snapshot; ","")&amp;IF(AND(A401="client",COUNTIF(الزبائن!$A$6:$A$505,B401)=0),"client key not found; ","")&amp;IF(AND(A401="proposed_name",COUNTIF('أسماء مقترحة'!$A$6:$A$505,B401)=0),"proposed_name key not found; ",""))))</f>
        <v/>
      </c>
    </row>
    <row r="402" spans="1:17">
      <c r="A402" s="23"/>
      <c r="B402" s="24"/>
      <c r="C402" s="25"/>
      <c r="D402" s="25"/>
      <c r="E402" s="25"/>
      <c r="F402" s="25"/>
      <c r="G402" s="24"/>
      <c r="H402" s="25"/>
      <c r="I402" s="32"/>
      <c r="J402" s="25"/>
      <c r="K402" s="24"/>
      <c r="L402" s="25"/>
      <c r="M402" s="25"/>
      <c r="N402" s="25"/>
      <c r="O402" s="25"/>
      <c r="P402" s="25" t="str">
        <f>IF(AND(A402="",B402="",H402=""),"",IF(OR(A402="",B402="",C402="",E402="",F402="",H402="",AND(A402="client",COUNTIF(الزبائن!$A$6:$A$505,B402)=0),AND(A402="proposed_name",COUNTIF('أسماء مقترحة'!$A$6:$A$505,B402)=0)),"REVIEW","READY"))</f>
        <v/>
      </c>
      <c r="Q402" s="27" t="str">
        <f>IF(P402="","",IF(P402="READY","",TRIM(IF(A402="","missing entity_type; ","")&amp;IF(B402="","missing entity_key; ","")&amp;IF(C402="","missing referrer_order; ","")&amp;IF(E402="","missing referrer_type; ","")&amp;IF(F402="","missing referral_origin_channel; ","")&amp;IF(H402="","missing referrer_name_snapshot; ","")&amp;IF(AND(A402="client",COUNTIF(الزبائن!$A$6:$A$505,B402)=0),"client key not found; ","")&amp;IF(AND(A402="proposed_name",COUNTIF('أسماء مقترحة'!$A$6:$A$505,B402)=0),"proposed_name key not found; ",""))))</f>
        <v/>
      </c>
    </row>
    <row r="403" spans="1:17">
      <c r="A403" s="23"/>
      <c r="B403" s="24"/>
      <c r="C403" s="25"/>
      <c r="D403" s="25"/>
      <c r="E403" s="25"/>
      <c r="F403" s="25"/>
      <c r="G403" s="24"/>
      <c r="H403" s="25"/>
      <c r="I403" s="32"/>
      <c r="J403" s="25"/>
      <c r="K403" s="24"/>
      <c r="L403" s="25"/>
      <c r="M403" s="25"/>
      <c r="N403" s="25"/>
      <c r="O403" s="25"/>
      <c r="P403" s="25" t="str">
        <f>IF(AND(A403="",B403="",H403=""),"",IF(OR(A403="",B403="",C403="",E403="",F403="",H403="",AND(A403="client",COUNTIF(الزبائن!$A$6:$A$505,B403)=0),AND(A403="proposed_name",COUNTIF('أسماء مقترحة'!$A$6:$A$505,B403)=0)),"REVIEW","READY"))</f>
        <v/>
      </c>
      <c r="Q403" s="27" t="str">
        <f>IF(P403="","",IF(P403="READY","",TRIM(IF(A403="","missing entity_type; ","")&amp;IF(B403="","missing entity_key; ","")&amp;IF(C403="","missing referrer_order; ","")&amp;IF(E403="","missing referrer_type; ","")&amp;IF(F403="","missing referral_origin_channel; ","")&amp;IF(H403="","missing referrer_name_snapshot; ","")&amp;IF(AND(A403="client",COUNTIF(الزبائن!$A$6:$A$505,B403)=0),"client key not found; ","")&amp;IF(AND(A403="proposed_name",COUNTIF('أسماء مقترحة'!$A$6:$A$505,B403)=0),"proposed_name key not found; ",""))))</f>
        <v/>
      </c>
    </row>
    <row r="404" spans="1:17">
      <c r="A404" s="23"/>
      <c r="B404" s="24"/>
      <c r="C404" s="25"/>
      <c r="D404" s="25"/>
      <c r="E404" s="25"/>
      <c r="F404" s="25"/>
      <c r="G404" s="24"/>
      <c r="H404" s="25"/>
      <c r="I404" s="32"/>
      <c r="J404" s="25"/>
      <c r="K404" s="24"/>
      <c r="L404" s="25"/>
      <c r="M404" s="25"/>
      <c r="N404" s="25"/>
      <c r="O404" s="25"/>
      <c r="P404" s="25" t="str">
        <f>IF(AND(A404="",B404="",H404=""),"",IF(OR(A404="",B404="",C404="",E404="",F404="",H404="",AND(A404="client",COUNTIF(الزبائن!$A$6:$A$505,B404)=0),AND(A404="proposed_name",COUNTIF('أسماء مقترحة'!$A$6:$A$505,B404)=0)),"REVIEW","READY"))</f>
        <v/>
      </c>
      <c r="Q404" s="27" t="str">
        <f>IF(P404="","",IF(P404="READY","",TRIM(IF(A404="","missing entity_type; ","")&amp;IF(B404="","missing entity_key; ","")&amp;IF(C404="","missing referrer_order; ","")&amp;IF(E404="","missing referrer_type; ","")&amp;IF(F404="","missing referral_origin_channel; ","")&amp;IF(H404="","missing referrer_name_snapshot; ","")&amp;IF(AND(A404="client",COUNTIF(الزبائن!$A$6:$A$505,B404)=0),"client key not found; ","")&amp;IF(AND(A404="proposed_name",COUNTIF('أسماء مقترحة'!$A$6:$A$505,B404)=0),"proposed_name key not found; ",""))))</f>
        <v/>
      </c>
    </row>
    <row r="405" spans="1:17">
      <c r="A405" s="23"/>
      <c r="B405" s="24"/>
      <c r="C405" s="25"/>
      <c r="D405" s="25"/>
      <c r="E405" s="25"/>
      <c r="F405" s="25"/>
      <c r="G405" s="24"/>
      <c r="H405" s="25"/>
      <c r="I405" s="32"/>
      <c r="J405" s="25"/>
      <c r="K405" s="24"/>
      <c r="L405" s="25"/>
      <c r="M405" s="25"/>
      <c r="N405" s="25"/>
      <c r="O405" s="25"/>
      <c r="P405" s="25" t="str">
        <f>IF(AND(A405="",B405="",H405=""),"",IF(OR(A405="",B405="",C405="",E405="",F405="",H405="",AND(A405="client",COUNTIF(الزبائن!$A$6:$A$505,B405)=0),AND(A405="proposed_name",COUNTIF('أسماء مقترحة'!$A$6:$A$505,B405)=0)),"REVIEW","READY"))</f>
        <v/>
      </c>
      <c r="Q405" s="27" t="str">
        <f>IF(P405="","",IF(P405="READY","",TRIM(IF(A405="","missing entity_type; ","")&amp;IF(B405="","missing entity_key; ","")&amp;IF(C405="","missing referrer_order; ","")&amp;IF(E405="","missing referrer_type; ","")&amp;IF(F405="","missing referral_origin_channel; ","")&amp;IF(H405="","missing referrer_name_snapshot; ","")&amp;IF(AND(A405="client",COUNTIF(الزبائن!$A$6:$A$505,B405)=0),"client key not found; ","")&amp;IF(AND(A405="proposed_name",COUNTIF('أسماء مقترحة'!$A$6:$A$505,B405)=0),"proposed_name key not found; ",""))))</f>
        <v/>
      </c>
    </row>
    <row r="406" spans="1:17">
      <c r="A406" s="23"/>
      <c r="B406" s="24"/>
      <c r="C406" s="25"/>
      <c r="D406" s="25"/>
      <c r="E406" s="25"/>
      <c r="F406" s="25"/>
      <c r="G406" s="24"/>
      <c r="H406" s="25"/>
      <c r="I406" s="32"/>
      <c r="J406" s="25"/>
      <c r="K406" s="24"/>
      <c r="L406" s="25"/>
      <c r="M406" s="25"/>
      <c r="N406" s="25"/>
      <c r="O406" s="25"/>
      <c r="P406" s="25" t="str">
        <f>IF(AND(A406="",B406="",H406=""),"",IF(OR(A406="",B406="",C406="",E406="",F406="",H406="",AND(A406="client",COUNTIF(الزبائن!$A$6:$A$505,B406)=0),AND(A406="proposed_name",COUNTIF('أسماء مقترحة'!$A$6:$A$505,B406)=0)),"REVIEW","READY"))</f>
        <v/>
      </c>
      <c r="Q406" s="27" t="str">
        <f>IF(P406="","",IF(P406="READY","",TRIM(IF(A406="","missing entity_type; ","")&amp;IF(B406="","missing entity_key; ","")&amp;IF(C406="","missing referrer_order; ","")&amp;IF(E406="","missing referrer_type; ","")&amp;IF(F406="","missing referral_origin_channel; ","")&amp;IF(H406="","missing referrer_name_snapshot; ","")&amp;IF(AND(A406="client",COUNTIF(الزبائن!$A$6:$A$505,B406)=0),"client key not found; ","")&amp;IF(AND(A406="proposed_name",COUNTIF('أسماء مقترحة'!$A$6:$A$505,B406)=0),"proposed_name key not found; ",""))))</f>
        <v/>
      </c>
    </row>
    <row r="407" spans="1:17">
      <c r="A407" s="23"/>
      <c r="B407" s="24"/>
      <c r="C407" s="25"/>
      <c r="D407" s="25"/>
      <c r="E407" s="25"/>
      <c r="F407" s="25"/>
      <c r="G407" s="24"/>
      <c r="H407" s="25"/>
      <c r="I407" s="32"/>
      <c r="J407" s="25"/>
      <c r="K407" s="24"/>
      <c r="L407" s="25"/>
      <c r="M407" s="25"/>
      <c r="N407" s="25"/>
      <c r="O407" s="25"/>
      <c r="P407" s="25" t="str">
        <f>IF(AND(A407="",B407="",H407=""),"",IF(OR(A407="",B407="",C407="",E407="",F407="",H407="",AND(A407="client",COUNTIF(الزبائن!$A$6:$A$505,B407)=0),AND(A407="proposed_name",COUNTIF('أسماء مقترحة'!$A$6:$A$505,B407)=0)),"REVIEW","READY"))</f>
        <v/>
      </c>
      <c r="Q407" s="27" t="str">
        <f>IF(P407="","",IF(P407="READY","",TRIM(IF(A407="","missing entity_type; ","")&amp;IF(B407="","missing entity_key; ","")&amp;IF(C407="","missing referrer_order; ","")&amp;IF(E407="","missing referrer_type; ","")&amp;IF(F407="","missing referral_origin_channel; ","")&amp;IF(H407="","missing referrer_name_snapshot; ","")&amp;IF(AND(A407="client",COUNTIF(الزبائن!$A$6:$A$505,B407)=0),"client key not found; ","")&amp;IF(AND(A407="proposed_name",COUNTIF('أسماء مقترحة'!$A$6:$A$505,B407)=0),"proposed_name key not found; ",""))))</f>
        <v/>
      </c>
    </row>
    <row r="408" spans="1:17">
      <c r="A408" s="23"/>
      <c r="B408" s="24"/>
      <c r="C408" s="25"/>
      <c r="D408" s="25"/>
      <c r="E408" s="25"/>
      <c r="F408" s="25"/>
      <c r="G408" s="24"/>
      <c r="H408" s="25"/>
      <c r="I408" s="32"/>
      <c r="J408" s="25"/>
      <c r="K408" s="24"/>
      <c r="L408" s="25"/>
      <c r="M408" s="25"/>
      <c r="N408" s="25"/>
      <c r="O408" s="25"/>
      <c r="P408" s="25" t="str">
        <f>IF(AND(A408="",B408="",H408=""),"",IF(OR(A408="",B408="",C408="",E408="",F408="",H408="",AND(A408="client",COUNTIF(الزبائن!$A$6:$A$505,B408)=0),AND(A408="proposed_name",COUNTIF('أسماء مقترحة'!$A$6:$A$505,B408)=0)),"REVIEW","READY"))</f>
        <v/>
      </c>
      <c r="Q408" s="27" t="str">
        <f>IF(P408="","",IF(P408="READY","",TRIM(IF(A408="","missing entity_type; ","")&amp;IF(B408="","missing entity_key; ","")&amp;IF(C408="","missing referrer_order; ","")&amp;IF(E408="","missing referrer_type; ","")&amp;IF(F408="","missing referral_origin_channel; ","")&amp;IF(H408="","missing referrer_name_snapshot; ","")&amp;IF(AND(A408="client",COUNTIF(الزبائن!$A$6:$A$505,B408)=0),"client key not found; ","")&amp;IF(AND(A408="proposed_name",COUNTIF('أسماء مقترحة'!$A$6:$A$505,B408)=0),"proposed_name key not found; ",""))))</f>
        <v/>
      </c>
    </row>
    <row r="409" spans="1:17">
      <c r="A409" s="23"/>
      <c r="B409" s="24"/>
      <c r="C409" s="25"/>
      <c r="D409" s="25"/>
      <c r="E409" s="25"/>
      <c r="F409" s="25"/>
      <c r="G409" s="24"/>
      <c r="H409" s="25"/>
      <c r="I409" s="32"/>
      <c r="J409" s="25"/>
      <c r="K409" s="24"/>
      <c r="L409" s="25"/>
      <c r="M409" s="25"/>
      <c r="N409" s="25"/>
      <c r="O409" s="25"/>
      <c r="P409" s="25" t="str">
        <f>IF(AND(A409="",B409="",H409=""),"",IF(OR(A409="",B409="",C409="",E409="",F409="",H409="",AND(A409="client",COUNTIF(الزبائن!$A$6:$A$505,B409)=0),AND(A409="proposed_name",COUNTIF('أسماء مقترحة'!$A$6:$A$505,B409)=0)),"REVIEW","READY"))</f>
        <v/>
      </c>
      <c r="Q409" s="27" t="str">
        <f>IF(P409="","",IF(P409="READY","",TRIM(IF(A409="","missing entity_type; ","")&amp;IF(B409="","missing entity_key; ","")&amp;IF(C409="","missing referrer_order; ","")&amp;IF(E409="","missing referrer_type; ","")&amp;IF(F409="","missing referral_origin_channel; ","")&amp;IF(H409="","missing referrer_name_snapshot; ","")&amp;IF(AND(A409="client",COUNTIF(الزبائن!$A$6:$A$505,B409)=0),"client key not found; ","")&amp;IF(AND(A409="proposed_name",COUNTIF('أسماء مقترحة'!$A$6:$A$505,B409)=0),"proposed_name key not found; ",""))))</f>
        <v/>
      </c>
    </row>
    <row r="410" spans="1:17">
      <c r="A410" s="23"/>
      <c r="B410" s="24"/>
      <c r="C410" s="25"/>
      <c r="D410" s="25"/>
      <c r="E410" s="25"/>
      <c r="F410" s="25"/>
      <c r="G410" s="24"/>
      <c r="H410" s="25"/>
      <c r="I410" s="32"/>
      <c r="J410" s="25"/>
      <c r="K410" s="24"/>
      <c r="L410" s="25"/>
      <c r="M410" s="25"/>
      <c r="N410" s="25"/>
      <c r="O410" s="25"/>
      <c r="P410" s="25" t="str">
        <f>IF(AND(A410="",B410="",H410=""),"",IF(OR(A410="",B410="",C410="",E410="",F410="",H410="",AND(A410="client",COUNTIF(الزبائن!$A$6:$A$505,B410)=0),AND(A410="proposed_name",COUNTIF('أسماء مقترحة'!$A$6:$A$505,B410)=0)),"REVIEW","READY"))</f>
        <v/>
      </c>
      <c r="Q410" s="27" t="str">
        <f>IF(P410="","",IF(P410="READY","",TRIM(IF(A410="","missing entity_type; ","")&amp;IF(B410="","missing entity_key; ","")&amp;IF(C410="","missing referrer_order; ","")&amp;IF(E410="","missing referrer_type; ","")&amp;IF(F410="","missing referral_origin_channel; ","")&amp;IF(H410="","missing referrer_name_snapshot; ","")&amp;IF(AND(A410="client",COUNTIF(الزبائن!$A$6:$A$505,B410)=0),"client key not found; ","")&amp;IF(AND(A410="proposed_name",COUNTIF('أسماء مقترحة'!$A$6:$A$505,B410)=0),"proposed_name key not found; ",""))))</f>
        <v/>
      </c>
    </row>
    <row r="411" spans="1:17">
      <c r="A411" s="23"/>
      <c r="B411" s="24"/>
      <c r="C411" s="25"/>
      <c r="D411" s="25"/>
      <c r="E411" s="25"/>
      <c r="F411" s="25"/>
      <c r="G411" s="24"/>
      <c r="H411" s="25"/>
      <c r="I411" s="32"/>
      <c r="J411" s="25"/>
      <c r="K411" s="24"/>
      <c r="L411" s="25"/>
      <c r="M411" s="25"/>
      <c r="N411" s="25"/>
      <c r="O411" s="25"/>
      <c r="P411" s="25" t="str">
        <f>IF(AND(A411="",B411="",H411=""),"",IF(OR(A411="",B411="",C411="",E411="",F411="",H411="",AND(A411="client",COUNTIF(الزبائن!$A$6:$A$505,B411)=0),AND(A411="proposed_name",COUNTIF('أسماء مقترحة'!$A$6:$A$505,B411)=0)),"REVIEW","READY"))</f>
        <v/>
      </c>
      <c r="Q411" s="27" t="str">
        <f>IF(P411="","",IF(P411="READY","",TRIM(IF(A411="","missing entity_type; ","")&amp;IF(B411="","missing entity_key; ","")&amp;IF(C411="","missing referrer_order; ","")&amp;IF(E411="","missing referrer_type; ","")&amp;IF(F411="","missing referral_origin_channel; ","")&amp;IF(H411="","missing referrer_name_snapshot; ","")&amp;IF(AND(A411="client",COUNTIF(الزبائن!$A$6:$A$505,B411)=0),"client key not found; ","")&amp;IF(AND(A411="proposed_name",COUNTIF('أسماء مقترحة'!$A$6:$A$505,B411)=0),"proposed_name key not found; ",""))))</f>
        <v/>
      </c>
    </row>
    <row r="412" spans="1:17">
      <c r="A412" s="23"/>
      <c r="B412" s="24"/>
      <c r="C412" s="25"/>
      <c r="D412" s="25"/>
      <c r="E412" s="25"/>
      <c r="F412" s="25"/>
      <c r="G412" s="24"/>
      <c r="H412" s="25"/>
      <c r="I412" s="32"/>
      <c r="J412" s="25"/>
      <c r="K412" s="24"/>
      <c r="L412" s="25"/>
      <c r="M412" s="25"/>
      <c r="N412" s="25"/>
      <c r="O412" s="25"/>
      <c r="P412" s="25" t="str">
        <f>IF(AND(A412="",B412="",H412=""),"",IF(OR(A412="",B412="",C412="",E412="",F412="",H412="",AND(A412="client",COUNTIF(الزبائن!$A$6:$A$505,B412)=0),AND(A412="proposed_name",COUNTIF('أسماء مقترحة'!$A$6:$A$505,B412)=0)),"REVIEW","READY"))</f>
        <v/>
      </c>
      <c r="Q412" s="27" t="str">
        <f>IF(P412="","",IF(P412="READY","",TRIM(IF(A412="","missing entity_type; ","")&amp;IF(B412="","missing entity_key; ","")&amp;IF(C412="","missing referrer_order; ","")&amp;IF(E412="","missing referrer_type; ","")&amp;IF(F412="","missing referral_origin_channel; ","")&amp;IF(H412="","missing referrer_name_snapshot; ","")&amp;IF(AND(A412="client",COUNTIF(الزبائن!$A$6:$A$505,B412)=0),"client key not found; ","")&amp;IF(AND(A412="proposed_name",COUNTIF('أسماء مقترحة'!$A$6:$A$505,B412)=0),"proposed_name key not found; ",""))))</f>
        <v/>
      </c>
    </row>
    <row r="413" spans="1:17">
      <c r="A413" s="23"/>
      <c r="B413" s="24"/>
      <c r="C413" s="25"/>
      <c r="D413" s="25"/>
      <c r="E413" s="25"/>
      <c r="F413" s="25"/>
      <c r="G413" s="24"/>
      <c r="H413" s="25"/>
      <c r="I413" s="32"/>
      <c r="J413" s="25"/>
      <c r="K413" s="24"/>
      <c r="L413" s="25"/>
      <c r="M413" s="25"/>
      <c r="N413" s="25"/>
      <c r="O413" s="25"/>
      <c r="P413" s="25" t="str">
        <f>IF(AND(A413="",B413="",H413=""),"",IF(OR(A413="",B413="",C413="",E413="",F413="",H413="",AND(A413="client",COUNTIF(الزبائن!$A$6:$A$505,B413)=0),AND(A413="proposed_name",COUNTIF('أسماء مقترحة'!$A$6:$A$505,B413)=0)),"REVIEW","READY"))</f>
        <v/>
      </c>
      <c r="Q413" s="27" t="str">
        <f>IF(P413="","",IF(P413="READY","",TRIM(IF(A413="","missing entity_type; ","")&amp;IF(B413="","missing entity_key; ","")&amp;IF(C413="","missing referrer_order; ","")&amp;IF(E413="","missing referrer_type; ","")&amp;IF(F413="","missing referral_origin_channel; ","")&amp;IF(H413="","missing referrer_name_snapshot; ","")&amp;IF(AND(A413="client",COUNTIF(الزبائن!$A$6:$A$505,B413)=0),"client key not found; ","")&amp;IF(AND(A413="proposed_name",COUNTIF('أسماء مقترحة'!$A$6:$A$505,B413)=0),"proposed_name key not found; ",""))))</f>
        <v/>
      </c>
    </row>
    <row r="414" spans="1:17">
      <c r="A414" s="23"/>
      <c r="B414" s="24"/>
      <c r="C414" s="25"/>
      <c r="D414" s="25"/>
      <c r="E414" s="25"/>
      <c r="F414" s="25"/>
      <c r="G414" s="24"/>
      <c r="H414" s="25"/>
      <c r="I414" s="32"/>
      <c r="J414" s="25"/>
      <c r="K414" s="24"/>
      <c r="L414" s="25"/>
      <c r="M414" s="25"/>
      <c r="N414" s="25"/>
      <c r="O414" s="25"/>
      <c r="P414" s="25" t="str">
        <f>IF(AND(A414="",B414="",H414=""),"",IF(OR(A414="",B414="",C414="",E414="",F414="",H414="",AND(A414="client",COUNTIF(الزبائن!$A$6:$A$505,B414)=0),AND(A414="proposed_name",COUNTIF('أسماء مقترحة'!$A$6:$A$505,B414)=0)),"REVIEW","READY"))</f>
        <v/>
      </c>
      <c r="Q414" s="27" t="str">
        <f>IF(P414="","",IF(P414="READY","",TRIM(IF(A414="","missing entity_type; ","")&amp;IF(B414="","missing entity_key; ","")&amp;IF(C414="","missing referrer_order; ","")&amp;IF(E414="","missing referrer_type; ","")&amp;IF(F414="","missing referral_origin_channel; ","")&amp;IF(H414="","missing referrer_name_snapshot; ","")&amp;IF(AND(A414="client",COUNTIF(الزبائن!$A$6:$A$505,B414)=0),"client key not found; ","")&amp;IF(AND(A414="proposed_name",COUNTIF('أسماء مقترحة'!$A$6:$A$505,B414)=0),"proposed_name key not found; ",""))))</f>
        <v/>
      </c>
    </row>
    <row r="415" spans="1:17">
      <c r="A415" s="23"/>
      <c r="B415" s="24"/>
      <c r="C415" s="25"/>
      <c r="D415" s="25"/>
      <c r="E415" s="25"/>
      <c r="F415" s="25"/>
      <c r="G415" s="24"/>
      <c r="H415" s="25"/>
      <c r="I415" s="32"/>
      <c r="J415" s="25"/>
      <c r="K415" s="24"/>
      <c r="L415" s="25"/>
      <c r="M415" s="25"/>
      <c r="N415" s="25"/>
      <c r="O415" s="25"/>
      <c r="P415" s="25" t="str">
        <f>IF(AND(A415="",B415="",H415=""),"",IF(OR(A415="",B415="",C415="",E415="",F415="",H415="",AND(A415="client",COUNTIF(الزبائن!$A$6:$A$505,B415)=0),AND(A415="proposed_name",COUNTIF('أسماء مقترحة'!$A$6:$A$505,B415)=0)),"REVIEW","READY"))</f>
        <v/>
      </c>
      <c r="Q415" s="27" t="str">
        <f>IF(P415="","",IF(P415="READY","",TRIM(IF(A415="","missing entity_type; ","")&amp;IF(B415="","missing entity_key; ","")&amp;IF(C415="","missing referrer_order; ","")&amp;IF(E415="","missing referrer_type; ","")&amp;IF(F415="","missing referral_origin_channel; ","")&amp;IF(H415="","missing referrer_name_snapshot; ","")&amp;IF(AND(A415="client",COUNTIF(الزبائن!$A$6:$A$505,B415)=0),"client key not found; ","")&amp;IF(AND(A415="proposed_name",COUNTIF('أسماء مقترحة'!$A$6:$A$505,B415)=0),"proposed_name key not found; ",""))))</f>
        <v/>
      </c>
    </row>
    <row r="416" spans="1:17">
      <c r="A416" s="23"/>
      <c r="B416" s="24"/>
      <c r="C416" s="25"/>
      <c r="D416" s="25"/>
      <c r="E416" s="25"/>
      <c r="F416" s="25"/>
      <c r="G416" s="24"/>
      <c r="H416" s="25"/>
      <c r="I416" s="32"/>
      <c r="J416" s="25"/>
      <c r="K416" s="24"/>
      <c r="L416" s="25"/>
      <c r="M416" s="25"/>
      <c r="N416" s="25"/>
      <c r="O416" s="25"/>
      <c r="P416" s="25" t="str">
        <f>IF(AND(A416="",B416="",H416=""),"",IF(OR(A416="",B416="",C416="",E416="",F416="",H416="",AND(A416="client",COUNTIF(الزبائن!$A$6:$A$505,B416)=0),AND(A416="proposed_name",COUNTIF('أسماء مقترحة'!$A$6:$A$505,B416)=0)),"REVIEW","READY"))</f>
        <v/>
      </c>
      <c r="Q416" s="27" t="str">
        <f>IF(P416="","",IF(P416="READY","",TRIM(IF(A416="","missing entity_type; ","")&amp;IF(B416="","missing entity_key; ","")&amp;IF(C416="","missing referrer_order; ","")&amp;IF(E416="","missing referrer_type; ","")&amp;IF(F416="","missing referral_origin_channel; ","")&amp;IF(H416="","missing referrer_name_snapshot; ","")&amp;IF(AND(A416="client",COUNTIF(الزبائن!$A$6:$A$505,B416)=0),"client key not found; ","")&amp;IF(AND(A416="proposed_name",COUNTIF('أسماء مقترحة'!$A$6:$A$505,B416)=0),"proposed_name key not found; ",""))))</f>
        <v/>
      </c>
    </row>
    <row r="417" spans="1:17">
      <c r="A417" s="23"/>
      <c r="B417" s="24"/>
      <c r="C417" s="25"/>
      <c r="D417" s="25"/>
      <c r="E417" s="25"/>
      <c r="F417" s="25"/>
      <c r="G417" s="24"/>
      <c r="H417" s="25"/>
      <c r="I417" s="32"/>
      <c r="J417" s="25"/>
      <c r="K417" s="24"/>
      <c r="L417" s="25"/>
      <c r="M417" s="25"/>
      <c r="N417" s="25"/>
      <c r="O417" s="25"/>
      <c r="P417" s="25" t="str">
        <f>IF(AND(A417="",B417="",H417=""),"",IF(OR(A417="",B417="",C417="",E417="",F417="",H417="",AND(A417="client",COUNTIF(الزبائن!$A$6:$A$505,B417)=0),AND(A417="proposed_name",COUNTIF('أسماء مقترحة'!$A$6:$A$505,B417)=0)),"REVIEW","READY"))</f>
        <v/>
      </c>
      <c r="Q417" s="27" t="str">
        <f>IF(P417="","",IF(P417="READY","",TRIM(IF(A417="","missing entity_type; ","")&amp;IF(B417="","missing entity_key; ","")&amp;IF(C417="","missing referrer_order; ","")&amp;IF(E417="","missing referrer_type; ","")&amp;IF(F417="","missing referral_origin_channel; ","")&amp;IF(H417="","missing referrer_name_snapshot; ","")&amp;IF(AND(A417="client",COUNTIF(الزبائن!$A$6:$A$505,B417)=0),"client key not found; ","")&amp;IF(AND(A417="proposed_name",COUNTIF('أسماء مقترحة'!$A$6:$A$505,B417)=0),"proposed_name key not found; ",""))))</f>
        <v/>
      </c>
    </row>
    <row r="418" spans="1:17">
      <c r="A418" s="23"/>
      <c r="B418" s="24"/>
      <c r="C418" s="25"/>
      <c r="D418" s="25"/>
      <c r="E418" s="25"/>
      <c r="F418" s="25"/>
      <c r="G418" s="24"/>
      <c r="H418" s="25"/>
      <c r="I418" s="32"/>
      <c r="J418" s="25"/>
      <c r="K418" s="24"/>
      <c r="L418" s="25"/>
      <c r="M418" s="25"/>
      <c r="N418" s="25"/>
      <c r="O418" s="25"/>
      <c r="P418" s="25" t="str">
        <f>IF(AND(A418="",B418="",H418=""),"",IF(OR(A418="",B418="",C418="",E418="",F418="",H418="",AND(A418="client",COUNTIF(الزبائن!$A$6:$A$505,B418)=0),AND(A418="proposed_name",COUNTIF('أسماء مقترحة'!$A$6:$A$505,B418)=0)),"REVIEW","READY"))</f>
        <v/>
      </c>
      <c r="Q418" s="27" t="str">
        <f>IF(P418="","",IF(P418="READY","",TRIM(IF(A418="","missing entity_type; ","")&amp;IF(B418="","missing entity_key; ","")&amp;IF(C418="","missing referrer_order; ","")&amp;IF(E418="","missing referrer_type; ","")&amp;IF(F418="","missing referral_origin_channel; ","")&amp;IF(H418="","missing referrer_name_snapshot; ","")&amp;IF(AND(A418="client",COUNTIF(الزبائن!$A$6:$A$505,B418)=0),"client key not found; ","")&amp;IF(AND(A418="proposed_name",COUNTIF('أسماء مقترحة'!$A$6:$A$505,B418)=0),"proposed_name key not found; ",""))))</f>
        <v/>
      </c>
    </row>
    <row r="419" spans="1:17">
      <c r="A419" s="23"/>
      <c r="B419" s="24"/>
      <c r="C419" s="25"/>
      <c r="D419" s="25"/>
      <c r="E419" s="25"/>
      <c r="F419" s="25"/>
      <c r="G419" s="24"/>
      <c r="H419" s="25"/>
      <c r="I419" s="32"/>
      <c r="J419" s="25"/>
      <c r="K419" s="24"/>
      <c r="L419" s="25"/>
      <c r="M419" s="25"/>
      <c r="N419" s="25"/>
      <c r="O419" s="25"/>
      <c r="P419" s="25" t="str">
        <f>IF(AND(A419="",B419="",H419=""),"",IF(OR(A419="",B419="",C419="",E419="",F419="",H419="",AND(A419="client",COUNTIF(الزبائن!$A$6:$A$505,B419)=0),AND(A419="proposed_name",COUNTIF('أسماء مقترحة'!$A$6:$A$505,B419)=0)),"REVIEW","READY"))</f>
        <v/>
      </c>
      <c r="Q419" s="27" t="str">
        <f>IF(P419="","",IF(P419="READY","",TRIM(IF(A419="","missing entity_type; ","")&amp;IF(B419="","missing entity_key; ","")&amp;IF(C419="","missing referrer_order; ","")&amp;IF(E419="","missing referrer_type; ","")&amp;IF(F419="","missing referral_origin_channel; ","")&amp;IF(H419="","missing referrer_name_snapshot; ","")&amp;IF(AND(A419="client",COUNTIF(الزبائن!$A$6:$A$505,B419)=0),"client key not found; ","")&amp;IF(AND(A419="proposed_name",COUNTIF('أسماء مقترحة'!$A$6:$A$505,B419)=0),"proposed_name key not found; ",""))))</f>
        <v/>
      </c>
    </row>
    <row r="420" spans="1:17">
      <c r="A420" s="23"/>
      <c r="B420" s="24"/>
      <c r="C420" s="25"/>
      <c r="D420" s="25"/>
      <c r="E420" s="25"/>
      <c r="F420" s="25"/>
      <c r="G420" s="24"/>
      <c r="H420" s="25"/>
      <c r="I420" s="32"/>
      <c r="J420" s="25"/>
      <c r="K420" s="24"/>
      <c r="L420" s="25"/>
      <c r="M420" s="25"/>
      <c r="N420" s="25"/>
      <c r="O420" s="25"/>
      <c r="P420" s="25" t="str">
        <f>IF(AND(A420="",B420="",H420=""),"",IF(OR(A420="",B420="",C420="",E420="",F420="",H420="",AND(A420="client",COUNTIF(الزبائن!$A$6:$A$505,B420)=0),AND(A420="proposed_name",COUNTIF('أسماء مقترحة'!$A$6:$A$505,B420)=0)),"REVIEW","READY"))</f>
        <v/>
      </c>
      <c r="Q420" s="27" t="str">
        <f>IF(P420="","",IF(P420="READY","",TRIM(IF(A420="","missing entity_type; ","")&amp;IF(B420="","missing entity_key; ","")&amp;IF(C420="","missing referrer_order; ","")&amp;IF(E420="","missing referrer_type; ","")&amp;IF(F420="","missing referral_origin_channel; ","")&amp;IF(H420="","missing referrer_name_snapshot; ","")&amp;IF(AND(A420="client",COUNTIF(الزبائن!$A$6:$A$505,B420)=0),"client key not found; ","")&amp;IF(AND(A420="proposed_name",COUNTIF('أسماء مقترحة'!$A$6:$A$505,B420)=0),"proposed_name key not found; ",""))))</f>
        <v/>
      </c>
    </row>
    <row r="421" spans="1:17">
      <c r="A421" s="23"/>
      <c r="B421" s="24"/>
      <c r="C421" s="25"/>
      <c r="D421" s="25"/>
      <c r="E421" s="25"/>
      <c r="F421" s="25"/>
      <c r="G421" s="24"/>
      <c r="H421" s="25"/>
      <c r="I421" s="32"/>
      <c r="J421" s="25"/>
      <c r="K421" s="24"/>
      <c r="L421" s="25"/>
      <c r="M421" s="25"/>
      <c r="N421" s="25"/>
      <c r="O421" s="25"/>
      <c r="P421" s="25" t="str">
        <f>IF(AND(A421="",B421="",H421=""),"",IF(OR(A421="",B421="",C421="",E421="",F421="",H421="",AND(A421="client",COUNTIF(الزبائن!$A$6:$A$505,B421)=0),AND(A421="proposed_name",COUNTIF('أسماء مقترحة'!$A$6:$A$505,B421)=0)),"REVIEW","READY"))</f>
        <v/>
      </c>
      <c r="Q421" s="27" t="str">
        <f>IF(P421="","",IF(P421="READY","",TRIM(IF(A421="","missing entity_type; ","")&amp;IF(B421="","missing entity_key; ","")&amp;IF(C421="","missing referrer_order; ","")&amp;IF(E421="","missing referrer_type; ","")&amp;IF(F421="","missing referral_origin_channel; ","")&amp;IF(H421="","missing referrer_name_snapshot; ","")&amp;IF(AND(A421="client",COUNTIF(الزبائن!$A$6:$A$505,B421)=0),"client key not found; ","")&amp;IF(AND(A421="proposed_name",COUNTIF('أسماء مقترحة'!$A$6:$A$505,B421)=0),"proposed_name key not found; ",""))))</f>
        <v/>
      </c>
    </row>
    <row r="422" spans="1:17">
      <c r="A422" s="23"/>
      <c r="B422" s="24"/>
      <c r="C422" s="25"/>
      <c r="D422" s="25"/>
      <c r="E422" s="25"/>
      <c r="F422" s="25"/>
      <c r="G422" s="24"/>
      <c r="H422" s="25"/>
      <c r="I422" s="32"/>
      <c r="J422" s="25"/>
      <c r="K422" s="24"/>
      <c r="L422" s="25"/>
      <c r="M422" s="25"/>
      <c r="N422" s="25"/>
      <c r="O422" s="25"/>
      <c r="P422" s="25" t="str">
        <f>IF(AND(A422="",B422="",H422=""),"",IF(OR(A422="",B422="",C422="",E422="",F422="",H422="",AND(A422="client",COUNTIF(الزبائن!$A$6:$A$505,B422)=0),AND(A422="proposed_name",COUNTIF('أسماء مقترحة'!$A$6:$A$505,B422)=0)),"REVIEW","READY"))</f>
        <v/>
      </c>
      <c r="Q422" s="27" t="str">
        <f>IF(P422="","",IF(P422="READY","",TRIM(IF(A422="","missing entity_type; ","")&amp;IF(B422="","missing entity_key; ","")&amp;IF(C422="","missing referrer_order; ","")&amp;IF(E422="","missing referrer_type; ","")&amp;IF(F422="","missing referral_origin_channel; ","")&amp;IF(H422="","missing referrer_name_snapshot; ","")&amp;IF(AND(A422="client",COUNTIF(الزبائن!$A$6:$A$505,B422)=0),"client key not found; ","")&amp;IF(AND(A422="proposed_name",COUNTIF('أسماء مقترحة'!$A$6:$A$505,B422)=0),"proposed_name key not found; ",""))))</f>
        <v/>
      </c>
    </row>
    <row r="423" spans="1:17">
      <c r="A423" s="23"/>
      <c r="B423" s="24"/>
      <c r="C423" s="25"/>
      <c r="D423" s="25"/>
      <c r="E423" s="25"/>
      <c r="F423" s="25"/>
      <c r="G423" s="24"/>
      <c r="H423" s="25"/>
      <c r="I423" s="32"/>
      <c r="J423" s="25"/>
      <c r="K423" s="24"/>
      <c r="L423" s="25"/>
      <c r="M423" s="25"/>
      <c r="N423" s="25"/>
      <c r="O423" s="25"/>
      <c r="P423" s="25" t="str">
        <f>IF(AND(A423="",B423="",H423=""),"",IF(OR(A423="",B423="",C423="",E423="",F423="",H423="",AND(A423="client",COUNTIF(الزبائن!$A$6:$A$505,B423)=0),AND(A423="proposed_name",COUNTIF('أسماء مقترحة'!$A$6:$A$505,B423)=0)),"REVIEW","READY"))</f>
        <v/>
      </c>
      <c r="Q423" s="27" t="str">
        <f>IF(P423="","",IF(P423="READY","",TRIM(IF(A423="","missing entity_type; ","")&amp;IF(B423="","missing entity_key; ","")&amp;IF(C423="","missing referrer_order; ","")&amp;IF(E423="","missing referrer_type; ","")&amp;IF(F423="","missing referral_origin_channel; ","")&amp;IF(H423="","missing referrer_name_snapshot; ","")&amp;IF(AND(A423="client",COUNTIF(الزبائن!$A$6:$A$505,B423)=0),"client key not found; ","")&amp;IF(AND(A423="proposed_name",COUNTIF('أسماء مقترحة'!$A$6:$A$505,B423)=0),"proposed_name key not found; ",""))))</f>
        <v/>
      </c>
    </row>
    <row r="424" spans="1:17">
      <c r="A424" s="23"/>
      <c r="B424" s="24"/>
      <c r="C424" s="25"/>
      <c r="D424" s="25"/>
      <c r="E424" s="25"/>
      <c r="F424" s="25"/>
      <c r="G424" s="24"/>
      <c r="H424" s="25"/>
      <c r="I424" s="32"/>
      <c r="J424" s="25"/>
      <c r="K424" s="24"/>
      <c r="L424" s="25"/>
      <c r="M424" s="25"/>
      <c r="N424" s="25"/>
      <c r="O424" s="25"/>
      <c r="P424" s="25" t="str">
        <f>IF(AND(A424="",B424="",H424=""),"",IF(OR(A424="",B424="",C424="",E424="",F424="",H424="",AND(A424="client",COUNTIF(الزبائن!$A$6:$A$505,B424)=0),AND(A424="proposed_name",COUNTIF('أسماء مقترحة'!$A$6:$A$505,B424)=0)),"REVIEW","READY"))</f>
        <v/>
      </c>
      <c r="Q424" s="27" t="str">
        <f>IF(P424="","",IF(P424="READY","",TRIM(IF(A424="","missing entity_type; ","")&amp;IF(B424="","missing entity_key; ","")&amp;IF(C424="","missing referrer_order; ","")&amp;IF(E424="","missing referrer_type; ","")&amp;IF(F424="","missing referral_origin_channel; ","")&amp;IF(H424="","missing referrer_name_snapshot; ","")&amp;IF(AND(A424="client",COUNTIF(الزبائن!$A$6:$A$505,B424)=0),"client key not found; ","")&amp;IF(AND(A424="proposed_name",COUNTIF('أسماء مقترحة'!$A$6:$A$505,B424)=0),"proposed_name key not found; ",""))))</f>
        <v/>
      </c>
    </row>
    <row r="425" spans="1:17">
      <c r="A425" s="23"/>
      <c r="B425" s="24"/>
      <c r="C425" s="25"/>
      <c r="D425" s="25"/>
      <c r="E425" s="25"/>
      <c r="F425" s="25"/>
      <c r="G425" s="24"/>
      <c r="H425" s="25"/>
      <c r="I425" s="32"/>
      <c r="J425" s="25"/>
      <c r="K425" s="24"/>
      <c r="L425" s="25"/>
      <c r="M425" s="25"/>
      <c r="N425" s="25"/>
      <c r="O425" s="25"/>
      <c r="P425" s="25" t="str">
        <f>IF(AND(A425="",B425="",H425=""),"",IF(OR(A425="",B425="",C425="",E425="",F425="",H425="",AND(A425="client",COUNTIF(الزبائن!$A$6:$A$505,B425)=0),AND(A425="proposed_name",COUNTIF('أسماء مقترحة'!$A$6:$A$505,B425)=0)),"REVIEW","READY"))</f>
        <v/>
      </c>
      <c r="Q425" s="27" t="str">
        <f>IF(P425="","",IF(P425="READY","",TRIM(IF(A425="","missing entity_type; ","")&amp;IF(B425="","missing entity_key; ","")&amp;IF(C425="","missing referrer_order; ","")&amp;IF(E425="","missing referrer_type; ","")&amp;IF(F425="","missing referral_origin_channel; ","")&amp;IF(H425="","missing referrer_name_snapshot; ","")&amp;IF(AND(A425="client",COUNTIF(الزبائن!$A$6:$A$505,B425)=0),"client key not found; ","")&amp;IF(AND(A425="proposed_name",COUNTIF('أسماء مقترحة'!$A$6:$A$505,B425)=0),"proposed_name key not found; ",""))))</f>
        <v/>
      </c>
    </row>
    <row r="426" spans="1:17">
      <c r="A426" s="23"/>
      <c r="B426" s="24"/>
      <c r="C426" s="25"/>
      <c r="D426" s="25"/>
      <c r="E426" s="25"/>
      <c r="F426" s="25"/>
      <c r="G426" s="24"/>
      <c r="H426" s="25"/>
      <c r="I426" s="32"/>
      <c r="J426" s="25"/>
      <c r="K426" s="24"/>
      <c r="L426" s="25"/>
      <c r="M426" s="25"/>
      <c r="N426" s="25"/>
      <c r="O426" s="25"/>
      <c r="P426" s="25" t="str">
        <f>IF(AND(A426="",B426="",H426=""),"",IF(OR(A426="",B426="",C426="",E426="",F426="",H426="",AND(A426="client",COUNTIF(الزبائن!$A$6:$A$505,B426)=0),AND(A426="proposed_name",COUNTIF('أسماء مقترحة'!$A$6:$A$505,B426)=0)),"REVIEW","READY"))</f>
        <v/>
      </c>
      <c r="Q426" s="27" t="str">
        <f>IF(P426="","",IF(P426="READY","",TRIM(IF(A426="","missing entity_type; ","")&amp;IF(B426="","missing entity_key; ","")&amp;IF(C426="","missing referrer_order; ","")&amp;IF(E426="","missing referrer_type; ","")&amp;IF(F426="","missing referral_origin_channel; ","")&amp;IF(H426="","missing referrer_name_snapshot; ","")&amp;IF(AND(A426="client",COUNTIF(الزبائن!$A$6:$A$505,B426)=0),"client key not found; ","")&amp;IF(AND(A426="proposed_name",COUNTIF('أسماء مقترحة'!$A$6:$A$505,B426)=0),"proposed_name key not found; ",""))))</f>
        <v/>
      </c>
    </row>
    <row r="427" spans="1:17">
      <c r="A427" s="23"/>
      <c r="B427" s="24"/>
      <c r="C427" s="25"/>
      <c r="D427" s="25"/>
      <c r="E427" s="25"/>
      <c r="F427" s="25"/>
      <c r="G427" s="24"/>
      <c r="H427" s="25"/>
      <c r="I427" s="32"/>
      <c r="J427" s="25"/>
      <c r="K427" s="24"/>
      <c r="L427" s="25"/>
      <c r="M427" s="25"/>
      <c r="N427" s="25"/>
      <c r="O427" s="25"/>
      <c r="P427" s="25" t="str">
        <f>IF(AND(A427="",B427="",H427=""),"",IF(OR(A427="",B427="",C427="",E427="",F427="",H427="",AND(A427="client",COUNTIF(الزبائن!$A$6:$A$505,B427)=0),AND(A427="proposed_name",COUNTIF('أسماء مقترحة'!$A$6:$A$505,B427)=0)),"REVIEW","READY"))</f>
        <v/>
      </c>
      <c r="Q427" s="27" t="str">
        <f>IF(P427="","",IF(P427="READY","",TRIM(IF(A427="","missing entity_type; ","")&amp;IF(B427="","missing entity_key; ","")&amp;IF(C427="","missing referrer_order; ","")&amp;IF(E427="","missing referrer_type; ","")&amp;IF(F427="","missing referral_origin_channel; ","")&amp;IF(H427="","missing referrer_name_snapshot; ","")&amp;IF(AND(A427="client",COUNTIF(الزبائن!$A$6:$A$505,B427)=0),"client key not found; ","")&amp;IF(AND(A427="proposed_name",COUNTIF('أسماء مقترحة'!$A$6:$A$505,B427)=0),"proposed_name key not found; ",""))))</f>
        <v/>
      </c>
    </row>
    <row r="428" spans="1:17">
      <c r="A428" s="23"/>
      <c r="B428" s="24"/>
      <c r="C428" s="25"/>
      <c r="D428" s="25"/>
      <c r="E428" s="25"/>
      <c r="F428" s="25"/>
      <c r="G428" s="24"/>
      <c r="H428" s="25"/>
      <c r="I428" s="32"/>
      <c r="J428" s="25"/>
      <c r="K428" s="24"/>
      <c r="L428" s="25"/>
      <c r="M428" s="25"/>
      <c r="N428" s="25"/>
      <c r="O428" s="25"/>
      <c r="P428" s="25" t="str">
        <f>IF(AND(A428="",B428="",H428=""),"",IF(OR(A428="",B428="",C428="",E428="",F428="",H428="",AND(A428="client",COUNTIF(الزبائن!$A$6:$A$505,B428)=0),AND(A428="proposed_name",COUNTIF('أسماء مقترحة'!$A$6:$A$505,B428)=0)),"REVIEW","READY"))</f>
        <v/>
      </c>
      <c r="Q428" s="27" t="str">
        <f>IF(P428="","",IF(P428="READY","",TRIM(IF(A428="","missing entity_type; ","")&amp;IF(B428="","missing entity_key; ","")&amp;IF(C428="","missing referrer_order; ","")&amp;IF(E428="","missing referrer_type; ","")&amp;IF(F428="","missing referral_origin_channel; ","")&amp;IF(H428="","missing referrer_name_snapshot; ","")&amp;IF(AND(A428="client",COUNTIF(الزبائن!$A$6:$A$505,B428)=0),"client key not found; ","")&amp;IF(AND(A428="proposed_name",COUNTIF('أسماء مقترحة'!$A$6:$A$505,B428)=0),"proposed_name key not found; ",""))))</f>
        <v/>
      </c>
    </row>
    <row r="429" spans="1:17">
      <c r="A429" s="23"/>
      <c r="B429" s="24"/>
      <c r="C429" s="25"/>
      <c r="D429" s="25"/>
      <c r="E429" s="25"/>
      <c r="F429" s="25"/>
      <c r="G429" s="24"/>
      <c r="H429" s="25"/>
      <c r="I429" s="32"/>
      <c r="J429" s="25"/>
      <c r="K429" s="24"/>
      <c r="L429" s="25"/>
      <c r="M429" s="25"/>
      <c r="N429" s="25"/>
      <c r="O429" s="25"/>
      <c r="P429" s="25" t="str">
        <f>IF(AND(A429="",B429="",H429=""),"",IF(OR(A429="",B429="",C429="",E429="",F429="",H429="",AND(A429="client",COUNTIF(الزبائن!$A$6:$A$505,B429)=0),AND(A429="proposed_name",COUNTIF('أسماء مقترحة'!$A$6:$A$505,B429)=0)),"REVIEW","READY"))</f>
        <v/>
      </c>
      <c r="Q429" s="27" t="str">
        <f>IF(P429="","",IF(P429="READY","",TRIM(IF(A429="","missing entity_type; ","")&amp;IF(B429="","missing entity_key; ","")&amp;IF(C429="","missing referrer_order; ","")&amp;IF(E429="","missing referrer_type; ","")&amp;IF(F429="","missing referral_origin_channel; ","")&amp;IF(H429="","missing referrer_name_snapshot; ","")&amp;IF(AND(A429="client",COUNTIF(الزبائن!$A$6:$A$505,B429)=0),"client key not found; ","")&amp;IF(AND(A429="proposed_name",COUNTIF('أسماء مقترحة'!$A$6:$A$505,B429)=0),"proposed_name key not found; ",""))))</f>
        <v/>
      </c>
    </row>
    <row r="430" spans="1:17">
      <c r="A430" s="23"/>
      <c r="B430" s="24"/>
      <c r="C430" s="25"/>
      <c r="D430" s="25"/>
      <c r="E430" s="25"/>
      <c r="F430" s="25"/>
      <c r="G430" s="24"/>
      <c r="H430" s="25"/>
      <c r="I430" s="32"/>
      <c r="J430" s="25"/>
      <c r="K430" s="24"/>
      <c r="L430" s="25"/>
      <c r="M430" s="25"/>
      <c r="N430" s="25"/>
      <c r="O430" s="25"/>
      <c r="P430" s="25" t="str">
        <f>IF(AND(A430="",B430="",H430=""),"",IF(OR(A430="",B430="",C430="",E430="",F430="",H430="",AND(A430="client",COUNTIF(الزبائن!$A$6:$A$505,B430)=0),AND(A430="proposed_name",COUNTIF('أسماء مقترحة'!$A$6:$A$505,B430)=0)),"REVIEW","READY"))</f>
        <v/>
      </c>
      <c r="Q430" s="27" t="str">
        <f>IF(P430="","",IF(P430="READY","",TRIM(IF(A430="","missing entity_type; ","")&amp;IF(B430="","missing entity_key; ","")&amp;IF(C430="","missing referrer_order; ","")&amp;IF(E430="","missing referrer_type; ","")&amp;IF(F430="","missing referral_origin_channel; ","")&amp;IF(H430="","missing referrer_name_snapshot; ","")&amp;IF(AND(A430="client",COUNTIF(الزبائن!$A$6:$A$505,B430)=0),"client key not found; ","")&amp;IF(AND(A430="proposed_name",COUNTIF('أسماء مقترحة'!$A$6:$A$505,B430)=0),"proposed_name key not found; ",""))))</f>
        <v/>
      </c>
    </row>
    <row r="431" spans="1:17">
      <c r="A431" s="23"/>
      <c r="B431" s="24"/>
      <c r="C431" s="25"/>
      <c r="D431" s="25"/>
      <c r="E431" s="25"/>
      <c r="F431" s="25"/>
      <c r="G431" s="24"/>
      <c r="H431" s="25"/>
      <c r="I431" s="32"/>
      <c r="J431" s="25"/>
      <c r="K431" s="24"/>
      <c r="L431" s="25"/>
      <c r="M431" s="25"/>
      <c r="N431" s="25"/>
      <c r="O431" s="25"/>
      <c r="P431" s="25" t="str">
        <f>IF(AND(A431="",B431="",H431=""),"",IF(OR(A431="",B431="",C431="",E431="",F431="",H431="",AND(A431="client",COUNTIF(الزبائن!$A$6:$A$505,B431)=0),AND(A431="proposed_name",COUNTIF('أسماء مقترحة'!$A$6:$A$505,B431)=0)),"REVIEW","READY"))</f>
        <v/>
      </c>
      <c r="Q431" s="27" t="str">
        <f>IF(P431="","",IF(P431="READY","",TRIM(IF(A431="","missing entity_type; ","")&amp;IF(B431="","missing entity_key; ","")&amp;IF(C431="","missing referrer_order; ","")&amp;IF(E431="","missing referrer_type; ","")&amp;IF(F431="","missing referral_origin_channel; ","")&amp;IF(H431="","missing referrer_name_snapshot; ","")&amp;IF(AND(A431="client",COUNTIF(الزبائن!$A$6:$A$505,B431)=0),"client key not found; ","")&amp;IF(AND(A431="proposed_name",COUNTIF('أسماء مقترحة'!$A$6:$A$505,B431)=0),"proposed_name key not found; ",""))))</f>
        <v/>
      </c>
    </row>
    <row r="432" spans="1:17">
      <c r="A432" s="23"/>
      <c r="B432" s="24"/>
      <c r="C432" s="25"/>
      <c r="D432" s="25"/>
      <c r="E432" s="25"/>
      <c r="F432" s="25"/>
      <c r="G432" s="24"/>
      <c r="H432" s="25"/>
      <c r="I432" s="32"/>
      <c r="J432" s="25"/>
      <c r="K432" s="24"/>
      <c r="L432" s="25"/>
      <c r="M432" s="25"/>
      <c r="N432" s="25"/>
      <c r="O432" s="25"/>
      <c r="P432" s="25" t="str">
        <f>IF(AND(A432="",B432="",H432=""),"",IF(OR(A432="",B432="",C432="",E432="",F432="",H432="",AND(A432="client",COUNTIF(الزبائن!$A$6:$A$505,B432)=0),AND(A432="proposed_name",COUNTIF('أسماء مقترحة'!$A$6:$A$505,B432)=0)),"REVIEW","READY"))</f>
        <v/>
      </c>
      <c r="Q432" s="27" t="str">
        <f>IF(P432="","",IF(P432="READY","",TRIM(IF(A432="","missing entity_type; ","")&amp;IF(B432="","missing entity_key; ","")&amp;IF(C432="","missing referrer_order; ","")&amp;IF(E432="","missing referrer_type; ","")&amp;IF(F432="","missing referral_origin_channel; ","")&amp;IF(H432="","missing referrer_name_snapshot; ","")&amp;IF(AND(A432="client",COUNTIF(الزبائن!$A$6:$A$505,B432)=0),"client key not found; ","")&amp;IF(AND(A432="proposed_name",COUNTIF('أسماء مقترحة'!$A$6:$A$505,B432)=0),"proposed_name key not found; ",""))))</f>
        <v/>
      </c>
    </row>
    <row r="433" spans="1:17">
      <c r="A433" s="23"/>
      <c r="B433" s="24"/>
      <c r="C433" s="25"/>
      <c r="D433" s="25"/>
      <c r="E433" s="25"/>
      <c r="F433" s="25"/>
      <c r="G433" s="24"/>
      <c r="H433" s="25"/>
      <c r="I433" s="32"/>
      <c r="J433" s="25"/>
      <c r="K433" s="24"/>
      <c r="L433" s="25"/>
      <c r="M433" s="25"/>
      <c r="N433" s="25"/>
      <c r="O433" s="25"/>
      <c r="P433" s="25" t="str">
        <f>IF(AND(A433="",B433="",H433=""),"",IF(OR(A433="",B433="",C433="",E433="",F433="",H433="",AND(A433="client",COUNTIF(الزبائن!$A$6:$A$505,B433)=0),AND(A433="proposed_name",COUNTIF('أسماء مقترحة'!$A$6:$A$505,B433)=0)),"REVIEW","READY"))</f>
        <v/>
      </c>
      <c r="Q433" s="27" t="str">
        <f>IF(P433="","",IF(P433="READY","",TRIM(IF(A433="","missing entity_type; ","")&amp;IF(B433="","missing entity_key; ","")&amp;IF(C433="","missing referrer_order; ","")&amp;IF(E433="","missing referrer_type; ","")&amp;IF(F433="","missing referral_origin_channel; ","")&amp;IF(H433="","missing referrer_name_snapshot; ","")&amp;IF(AND(A433="client",COUNTIF(الزبائن!$A$6:$A$505,B433)=0),"client key not found; ","")&amp;IF(AND(A433="proposed_name",COUNTIF('أسماء مقترحة'!$A$6:$A$505,B433)=0),"proposed_name key not found; ",""))))</f>
        <v/>
      </c>
    </row>
    <row r="434" spans="1:17">
      <c r="A434" s="23"/>
      <c r="B434" s="24"/>
      <c r="C434" s="25"/>
      <c r="D434" s="25"/>
      <c r="E434" s="25"/>
      <c r="F434" s="25"/>
      <c r="G434" s="24"/>
      <c r="H434" s="25"/>
      <c r="I434" s="32"/>
      <c r="J434" s="25"/>
      <c r="K434" s="24"/>
      <c r="L434" s="25"/>
      <c r="M434" s="25"/>
      <c r="N434" s="25"/>
      <c r="O434" s="25"/>
      <c r="P434" s="25" t="str">
        <f>IF(AND(A434="",B434="",H434=""),"",IF(OR(A434="",B434="",C434="",E434="",F434="",H434="",AND(A434="client",COUNTIF(الزبائن!$A$6:$A$505,B434)=0),AND(A434="proposed_name",COUNTIF('أسماء مقترحة'!$A$6:$A$505,B434)=0)),"REVIEW","READY"))</f>
        <v/>
      </c>
      <c r="Q434" s="27" t="str">
        <f>IF(P434="","",IF(P434="READY","",TRIM(IF(A434="","missing entity_type; ","")&amp;IF(B434="","missing entity_key; ","")&amp;IF(C434="","missing referrer_order; ","")&amp;IF(E434="","missing referrer_type; ","")&amp;IF(F434="","missing referral_origin_channel; ","")&amp;IF(H434="","missing referrer_name_snapshot; ","")&amp;IF(AND(A434="client",COUNTIF(الزبائن!$A$6:$A$505,B434)=0),"client key not found; ","")&amp;IF(AND(A434="proposed_name",COUNTIF('أسماء مقترحة'!$A$6:$A$505,B434)=0),"proposed_name key not found; ",""))))</f>
        <v/>
      </c>
    </row>
    <row r="435" spans="1:17">
      <c r="A435" s="23"/>
      <c r="B435" s="24"/>
      <c r="C435" s="25"/>
      <c r="D435" s="25"/>
      <c r="E435" s="25"/>
      <c r="F435" s="25"/>
      <c r="G435" s="24"/>
      <c r="H435" s="25"/>
      <c r="I435" s="32"/>
      <c r="J435" s="25"/>
      <c r="K435" s="24"/>
      <c r="L435" s="25"/>
      <c r="M435" s="25"/>
      <c r="N435" s="25"/>
      <c r="O435" s="25"/>
      <c r="P435" s="25" t="str">
        <f>IF(AND(A435="",B435="",H435=""),"",IF(OR(A435="",B435="",C435="",E435="",F435="",H435="",AND(A435="client",COUNTIF(الزبائن!$A$6:$A$505,B435)=0),AND(A435="proposed_name",COUNTIF('أسماء مقترحة'!$A$6:$A$505,B435)=0)),"REVIEW","READY"))</f>
        <v/>
      </c>
      <c r="Q435" s="27" t="str">
        <f>IF(P435="","",IF(P435="READY","",TRIM(IF(A435="","missing entity_type; ","")&amp;IF(B435="","missing entity_key; ","")&amp;IF(C435="","missing referrer_order; ","")&amp;IF(E435="","missing referrer_type; ","")&amp;IF(F435="","missing referral_origin_channel; ","")&amp;IF(H435="","missing referrer_name_snapshot; ","")&amp;IF(AND(A435="client",COUNTIF(الزبائن!$A$6:$A$505,B435)=0),"client key not found; ","")&amp;IF(AND(A435="proposed_name",COUNTIF('أسماء مقترحة'!$A$6:$A$505,B435)=0),"proposed_name key not found; ",""))))</f>
        <v/>
      </c>
    </row>
    <row r="436" spans="1:17">
      <c r="A436" s="23"/>
      <c r="B436" s="24"/>
      <c r="C436" s="25"/>
      <c r="D436" s="25"/>
      <c r="E436" s="25"/>
      <c r="F436" s="25"/>
      <c r="G436" s="24"/>
      <c r="H436" s="25"/>
      <c r="I436" s="32"/>
      <c r="J436" s="25"/>
      <c r="K436" s="24"/>
      <c r="L436" s="25"/>
      <c r="M436" s="25"/>
      <c r="N436" s="25"/>
      <c r="O436" s="25"/>
      <c r="P436" s="25" t="str">
        <f>IF(AND(A436="",B436="",H436=""),"",IF(OR(A436="",B436="",C436="",E436="",F436="",H436="",AND(A436="client",COUNTIF(الزبائن!$A$6:$A$505,B436)=0),AND(A436="proposed_name",COUNTIF('أسماء مقترحة'!$A$6:$A$505,B436)=0)),"REVIEW","READY"))</f>
        <v/>
      </c>
      <c r="Q436" s="27" t="str">
        <f>IF(P436="","",IF(P436="READY","",TRIM(IF(A436="","missing entity_type; ","")&amp;IF(B436="","missing entity_key; ","")&amp;IF(C436="","missing referrer_order; ","")&amp;IF(E436="","missing referrer_type; ","")&amp;IF(F436="","missing referral_origin_channel; ","")&amp;IF(H436="","missing referrer_name_snapshot; ","")&amp;IF(AND(A436="client",COUNTIF(الزبائن!$A$6:$A$505,B436)=0),"client key not found; ","")&amp;IF(AND(A436="proposed_name",COUNTIF('أسماء مقترحة'!$A$6:$A$505,B436)=0),"proposed_name key not found; ",""))))</f>
        <v/>
      </c>
    </row>
    <row r="437" spans="1:17">
      <c r="A437" s="23"/>
      <c r="B437" s="24"/>
      <c r="C437" s="25"/>
      <c r="D437" s="25"/>
      <c r="E437" s="25"/>
      <c r="F437" s="25"/>
      <c r="G437" s="24"/>
      <c r="H437" s="25"/>
      <c r="I437" s="32"/>
      <c r="J437" s="25"/>
      <c r="K437" s="24"/>
      <c r="L437" s="25"/>
      <c r="M437" s="25"/>
      <c r="N437" s="25"/>
      <c r="O437" s="25"/>
      <c r="P437" s="25" t="str">
        <f>IF(AND(A437="",B437="",H437=""),"",IF(OR(A437="",B437="",C437="",E437="",F437="",H437="",AND(A437="client",COUNTIF(الزبائن!$A$6:$A$505,B437)=0),AND(A437="proposed_name",COUNTIF('أسماء مقترحة'!$A$6:$A$505,B437)=0)),"REVIEW","READY"))</f>
        <v/>
      </c>
      <c r="Q437" s="27" t="str">
        <f>IF(P437="","",IF(P437="READY","",TRIM(IF(A437="","missing entity_type; ","")&amp;IF(B437="","missing entity_key; ","")&amp;IF(C437="","missing referrer_order; ","")&amp;IF(E437="","missing referrer_type; ","")&amp;IF(F437="","missing referral_origin_channel; ","")&amp;IF(H437="","missing referrer_name_snapshot; ","")&amp;IF(AND(A437="client",COUNTIF(الزبائن!$A$6:$A$505,B437)=0),"client key not found; ","")&amp;IF(AND(A437="proposed_name",COUNTIF('أسماء مقترحة'!$A$6:$A$505,B437)=0),"proposed_name key not found; ",""))))</f>
        <v/>
      </c>
    </row>
    <row r="438" spans="1:17">
      <c r="A438" s="23"/>
      <c r="B438" s="24"/>
      <c r="C438" s="25"/>
      <c r="D438" s="25"/>
      <c r="E438" s="25"/>
      <c r="F438" s="25"/>
      <c r="G438" s="24"/>
      <c r="H438" s="25"/>
      <c r="I438" s="32"/>
      <c r="J438" s="25"/>
      <c r="K438" s="24"/>
      <c r="L438" s="25"/>
      <c r="M438" s="25"/>
      <c r="N438" s="25"/>
      <c r="O438" s="25"/>
      <c r="P438" s="25" t="str">
        <f>IF(AND(A438="",B438="",H438=""),"",IF(OR(A438="",B438="",C438="",E438="",F438="",H438="",AND(A438="client",COUNTIF(الزبائن!$A$6:$A$505,B438)=0),AND(A438="proposed_name",COUNTIF('أسماء مقترحة'!$A$6:$A$505,B438)=0)),"REVIEW","READY"))</f>
        <v/>
      </c>
      <c r="Q438" s="27" t="str">
        <f>IF(P438="","",IF(P438="READY","",TRIM(IF(A438="","missing entity_type; ","")&amp;IF(B438="","missing entity_key; ","")&amp;IF(C438="","missing referrer_order; ","")&amp;IF(E438="","missing referrer_type; ","")&amp;IF(F438="","missing referral_origin_channel; ","")&amp;IF(H438="","missing referrer_name_snapshot; ","")&amp;IF(AND(A438="client",COUNTIF(الزبائن!$A$6:$A$505,B438)=0),"client key not found; ","")&amp;IF(AND(A438="proposed_name",COUNTIF('أسماء مقترحة'!$A$6:$A$505,B438)=0),"proposed_name key not found; ",""))))</f>
        <v/>
      </c>
    </row>
    <row r="439" spans="1:17">
      <c r="A439" s="23"/>
      <c r="B439" s="24"/>
      <c r="C439" s="25"/>
      <c r="D439" s="25"/>
      <c r="E439" s="25"/>
      <c r="F439" s="25"/>
      <c r="G439" s="24"/>
      <c r="H439" s="25"/>
      <c r="I439" s="32"/>
      <c r="J439" s="25"/>
      <c r="K439" s="24"/>
      <c r="L439" s="25"/>
      <c r="M439" s="25"/>
      <c r="N439" s="25"/>
      <c r="O439" s="25"/>
      <c r="P439" s="25" t="str">
        <f>IF(AND(A439="",B439="",H439=""),"",IF(OR(A439="",B439="",C439="",E439="",F439="",H439="",AND(A439="client",COUNTIF(الزبائن!$A$6:$A$505,B439)=0),AND(A439="proposed_name",COUNTIF('أسماء مقترحة'!$A$6:$A$505,B439)=0)),"REVIEW","READY"))</f>
        <v/>
      </c>
      <c r="Q439" s="27" t="str">
        <f>IF(P439="","",IF(P439="READY","",TRIM(IF(A439="","missing entity_type; ","")&amp;IF(B439="","missing entity_key; ","")&amp;IF(C439="","missing referrer_order; ","")&amp;IF(E439="","missing referrer_type; ","")&amp;IF(F439="","missing referral_origin_channel; ","")&amp;IF(H439="","missing referrer_name_snapshot; ","")&amp;IF(AND(A439="client",COUNTIF(الزبائن!$A$6:$A$505,B439)=0),"client key not found; ","")&amp;IF(AND(A439="proposed_name",COUNTIF('أسماء مقترحة'!$A$6:$A$505,B439)=0),"proposed_name key not found; ",""))))</f>
        <v/>
      </c>
    </row>
    <row r="440" spans="1:17">
      <c r="A440" s="23"/>
      <c r="B440" s="24"/>
      <c r="C440" s="25"/>
      <c r="D440" s="25"/>
      <c r="E440" s="25"/>
      <c r="F440" s="25"/>
      <c r="G440" s="24"/>
      <c r="H440" s="25"/>
      <c r="I440" s="32"/>
      <c r="J440" s="25"/>
      <c r="K440" s="24"/>
      <c r="L440" s="25"/>
      <c r="M440" s="25"/>
      <c r="N440" s="25"/>
      <c r="O440" s="25"/>
      <c r="P440" s="25" t="str">
        <f>IF(AND(A440="",B440="",H440=""),"",IF(OR(A440="",B440="",C440="",E440="",F440="",H440="",AND(A440="client",COUNTIF(الزبائن!$A$6:$A$505,B440)=0),AND(A440="proposed_name",COUNTIF('أسماء مقترحة'!$A$6:$A$505,B440)=0)),"REVIEW","READY"))</f>
        <v/>
      </c>
      <c r="Q440" s="27" t="str">
        <f>IF(P440="","",IF(P440="READY","",TRIM(IF(A440="","missing entity_type; ","")&amp;IF(B440="","missing entity_key; ","")&amp;IF(C440="","missing referrer_order; ","")&amp;IF(E440="","missing referrer_type; ","")&amp;IF(F440="","missing referral_origin_channel; ","")&amp;IF(H440="","missing referrer_name_snapshot; ","")&amp;IF(AND(A440="client",COUNTIF(الزبائن!$A$6:$A$505,B440)=0),"client key not found; ","")&amp;IF(AND(A440="proposed_name",COUNTIF('أسماء مقترحة'!$A$6:$A$505,B440)=0),"proposed_name key not found; ",""))))</f>
        <v/>
      </c>
    </row>
    <row r="441" spans="1:17">
      <c r="A441" s="23"/>
      <c r="B441" s="24"/>
      <c r="C441" s="25"/>
      <c r="D441" s="25"/>
      <c r="E441" s="25"/>
      <c r="F441" s="25"/>
      <c r="G441" s="24"/>
      <c r="H441" s="25"/>
      <c r="I441" s="32"/>
      <c r="J441" s="25"/>
      <c r="K441" s="24"/>
      <c r="L441" s="25"/>
      <c r="M441" s="25"/>
      <c r="N441" s="25"/>
      <c r="O441" s="25"/>
      <c r="P441" s="25" t="str">
        <f>IF(AND(A441="",B441="",H441=""),"",IF(OR(A441="",B441="",C441="",E441="",F441="",H441="",AND(A441="client",COUNTIF(الزبائن!$A$6:$A$505,B441)=0),AND(A441="proposed_name",COUNTIF('أسماء مقترحة'!$A$6:$A$505,B441)=0)),"REVIEW","READY"))</f>
        <v/>
      </c>
      <c r="Q441" s="27" t="str">
        <f>IF(P441="","",IF(P441="READY","",TRIM(IF(A441="","missing entity_type; ","")&amp;IF(B441="","missing entity_key; ","")&amp;IF(C441="","missing referrer_order; ","")&amp;IF(E441="","missing referrer_type; ","")&amp;IF(F441="","missing referral_origin_channel; ","")&amp;IF(H441="","missing referrer_name_snapshot; ","")&amp;IF(AND(A441="client",COUNTIF(الزبائن!$A$6:$A$505,B441)=0),"client key not found; ","")&amp;IF(AND(A441="proposed_name",COUNTIF('أسماء مقترحة'!$A$6:$A$505,B441)=0),"proposed_name key not found; ",""))))</f>
        <v/>
      </c>
    </row>
    <row r="442" spans="1:17">
      <c r="A442" s="23"/>
      <c r="B442" s="24"/>
      <c r="C442" s="25"/>
      <c r="D442" s="25"/>
      <c r="E442" s="25"/>
      <c r="F442" s="25"/>
      <c r="G442" s="24"/>
      <c r="H442" s="25"/>
      <c r="I442" s="32"/>
      <c r="J442" s="25"/>
      <c r="K442" s="24"/>
      <c r="L442" s="25"/>
      <c r="M442" s="25"/>
      <c r="N442" s="25"/>
      <c r="O442" s="25"/>
      <c r="P442" s="25" t="str">
        <f>IF(AND(A442="",B442="",H442=""),"",IF(OR(A442="",B442="",C442="",E442="",F442="",H442="",AND(A442="client",COUNTIF(الزبائن!$A$6:$A$505,B442)=0),AND(A442="proposed_name",COUNTIF('أسماء مقترحة'!$A$6:$A$505,B442)=0)),"REVIEW","READY"))</f>
        <v/>
      </c>
      <c r="Q442" s="27" t="str">
        <f>IF(P442="","",IF(P442="READY","",TRIM(IF(A442="","missing entity_type; ","")&amp;IF(B442="","missing entity_key; ","")&amp;IF(C442="","missing referrer_order; ","")&amp;IF(E442="","missing referrer_type; ","")&amp;IF(F442="","missing referral_origin_channel; ","")&amp;IF(H442="","missing referrer_name_snapshot; ","")&amp;IF(AND(A442="client",COUNTIF(الزبائن!$A$6:$A$505,B442)=0),"client key not found; ","")&amp;IF(AND(A442="proposed_name",COUNTIF('أسماء مقترحة'!$A$6:$A$505,B442)=0),"proposed_name key not found; ",""))))</f>
        <v/>
      </c>
    </row>
    <row r="443" spans="1:17">
      <c r="A443" s="23"/>
      <c r="B443" s="24"/>
      <c r="C443" s="25"/>
      <c r="D443" s="25"/>
      <c r="E443" s="25"/>
      <c r="F443" s="25"/>
      <c r="G443" s="24"/>
      <c r="H443" s="25"/>
      <c r="I443" s="32"/>
      <c r="J443" s="25"/>
      <c r="K443" s="24"/>
      <c r="L443" s="25"/>
      <c r="M443" s="25"/>
      <c r="N443" s="25"/>
      <c r="O443" s="25"/>
      <c r="P443" s="25" t="str">
        <f>IF(AND(A443="",B443="",H443=""),"",IF(OR(A443="",B443="",C443="",E443="",F443="",H443="",AND(A443="client",COUNTIF(الزبائن!$A$6:$A$505,B443)=0),AND(A443="proposed_name",COUNTIF('أسماء مقترحة'!$A$6:$A$505,B443)=0)),"REVIEW","READY"))</f>
        <v/>
      </c>
      <c r="Q443" s="27" t="str">
        <f>IF(P443="","",IF(P443="READY","",TRIM(IF(A443="","missing entity_type; ","")&amp;IF(B443="","missing entity_key; ","")&amp;IF(C443="","missing referrer_order; ","")&amp;IF(E443="","missing referrer_type; ","")&amp;IF(F443="","missing referral_origin_channel; ","")&amp;IF(H443="","missing referrer_name_snapshot; ","")&amp;IF(AND(A443="client",COUNTIF(الزبائن!$A$6:$A$505,B443)=0),"client key not found; ","")&amp;IF(AND(A443="proposed_name",COUNTIF('أسماء مقترحة'!$A$6:$A$505,B443)=0),"proposed_name key not found; ",""))))</f>
        <v/>
      </c>
    </row>
    <row r="444" spans="1:17">
      <c r="A444" s="23"/>
      <c r="B444" s="24"/>
      <c r="C444" s="25"/>
      <c r="D444" s="25"/>
      <c r="E444" s="25"/>
      <c r="F444" s="25"/>
      <c r="G444" s="24"/>
      <c r="H444" s="25"/>
      <c r="I444" s="32"/>
      <c r="J444" s="25"/>
      <c r="K444" s="24"/>
      <c r="L444" s="25"/>
      <c r="M444" s="25"/>
      <c r="N444" s="25"/>
      <c r="O444" s="25"/>
      <c r="P444" s="25" t="str">
        <f>IF(AND(A444="",B444="",H444=""),"",IF(OR(A444="",B444="",C444="",E444="",F444="",H444="",AND(A444="client",COUNTIF(الزبائن!$A$6:$A$505,B444)=0),AND(A444="proposed_name",COUNTIF('أسماء مقترحة'!$A$6:$A$505,B444)=0)),"REVIEW","READY"))</f>
        <v/>
      </c>
      <c r="Q444" s="27" t="str">
        <f>IF(P444="","",IF(P444="READY","",TRIM(IF(A444="","missing entity_type; ","")&amp;IF(B444="","missing entity_key; ","")&amp;IF(C444="","missing referrer_order; ","")&amp;IF(E444="","missing referrer_type; ","")&amp;IF(F444="","missing referral_origin_channel; ","")&amp;IF(H444="","missing referrer_name_snapshot; ","")&amp;IF(AND(A444="client",COUNTIF(الزبائن!$A$6:$A$505,B444)=0),"client key not found; ","")&amp;IF(AND(A444="proposed_name",COUNTIF('أسماء مقترحة'!$A$6:$A$505,B444)=0),"proposed_name key not found; ",""))))</f>
        <v/>
      </c>
    </row>
    <row r="445" spans="1:17">
      <c r="A445" s="23"/>
      <c r="B445" s="24"/>
      <c r="C445" s="25"/>
      <c r="D445" s="25"/>
      <c r="E445" s="25"/>
      <c r="F445" s="25"/>
      <c r="G445" s="24"/>
      <c r="H445" s="25"/>
      <c r="I445" s="32"/>
      <c r="J445" s="25"/>
      <c r="K445" s="24"/>
      <c r="L445" s="25"/>
      <c r="M445" s="25"/>
      <c r="N445" s="25"/>
      <c r="O445" s="25"/>
      <c r="P445" s="25" t="str">
        <f>IF(AND(A445="",B445="",H445=""),"",IF(OR(A445="",B445="",C445="",E445="",F445="",H445="",AND(A445="client",COUNTIF(الزبائن!$A$6:$A$505,B445)=0),AND(A445="proposed_name",COUNTIF('أسماء مقترحة'!$A$6:$A$505,B445)=0)),"REVIEW","READY"))</f>
        <v/>
      </c>
      <c r="Q445" s="27" t="str">
        <f>IF(P445="","",IF(P445="READY","",TRIM(IF(A445="","missing entity_type; ","")&amp;IF(B445="","missing entity_key; ","")&amp;IF(C445="","missing referrer_order; ","")&amp;IF(E445="","missing referrer_type; ","")&amp;IF(F445="","missing referral_origin_channel; ","")&amp;IF(H445="","missing referrer_name_snapshot; ","")&amp;IF(AND(A445="client",COUNTIF(الزبائن!$A$6:$A$505,B445)=0),"client key not found; ","")&amp;IF(AND(A445="proposed_name",COUNTIF('أسماء مقترحة'!$A$6:$A$505,B445)=0),"proposed_name key not found; ",""))))</f>
        <v/>
      </c>
    </row>
    <row r="446" spans="1:17">
      <c r="A446" s="23"/>
      <c r="B446" s="24"/>
      <c r="C446" s="25"/>
      <c r="D446" s="25"/>
      <c r="E446" s="25"/>
      <c r="F446" s="25"/>
      <c r="G446" s="24"/>
      <c r="H446" s="25"/>
      <c r="I446" s="32"/>
      <c r="J446" s="25"/>
      <c r="K446" s="24"/>
      <c r="L446" s="25"/>
      <c r="M446" s="25"/>
      <c r="N446" s="25"/>
      <c r="O446" s="25"/>
      <c r="P446" s="25" t="str">
        <f>IF(AND(A446="",B446="",H446=""),"",IF(OR(A446="",B446="",C446="",E446="",F446="",H446="",AND(A446="client",COUNTIF(الزبائن!$A$6:$A$505,B446)=0),AND(A446="proposed_name",COUNTIF('أسماء مقترحة'!$A$6:$A$505,B446)=0)),"REVIEW","READY"))</f>
        <v/>
      </c>
      <c r="Q446" s="27" t="str">
        <f>IF(P446="","",IF(P446="READY","",TRIM(IF(A446="","missing entity_type; ","")&amp;IF(B446="","missing entity_key; ","")&amp;IF(C446="","missing referrer_order; ","")&amp;IF(E446="","missing referrer_type; ","")&amp;IF(F446="","missing referral_origin_channel; ","")&amp;IF(H446="","missing referrer_name_snapshot; ","")&amp;IF(AND(A446="client",COUNTIF(الزبائن!$A$6:$A$505,B446)=0),"client key not found; ","")&amp;IF(AND(A446="proposed_name",COUNTIF('أسماء مقترحة'!$A$6:$A$505,B446)=0),"proposed_name key not found; ",""))))</f>
        <v/>
      </c>
    </row>
    <row r="447" spans="1:17">
      <c r="A447" s="23"/>
      <c r="B447" s="24"/>
      <c r="C447" s="25"/>
      <c r="D447" s="25"/>
      <c r="E447" s="25"/>
      <c r="F447" s="25"/>
      <c r="G447" s="24"/>
      <c r="H447" s="25"/>
      <c r="I447" s="32"/>
      <c r="J447" s="25"/>
      <c r="K447" s="24"/>
      <c r="L447" s="25"/>
      <c r="M447" s="25"/>
      <c r="N447" s="25"/>
      <c r="O447" s="25"/>
      <c r="P447" s="25" t="str">
        <f>IF(AND(A447="",B447="",H447=""),"",IF(OR(A447="",B447="",C447="",E447="",F447="",H447="",AND(A447="client",COUNTIF(الزبائن!$A$6:$A$505,B447)=0),AND(A447="proposed_name",COUNTIF('أسماء مقترحة'!$A$6:$A$505,B447)=0)),"REVIEW","READY"))</f>
        <v/>
      </c>
      <c r="Q447" s="27" t="str">
        <f>IF(P447="","",IF(P447="READY","",TRIM(IF(A447="","missing entity_type; ","")&amp;IF(B447="","missing entity_key; ","")&amp;IF(C447="","missing referrer_order; ","")&amp;IF(E447="","missing referrer_type; ","")&amp;IF(F447="","missing referral_origin_channel; ","")&amp;IF(H447="","missing referrer_name_snapshot; ","")&amp;IF(AND(A447="client",COUNTIF(الزبائن!$A$6:$A$505,B447)=0),"client key not found; ","")&amp;IF(AND(A447="proposed_name",COUNTIF('أسماء مقترحة'!$A$6:$A$505,B447)=0),"proposed_name key not found; ",""))))</f>
        <v/>
      </c>
    </row>
    <row r="448" spans="1:17">
      <c r="A448" s="23"/>
      <c r="B448" s="24"/>
      <c r="C448" s="25"/>
      <c r="D448" s="25"/>
      <c r="E448" s="25"/>
      <c r="F448" s="25"/>
      <c r="G448" s="24"/>
      <c r="H448" s="25"/>
      <c r="I448" s="32"/>
      <c r="J448" s="25"/>
      <c r="K448" s="24"/>
      <c r="L448" s="25"/>
      <c r="M448" s="25"/>
      <c r="N448" s="25"/>
      <c r="O448" s="25"/>
      <c r="P448" s="25" t="str">
        <f>IF(AND(A448="",B448="",H448=""),"",IF(OR(A448="",B448="",C448="",E448="",F448="",H448="",AND(A448="client",COUNTIF(الزبائن!$A$6:$A$505,B448)=0),AND(A448="proposed_name",COUNTIF('أسماء مقترحة'!$A$6:$A$505,B448)=0)),"REVIEW","READY"))</f>
        <v/>
      </c>
      <c r="Q448" s="27" t="str">
        <f>IF(P448="","",IF(P448="READY","",TRIM(IF(A448="","missing entity_type; ","")&amp;IF(B448="","missing entity_key; ","")&amp;IF(C448="","missing referrer_order; ","")&amp;IF(E448="","missing referrer_type; ","")&amp;IF(F448="","missing referral_origin_channel; ","")&amp;IF(H448="","missing referrer_name_snapshot; ","")&amp;IF(AND(A448="client",COUNTIF(الزبائن!$A$6:$A$505,B448)=0),"client key not found; ","")&amp;IF(AND(A448="proposed_name",COUNTIF('أسماء مقترحة'!$A$6:$A$505,B448)=0),"proposed_name key not found; ",""))))</f>
        <v/>
      </c>
    </row>
    <row r="449" spans="1:17">
      <c r="A449" s="23"/>
      <c r="B449" s="24"/>
      <c r="C449" s="25"/>
      <c r="D449" s="25"/>
      <c r="E449" s="25"/>
      <c r="F449" s="25"/>
      <c r="G449" s="24"/>
      <c r="H449" s="25"/>
      <c r="I449" s="32"/>
      <c r="J449" s="25"/>
      <c r="K449" s="24"/>
      <c r="L449" s="25"/>
      <c r="M449" s="25"/>
      <c r="N449" s="25"/>
      <c r="O449" s="25"/>
      <c r="P449" s="25" t="str">
        <f>IF(AND(A449="",B449="",H449=""),"",IF(OR(A449="",B449="",C449="",E449="",F449="",H449="",AND(A449="client",COUNTIF(الزبائن!$A$6:$A$505,B449)=0),AND(A449="proposed_name",COUNTIF('أسماء مقترحة'!$A$6:$A$505,B449)=0)),"REVIEW","READY"))</f>
        <v/>
      </c>
      <c r="Q449" s="27" t="str">
        <f>IF(P449="","",IF(P449="READY","",TRIM(IF(A449="","missing entity_type; ","")&amp;IF(B449="","missing entity_key; ","")&amp;IF(C449="","missing referrer_order; ","")&amp;IF(E449="","missing referrer_type; ","")&amp;IF(F449="","missing referral_origin_channel; ","")&amp;IF(H449="","missing referrer_name_snapshot; ","")&amp;IF(AND(A449="client",COUNTIF(الزبائن!$A$6:$A$505,B449)=0),"client key not found; ","")&amp;IF(AND(A449="proposed_name",COUNTIF('أسماء مقترحة'!$A$6:$A$505,B449)=0),"proposed_name key not found; ",""))))</f>
        <v/>
      </c>
    </row>
    <row r="450" spans="1:17">
      <c r="A450" s="23"/>
      <c r="B450" s="24"/>
      <c r="C450" s="25"/>
      <c r="D450" s="25"/>
      <c r="E450" s="25"/>
      <c r="F450" s="25"/>
      <c r="G450" s="24"/>
      <c r="H450" s="25"/>
      <c r="I450" s="32"/>
      <c r="J450" s="25"/>
      <c r="K450" s="24"/>
      <c r="L450" s="25"/>
      <c r="M450" s="25"/>
      <c r="N450" s="25"/>
      <c r="O450" s="25"/>
      <c r="P450" s="25" t="str">
        <f>IF(AND(A450="",B450="",H450=""),"",IF(OR(A450="",B450="",C450="",E450="",F450="",H450="",AND(A450="client",COUNTIF(الزبائن!$A$6:$A$505,B450)=0),AND(A450="proposed_name",COUNTIF('أسماء مقترحة'!$A$6:$A$505,B450)=0)),"REVIEW","READY"))</f>
        <v/>
      </c>
      <c r="Q450" s="27" t="str">
        <f>IF(P450="","",IF(P450="READY","",TRIM(IF(A450="","missing entity_type; ","")&amp;IF(B450="","missing entity_key; ","")&amp;IF(C450="","missing referrer_order; ","")&amp;IF(E450="","missing referrer_type; ","")&amp;IF(F450="","missing referral_origin_channel; ","")&amp;IF(H450="","missing referrer_name_snapshot; ","")&amp;IF(AND(A450="client",COUNTIF(الزبائن!$A$6:$A$505,B450)=0),"client key not found; ","")&amp;IF(AND(A450="proposed_name",COUNTIF('أسماء مقترحة'!$A$6:$A$505,B450)=0),"proposed_name key not found; ",""))))</f>
        <v/>
      </c>
    </row>
    <row r="451" spans="1:17">
      <c r="A451" s="23"/>
      <c r="B451" s="24"/>
      <c r="C451" s="25"/>
      <c r="D451" s="25"/>
      <c r="E451" s="25"/>
      <c r="F451" s="25"/>
      <c r="G451" s="24"/>
      <c r="H451" s="25"/>
      <c r="I451" s="32"/>
      <c r="J451" s="25"/>
      <c r="K451" s="24"/>
      <c r="L451" s="25"/>
      <c r="M451" s="25"/>
      <c r="N451" s="25"/>
      <c r="O451" s="25"/>
      <c r="P451" s="25" t="str">
        <f>IF(AND(A451="",B451="",H451=""),"",IF(OR(A451="",B451="",C451="",E451="",F451="",H451="",AND(A451="client",COUNTIF(الزبائن!$A$6:$A$505,B451)=0),AND(A451="proposed_name",COUNTIF('أسماء مقترحة'!$A$6:$A$505,B451)=0)),"REVIEW","READY"))</f>
        <v/>
      </c>
      <c r="Q451" s="27" t="str">
        <f>IF(P451="","",IF(P451="READY","",TRIM(IF(A451="","missing entity_type; ","")&amp;IF(B451="","missing entity_key; ","")&amp;IF(C451="","missing referrer_order; ","")&amp;IF(E451="","missing referrer_type; ","")&amp;IF(F451="","missing referral_origin_channel; ","")&amp;IF(H451="","missing referrer_name_snapshot; ","")&amp;IF(AND(A451="client",COUNTIF(الزبائن!$A$6:$A$505,B451)=0),"client key not found; ","")&amp;IF(AND(A451="proposed_name",COUNTIF('أسماء مقترحة'!$A$6:$A$505,B451)=0),"proposed_name key not found; ",""))))</f>
        <v/>
      </c>
    </row>
    <row r="452" spans="1:17">
      <c r="A452" s="23"/>
      <c r="B452" s="24"/>
      <c r="C452" s="25"/>
      <c r="D452" s="25"/>
      <c r="E452" s="25"/>
      <c r="F452" s="25"/>
      <c r="G452" s="24"/>
      <c r="H452" s="25"/>
      <c r="I452" s="32"/>
      <c r="J452" s="25"/>
      <c r="K452" s="24"/>
      <c r="L452" s="25"/>
      <c r="M452" s="25"/>
      <c r="N452" s="25"/>
      <c r="O452" s="25"/>
      <c r="P452" s="25" t="str">
        <f>IF(AND(A452="",B452="",H452=""),"",IF(OR(A452="",B452="",C452="",E452="",F452="",H452="",AND(A452="client",COUNTIF(الزبائن!$A$6:$A$505,B452)=0),AND(A452="proposed_name",COUNTIF('أسماء مقترحة'!$A$6:$A$505,B452)=0)),"REVIEW","READY"))</f>
        <v/>
      </c>
      <c r="Q452" s="27" t="str">
        <f>IF(P452="","",IF(P452="READY","",TRIM(IF(A452="","missing entity_type; ","")&amp;IF(B452="","missing entity_key; ","")&amp;IF(C452="","missing referrer_order; ","")&amp;IF(E452="","missing referrer_type; ","")&amp;IF(F452="","missing referral_origin_channel; ","")&amp;IF(H452="","missing referrer_name_snapshot; ","")&amp;IF(AND(A452="client",COUNTIF(الزبائن!$A$6:$A$505,B452)=0),"client key not found; ","")&amp;IF(AND(A452="proposed_name",COUNTIF('أسماء مقترحة'!$A$6:$A$505,B452)=0),"proposed_name key not found; ",""))))</f>
        <v/>
      </c>
    </row>
    <row r="453" spans="1:17">
      <c r="A453" s="23"/>
      <c r="B453" s="24"/>
      <c r="C453" s="25"/>
      <c r="D453" s="25"/>
      <c r="E453" s="25"/>
      <c r="F453" s="25"/>
      <c r="G453" s="24"/>
      <c r="H453" s="25"/>
      <c r="I453" s="32"/>
      <c r="J453" s="25"/>
      <c r="K453" s="24"/>
      <c r="L453" s="25"/>
      <c r="M453" s="25"/>
      <c r="N453" s="25"/>
      <c r="O453" s="25"/>
      <c r="P453" s="25" t="str">
        <f>IF(AND(A453="",B453="",H453=""),"",IF(OR(A453="",B453="",C453="",E453="",F453="",H453="",AND(A453="client",COUNTIF(الزبائن!$A$6:$A$505,B453)=0),AND(A453="proposed_name",COUNTIF('أسماء مقترحة'!$A$6:$A$505,B453)=0)),"REVIEW","READY"))</f>
        <v/>
      </c>
      <c r="Q453" s="27" t="str">
        <f>IF(P453="","",IF(P453="READY","",TRIM(IF(A453="","missing entity_type; ","")&amp;IF(B453="","missing entity_key; ","")&amp;IF(C453="","missing referrer_order; ","")&amp;IF(E453="","missing referrer_type; ","")&amp;IF(F453="","missing referral_origin_channel; ","")&amp;IF(H453="","missing referrer_name_snapshot; ","")&amp;IF(AND(A453="client",COUNTIF(الزبائن!$A$6:$A$505,B453)=0),"client key not found; ","")&amp;IF(AND(A453="proposed_name",COUNTIF('أسماء مقترحة'!$A$6:$A$505,B453)=0),"proposed_name key not found; ",""))))</f>
        <v/>
      </c>
    </row>
    <row r="454" spans="1:17">
      <c r="A454" s="23"/>
      <c r="B454" s="24"/>
      <c r="C454" s="25"/>
      <c r="D454" s="25"/>
      <c r="E454" s="25"/>
      <c r="F454" s="25"/>
      <c r="G454" s="24"/>
      <c r="H454" s="25"/>
      <c r="I454" s="32"/>
      <c r="J454" s="25"/>
      <c r="K454" s="24"/>
      <c r="L454" s="25"/>
      <c r="M454" s="25"/>
      <c r="N454" s="25"/>
      <c r="O454" s="25"/>
      <c r="P454" s="25" t="str">
        <f>IF(AND(A454="",B454="",H454=""),"",IF(OR(A454="",B454="",C454="",E454="",F454="",H454="",AND(A454="client",COUNTIF(الزبائن!$A$6:$A$505,B454)=0),AND(A454="proposed_name",COUNTIF('أسماء مقترحة'!$A$6:$A$505,B454)=0)),"REVIEW","READY"))</f>
        <v/>
      </c>
      <c r="Q454" s="27" t="str">
        <f>IF(P454="","",IF(P454="READY","",TRIM(IF(A454="","missing entity_type; ","")&amp;IF(B454="","missing entity_key; ","")&amp;IF(C454="","missing referrer_order; ","")&amp;IF(E454="","missing referrer_type; ","")&amp;IF(F454="","missing referral_origin_channel; ","")&amp;IF(H454="","missing referrer_name_snapshot; ","")&amp;IF(AND(A454="client",COUNTIF(الزبائن!$A$6:$A$505,B454)=0),"client key not found; ","")&amp;IF(AND(A454="proposed_name",COUNTIF('أسماء مقترحة'!$A$6:$A$505,B454)=0),"proposed_name key not found; ",""))))</f>
        <v/>
      </c>
    </row>
    <row r="455" spans="1:17">
      <c r="A455" s="23"/>
      <c r="B455" s="24"/>
      <c r="C455" s="25"/>
      <c r="D455" s="25"/>
      <c r="E455" s="25"/>
      <c r="F455" s="25"/>
      <c r="G455" s="24"/>
      <c r="H455" s="25"/>
      <c r="I455" s="32"/>
      <c r="J455" s="25"/>
      <c r="K455" s="24"/>
      <c r="L455" s="25"/>
      <c r="M455" s="25"/>
      <c r="N455" s="25"/>
      <c r="O455" s="25"/>
      <c r="P455" s="25" t="str">
        <f>IF(AND(A455="",B455="",H455=""),"",IF(OR(A455="",B455="",C455="",E455="",F455="",H455="",AND(A455="client",COUNTIF(الزبائن!$A$6:$A$505,B455)=0),AND(A455="proposed_name",COUNTIF('أسماء مقترحة'!$A$6:$A$505,B455)=0)),"REVIEW","READY"))</f>
        <v/>
      </c>
      <c r="Q455" s="27" t="str">
        <f>IF(P455="","",IF(P455="READY","",TRIM(IF(A455="","missing entity_type; ","")&amp;IF(B455="","missing entity_key; ","")&amp;IF(C455="","missing referrer_order; ","")&amp;IF(E455="","missing referrer_type; ","")&amp;IF(F455="","missing referral_origin_channel; ","")&amp;IF(H455="","missing referrer_name_snapshot; ","")&amp;IF(AND(A455="client",COUNTIF(الزبائن!$A$6:$A$505,B455)=0),"client key not found; ","")&amp;IF(AND(A455="proposed_name",COUNTIF('أسماء مقترحة'!$A$6:$A$505,B455)=0),"proposed_name key not found; ",""))))</f>
        <v/>
      </c>
    </row>
    <row r="456" spans="1:17">
      <c r="A456" s="23"/>
      <c r="B456" s="24"/>
      <c r="C456" s="25"/>
      <c r="D456" s="25"/>
      <c r="E456" s="25"/>
      <c r="F456" s="25"/>
      <c r="G456" s="24"/>
      <c r="H456" s="25"/>
      <c r="I456" s="32"/>
      <c r="J456" s="25"/>
      <c r="K456" s="24"/>
      <c r="L456" s="25"/>
      <c r="M456" s="25"/>
      <c r="N456" s="25"/>
      <c r="O456" s="25"/>
      <c r="P456" s="25" t="str">
        <f>IF(AND(A456="",B456="",H456=""),"",IF(OR(A456="",B456="",C456="",E456="",F456="",H456="",AND(A456="client",COUNTIF(الزبائن!$A$6:$A$505,B456)=0),AND(A456="proposed_name",COUNTIF('أسماء مقترحة'!$A$6:$A$505,B456)=0)),"REVIEW","READY"))</f>
        <v/>
      </c>
      <c r="Q456" s="27" t="str">
        <f>IF(P456="","",IF(P456="READY","",TRIM(IF(A456="","missing entity_type; ","")&amp;IF(B456="","missing entity_key; ","")&amp;IF(C456="","missing referrer_order; ","")&amp;IF(E456="","missing referrer_type; ","")&amp;IF(F456="","missing referral_origin_channel; ","")&amp;IF(H456="","missing referrer_name_snapshot; ","")&amp;IF(AND(A456="client",COUNTIF(الزبائن!$A$6:$A$505,B456)=0),"client key not found; ","")&amp;IF(AND(A456="proposed_name",COUNTIF('أسماء مقترحة'!$A$6:$A$505,B456)=0),"proposed_name key not found; ",""))))</f>
        <v/>
      </c>
    </row>
    <row r="457" spans="1:17">
      <c r="A457" s="23"/>
      <c r="B457" s="24"/>
      <c r="C457" s="25"/>
      <c r="D457" s="25"/>
      <c r="E457" s="25"/>
      <c r="F457" s="25"/>
      <c r="G457" s="24"/>
      <c r="H457" s="25"/>
      <c r="I457" s="32"/>
      <c r="J457" s="25"/>
      <c r="K457" s="24"/>
      <c r="L457" s="25"/>
      <c r="M457" s="25"/>
      <c r="N457" s="25"/>
      <c r="O457" s="25"/>
      <c r="P457" s="25" t="str">
        <f>IF(AND(A457="",B457="",H457=""),"",IF(OR(A457="",B457="",C457="",E457="",F457="",H457="",AND(A457="client",COUNTIF(الزبائن!$A$6:$A$505,B457)=0),AND(A457="proposed_name",COUNTIF('أسماء مقترحة'!$A$6:$A$505,B457)=0)),"REVIEW","READY"))</f>
        <v/>
      </c>
      <c r="Q457" s="27" t="str">
        <f>IF(P457="","",IF(P457="READY","",TRIM(IF(A457="","missing entity_type; ","")&amp;IF(B457="","missing entity_key; ","")&amp;IF(C457="","missing referrer_order; ","")&amp;IF(E457="","missing referrer_type; ","")&amp;IF(F457="","missing referral_origin_channel; ","")&amp;IF(H457="","missing referrer_name_snapshot; ","")&amp;IF(AND(A457="client",COUNTIF(الزبائن!$A$6:$A$505,B457)=0),"client key not found; ","")&amp;IF(AND(A457="proposed_name",COUNTIF('أسماء مقترحة'!$A$6:$A$505,B457)=0),"proposed_name key not found; ",""))))</f>
        <v/>
      </c>
    </row>
    <row r="458" spans="1:17">
      <c r="A458" s="23"/>
      <c r="B458" s="24"/>
      <c r="C458" s="25"/>
      <c r="D458" s="25"/>
      <c r="E458" s="25"/>
      <c r="F458" s="25"/>
      <c r="G458" s="24"/>
      <c r="H458" s="25"/>
      <c r="I458" s="32"/>
      <c r="J458" s="25"/>
      <c r="K458" s="24"/>
      <c r="L458" s="25"/>
      <c r="M458" s="25"/>
      <c r="N458" s="25"/>
      <c r="O458" s="25"/>
      <c r="P458" s="25" t="str">
        <f>IF(AND(A458="",B458="",H458=""),"",IF(OR(A458="",B458="",C458="",E458="",F458="",H458="",AND(A458="client",COUNTIF(الزبائن!$A$6:$A$505,B458)=0),AND(A458="proposed_name",COUNTIF('أسماء مقترحة'!$A$6:$A$505,B458)=0)),"REVIEW","READY"))</f>
        <v/>
      </c>
      <c r="Q458" s="27" t="str">
        <f>IF(P458="","",IF(P458="READY","",TRIM(IF(A458="","missing entity_type; ","")&amp;IF(B458="","missing entity_key; ","")&amp;IF(C458="","missing referrer_order; ","")&amp;IF(E458="","missing referrer_type; ","")&amp;IF(F458="","missing referral_origin_channel; ","")&amp;IF(H458="","missing referrer_name_snapshot; ","")&amp;IF(AND(A458="client",COUNTIF(الزبائن!$A$6:$A$505,B458)=0),"client key not found; ","")&amp;IF(AND(A458="proposed_name",COUNTIF('أسماء مقترحة'!$A$6:$A$505,B458)=0),"proposed_name key not found; ",""))))</f>
        <v/>
      </c>
    </row>
    <row r="459" spans="1:17">
      <c r="A459" s="23"/>
      <c r="B459" s="24"/>
      <c r="C459" s="25"/>
      <c r="D459" s="25"/>
      <c r="E459" s="25"/>
      <c r="F459" s="25"/>
      <c r="G459" s="24"/>
      <c r="H459" s="25"/>
      <c r="I459" s="32"/>
      <c r="J459" s="25"/>
      <c r="K459" s="24"/>
      <c r="L459" s="25"/>
      <c r="M459" s="25"/>
      <c r="N459" s="25"/>
      <c r="O459" s="25"/>
      <c r="P459" s="25" t="str">
        <f>IF(AND(A459="",B459="",H459=""),"",IF(OR(A459="",B459="",C459="",E459="",F459="",H459="",AND(A459="client",COUNTIF(الزبائن!$A$6:$A$505,B459)=0),AND(A459="proposed_name",COUNTIF('أسماء مقترحة'!$A$6:$A$505,B459)=0)),"REVIEW","READY"))</f>
        <v/>
      </c>
      <c r="Q459" s="27" t="str">
        <f>IF(P459="","",IF(P459="READY","",TRIM(IF(A459="","missing entity_type; ","")&amp;IF(B459="","missing entity_key; ","")&amp;IF(C459="","missing referrer_order; ","")&amp;IF(E459="","missing referrer_type; ","")&amp;IF(F459="","missing referral_origin_channel; ","")&amp;IF(H459="","missing referrer_name_snapshot; ","")&amp;IF(AND(A459="client",COUNTIF(الزبائن!$A$6:$A$505,B459)=0),"client key not found; ","")&amp;IF(AND(A459="proposed_name",COUNTIF('أسماء مقترحة'!$A$6:$A$505,B459)=0),"proposed_name key not found; ",""))))</f>
        <v/>
      </c>
    </row>
    <row r="460" spans="1:17">
      <c r="A460" s="23"/>
      <c r="B460" s="24"/>
      <c r="C460" s="25"/>
      <c r="D460" s="25"/>
      <c r="E460" s="25"/>
      <c r="F460" s="25"/>
      <c r="G460" s="24"/>
      <c r="H460" s="25"/>
      <c r="I460" s="32"/>
      <c r="J460" s="25"/>
      <c r="K460" s="24"/>
      <c r="L460" s="25"/>
      <c r="M460" s="25"/>
      <c r="N460" s="25"/>
      <c r="O460" s="25"/>
      <c r="P460" s="25" t="str">
        <f>IF(AND(A460="",B460="",H460=""),"",IF(OR(A460="",B460="",C460="",E460="",F460="",H460="",AND(A460="client",COUNTIF(الزبائن!$A$6:$A$505,B460)=0),AND(A460="proposed_name",COUNTIF('أسماء مقترحة'!$A$6:$A$505,B460)=0)),"REVIEW","READY"))</f>
        <v/>
      </c>
      <c r="Q460" s="27" t="str">
        <f>IF(P460="","",IF(P460="READY","",TRIM(IF(A460="","missing entity_type; ","")&amp;IF(B460="","missing entity_key; ","")&amp;IF(C460="","missing referrer_order; ","")&amp;IF(E460="","missing referrer_type; ","")&amp;IF(F460="","missing referral_origin_channel; ","")&amp;IF(H460="","missing referrer_name_snapshot; ","")&amp;IF(AND(A460="client",COUNTIF(الزبائن!$A$6:$A$505,B460)=0),"client key not found; ","")&amp;IF(AND(A460="proposed_name",COUNTIF('أسماء مقترحة'!$A$6:$A$505,B460)=0),"proposed_name key not found; ",""))))</f>
        <v/>
      </c>
    </row>
    <row r="461" spans="1:17">
      <c r="A461" s="23"/>
      <c r="B461" s="24"/>
      <c r="C461" s="25"/>
      <c r="D461" s="25"/>
      <c r="E461" s="25"/>
      <c r="F461" s="25"/>
      <c r="G461" s="24"/>
      <c r="H461" s="25"/>
      <c r="I461" s="32"/>
      <c r="J461" s="25"/>
      <c r="K461" s="24"/>
      <c r="L461" s="25"/>
      <c r="M461" s="25"/>
      <c r="N461" s="25"/>
      <c r="O461" s="25"/>
      <c r="P461" s="25" t="str">
        <f>IF(AND(A461="",B461="",H461=""),"",IF(OR(A461="",B461="",C461="",E461="",F461="",H461="",AND(A461="client",COUNTIF(الزبائن!$A$6:$A$505,B461)=0),AND(A461="proposed_name",COUNTIF('أسماء مقترحة'!$A$6:$A$505,B461)=0)),"REVIEW","READY"))</f>
        <v/>
      </c>
      <c r="Q461" s="27" t="str">
        <f>IF(P461="","",IF(P461="READY","",TRIM(IF(A461="","missing entity_type; ","")&amp;IF(B461="","missing entity_key; ","")&amp;IF(C461="","missing referrer_order; ","")&amp;IF(E461="","missing referrer_type; ","")&amp;IF(F461="","missing referral_origin_channel; ","")&amp;IF(H461="","missing referrer_name_snapshot; ","")&amp;IF(AND(A461="client",COUNTIF(الزبائن!$A$6:$A$505,B461)=0),"client key not found; ","")&amp;IF(AND(A461="proposed_name",COUNTIF('أسماء مقترحة'!$A$6:$A$505,B461)=0),"proposed_name key not found; ",""))))</f>
        <v/>
      </c>
    </row>
    <row r="462" spans="1:17">
      <c r="A462" s="23"/>
      <c r="B462" s="24"/>
      <c r="C462" s="25"/>
      <c r="D462" s="25"/>
      <c r="E462" s="25"/>
      <c r="F462" s="25"/>
      <c r="G462" s="24"/>
      <c r="H462" s="25"/>
      <c r="I462" s="32"/>
      <c r="J462" s="25"/>
      <c r="K462" s="24"/>
      <c r="L462" s="25"/>
      <c r="M462" s="25"/>
      <c r="N462" s="25"/>
      <c r="O462" s="25"/>
      <c r="P462" s="25" t="str">
        <f>IF(AND(A462="",B462="",H462=""),"",IF(OR(A462="",B462="",C462="",E462="",F462="",H462="",AND(A462="client",COUNTIF(الزبائن!$A$6:$A$505,B462)=0),AND(A462="proposed_name",COUNTIF('أسماء مقترحة'!$A$6:$A$505,B462)=0)),"REVIEW","READY"))</f>
        <v/>
      </c>
      <c r="Q462" s="27" t="str">
        <f>IF(P462="","",IF(P462="READY","",TRIM(IF(A462="","missing entity_type; ","")&amp;IF(B462="","missing entity_key; ","")&amp;IF(C462="","missing referrer_order; ","")&amp;IF(E462="","missing referrer_type; ","")&amp;IF(F462="","missing referral_origin_channel; ","")&amp;IF(H462="","missing referrer_name_snapshot; ","")&amp;IF(AND(A462="client",COUNTIF(الزبائن!$A$6:$A$505,B462)=0),"client key not found; ","")&amp;IF(AND(A462="proposed_name",COUNTIF('أسماء مقترحة'!$A$6:$A$505,B462)=0),"proposed_name key not found; ",""))))</f>
        <v/>
      </c>
    </row>
    <row r="463" spans="1:17">
      <c r="A463" s="23"/>
      <c r="B463" s="24"/>
      <c r="C463" s="25"/>
      <c r="D463" s="25"/>
      <c r="E463" s="25"/>
      <c r="F463" s="25"/>
      <c r="G463" s="24"/>
      <c r="H463" s="25"/>
      <c r="I463" s="32"/>
      <c r="J463" s="25"/>
      <c r="K463" s="24"/>
      <c r="L463" s="25"/>
      <c r="M463" s="25"/>
      <c r="N463" s="25"/>
      <c r="O463" s="25"/>
      <c r="P463" s="25" t="str">
        <f>IF(AND(A463="",B463="",H463=""),"",IF(OR(A463="",B463="",C463="",E463="",F463="",H463="",AND(A463="client",COUNTIF(الزبائن!$A$6:$A$505,B463)=0),AND(A463="proposed_name",COUNTIF('أسماء مقترحة'!$A$6:$A$505,B463)=0)),"REVIEW","READY"))</f>
        <v/>
      </c>
      <c r="Q463" s="27" t="str">
        <f>IF(P463="","",IF(P463="READY","",TRIM(IF(A463="","missing entity_type; ","")&amp;IF(B463="","missing entity_key; ","")&amp;IF(C463="","missing referrer_order; ","")&amp;IF(E463="","missing referrer_type; ","")&amp;IF(F463="","missing referral_origin_channel; ","")&amp;IF(H463="","missing referrer_name_snapshot; ","")&amp;IF(AND(A463="client",COUNTIF(الزبائن!$A$6:$A$505,B463)=0),"client key not found; ","")&amp;IF(AND(A463="proposed_name",COUNTIF('أسماء مقترحة'!$A$6:$A$505,B463)=0),"proposed_name key not found; ",""))))</f>
        <v/>
      </c>
    </row>
    <row r="464" spans="1:17">
      <c r="A464" s="23"/>
      <c r="B464" s="24"/>
      <c r="C464" s="25"/>
      <c r="D464" s="25"/>
      <c r="E464" s="25"/>
      <c r="F464" s="25"/>
      <c r="G464" s="24"/>
      <c r="H464" s="25"/>
      <c r="I464" s="32"/>
      <c r="J464" s="25"/>
      <c r="K464" s="24"/>
      <c r="L464" s="25"/>
      <c r="M464" s="25"/>
      <c r="N464" s="25"/>
      <c r="O464" s="25"/>
      <c r="P464" s="25" t="str">
        <f>IF(AND(A464="",B464="",H464=""),"",IF(OR(A464="",B464="",C464="",E464="",F464="",H464="",AND(A464="client",COUNTIF(الزبائن!$A$6:$A$505,B464)=0),AND(A464="proposed_name",COUNTIF('أسماء مقترحة'!$A$6:$A$505,B464)=0)),"REVIEW","READY"))</f>
        <v/>
      </c>
      <c r="Q464" s="27" t="str">
        <f>IF(P464="","",IF(P464="READY","",TRIM(IF(A464="","missing entity_type; ","")&amp;IF(B464="","missing entity_key; ","")&amp;IF(C464="","missing referrer_order; ","")&amp;IF(E464="","missing referrer_type; ","")&amp;IF(F464="","missing referral_origin_channel; ","")&amp;IF(H464="","missing referrer_name_snapshot; ","")&amp;IF(AND(A464="client",COUNTIF(الزبائن!$A$6:$A$505,B464)=0),"client key not found; ","")&amp;IF(AND(A464="proposed_name",COUNTIF('أسماء مقترحة'!$A$6:$A$505,B464)=0),"proposed_name key not found; ",""))))</f>
        <v/>
      </c>
    </row>
    <row r="465" spans="1:17">
      <c r="A465" s="23"/>
      <c r="B465" s="24"/>
      <c r="C465" s="25"/>
      <c r="D465" s="25"/>
      <c r="E465" s="25"/>
      <c r="F465" s="25"/>
      <c r="G465" s="24"/>
      <c r="H465" s="25"/>
      <c r="I465" s="32"/>
      <c r="J465" s="25"/>
      <c r="K465" s="24"/>
      <c r="L465" s="25"/>
      <c r="M465" s="25"/>
      <c r="N465" s="25"/>
      <c r="O465" s="25"/>
      <c r="P465" s="25" t="str">
        <f>IF(AND(A465="",B465="",H465=""),"",IF(OR(A465="",B465="",C465="",E465="",F465="",H465="",AND(A465="client",COUNTIF(الزبائن!$A$6:$A$505,B465)=0),AND(A465="proposed_name",COUNTIF('أسماء مقترحة'!$A$6:$A$505,B465)=0)),"REVIEW","READY"))</f>
        <v/>
      </c>
      <c r="Q465" s="27" t="str">
        <f>IF(P465="","",IF(P465="READY","",TRIM(IF(A465="","missing entity_type; ","")&amp;IF(B465="","missing entity_key; ","")&amp;IF(C465="","missing referrer_order; ","")&amp;IF(E465="","missing referrer_type; ","")&amp;IF(F465="","missing referral_origin_channel; ","")&amp;IF(H465="","missing referrer_name_snapshot; ","")&amp;IF(AND(A465="client",COUNTIF(الزبائن!$A$6:$A$505,B465)=0),"client key not found; ","")&amp;IF(AND(A465="proposed_name",COUNTIF('أسماء مقترحة'!$A$6:$A$505,B465)=0),"proposed_name key not found; ",""))))</f>
        <v/>
      </c>
    </row>
    <row r="466" spans="1:17">
      <c r="A466" s="23"/>
      <c r="B466" s="24"/>
      <c r="C466" s="25"/>
      <c r="D466" s="25"/>
      <c r="E466" s="25"/>
      <c r="F466" s="25"/>
      <c r="G466" s="24"/>
      <c r="H466" s="25"/>
      <c r="I466" s="32"/>
      <c r="J466" s="25"/>
      <c r="K466" s="24"/>
      <c r="L466" s="25"/>
      <c r="M466" s="25"/>
      <c r="N466" s="25"/>
      <c r="O466" s="25"/>
      <c r="P466" s="25" t="str">
        <f>IF(AND(A466="",B466="",H466=""),"",IF(OR(A466="",B466="",C466="",E466="",F466="",H466="",AND(A466="client",COUNTIF(الزبائن!$A$6:$A$505,B466)=0),AND(A466="proposed_name",COUNTIF('أسماء مقترحة'!$A$6:$A$505,B466)=0)),"REVIEW","READY"))</f>
        <v/>
      </c>
      <c r="Q466" s="27" t="str">
        <f>IF(P466="","",IF(P466="READY","",TRIM(IF(A466="","missing entity_type; ","")&amp;IF(B466="","missing entity_key; ","")&amp;IF(C466="","missing referrer_order; ","")&amp;IF(E466="","missing referrer_type; ","")&amp;IF(F466="","missing referral_origin_channel; ","")&amp;IF(H466="","missing referrer_name_snapshot; ","")&amp;IF(AND(A466="client",COUNTIF(الزبائن!$A$6:$A$505,B466)=0),"client key not found; ","")&amp;IF(AND(A466="proposed_name",COUNTIF('أسماء مقترحة'!$A$6:$A$505,B466)=0),"proposed_name key not found; ",""))))</f>
        <v/>
      </c>
    </row>
    <row r="467" spans="1:17">
      <c r="A467" s="23"/>
      <c r="B467" s="24"/>
      <c r="C467" s="25"/>
      <c r="D467" s="25"/>
      <c r="E467" s="25"/>
      <c r="F467" s="25"/>
      <c r="G467" s="24"/>
      <c r="H467" s="25"/>
      <c r="I467" s="32"/>
      <c r="J467" s="25"/>
      <c r="K467" s="24"/>
      <c r="L467" s="25"/>
      <c r="M467" s="25"/>
      <c r="N467" s="25"/>
      <c r="O467" s="25"/>
      <c r="P467" s="25" t="str">
        <f>IF(AND(A467="",B467="",H467=""),"",IF(OR(A467="",B467="",C467="",E467="",F467="",H467="",AND(A467="client",COUNTIF(الزبائن!$A$6:$A$505,B467)=0),AND(A467="proposed_name",COUNTIF('أسماء مقترحة'!$A$6:$A$505,B467)=0)),"REVIEW","READY"))</f>
        <v/>
      </c>
      <c r="Q467" s="27" t="str">
        <f>IF(P467="","",IF(P467="READY","",TRIM(IF(A467="","missing entity_type; ","")&amp;IF(B467="","missing entity_key; ","")&amp;IF(C467="","missing referrer_order; ","")&amp;IF(E467="","missing referrer_type; ","")&amp;IF(F467="","missing referral_origin_channel; ","")&amp;IF(H467="","missing referrer_name_snapshot; ","")&amp;IF(AND(A467="client",COUNTIF(الزبائن!$A$6:$A$505,B467)=0),"client key not found; ","")&amp;IF(AND(A467="proposed_name",COUNTIF('أسماء مقترحة'!$A$6:$A$505,B467)=0),"proposed_name key not found; ",""))))</f>
        <v/>
      </c>
    </row>
    <row r="468" spans="1:17">
      <c r="A468" s="23"/>
      <c r="B468" s="24"/>
      <c r="C468" s="25"/>
      <c r="D468" s="25"/>
      <c r="E468" s="25"/>
      <c r="F468" s="25"/>
      <c r="G468" s="24"/>
      <c r="H468" s="25"/>
      <c r="I468" s="32"/>
      <c r="J468" s="25"/>
      <c r="K468" s="24"/>
      <c r="L468" s="25"/>
      <c r="M468" s="25"/>
      <c r="N468" s="25"/>
      <c r="O468" s="25"/>
      <c r="P468" s="25" t="str">
        <f>IF(AND(A468="",B468="",H468=""),"",IF(OR(A468="",B468="",C468="",E468="",F468="",H468="",AND(A468="client",COUNTIF(الزبائن!$A$6:$A$505,B468)=0),AND(A468="proposed_name",COUNTIF('أسماء مقترحة'!$A$6:$A$505,B468)=0)),"REVIEW","READY"))</f>
        <v/>
      </c>
      <c r="Q468" s="27" t="str">
        <f>IF(P468="","",IF(P468="READY","",TRIM(IF(A468="","missing entity_type; ","")&amp;IF(B468="","missing entity_key; ","")&amp;IF(C468="","missing referrer_order; ","")&amp;IF(E468="","missing referrer_type; ","")&amp;IF(F468="","missing referral_origin_channel; ","")&amp;IF(H468="","missing referrer_name_snapshot; ","")&amp;IF(AND(A468="client",COUNTIF(الزبائن!$A$6:$A$505,B468)=0),"client key not found; ","")&amp;IF(AND(A468="proposed_name",COUNTIF('أسماء مقترحة'!$A$6:$A$505,B468)=0),"proposed_name key not found; ",""))))</f>
        <v/>
      </c>
    </row>
    <row r="469" spans="1:17">
      <c r="A469" s="23"/>
      <c r="B469" s="24"/>
      <c r="C469" s="25"/>
      <c r="D469" s="25"/>
      <c r="E469" s="25"/>
      <c r="F469" s="25"/>
      <c r="G469" s="24"/>
      <c r="H469" s="25"/>
      <c r="I469" s="32"/>
      <c r="J469" s="25"/>
      <c r="K469" s="24"/>
      <c r="L469" s="25"/>
      <c r="M469" s="25"/>
      <c r="N469" s="25"/>
      <c r="O469" s="25"/>
      <c r="P469" s="25" t="str">
        <f>IF(AND(A469="",B469="",H469=""),"",IF(OR(A469="",B469="",C469="",E469="",F469="",H469="",AND(A469="client",COUNTIF(الزبائن!$A$6:$A$505,B469)=0),AND(A469="proposed_name",COUNTIF('أسماء مقترحة'!$A$6:$A$505,B469)=0)),"REVIEW","READY"))</f>
        <v/>
      </c>
      <c r="Q469" s="27" t="str">
        <f>IF(P469="","",IF(P469="READY","",TRIM(IF(A469="","missing entity_type; ","")&amp;IF(B469="","missing entity_key; ","")&amp;IF(C469="","missing referrer_order; ","")&amp;IF(E469="","missing referrer_type; ","")&amp;IF(F469="","missing referral_origin_channel; ","")&amp;IF(H469="","missing referrer_name_snapshot; ","")&amp;IF(AND(A469="client",COUNTIF(الزبائن!$A$6:$A$505,B469)=0),"client key not found; ","")&amp;IF(AND(A469="proposed_name",COUNTIF('أسماء مقترحة'!$A$6:$A$505,B469)=0),"proposed_name key not found; ",""))))</f>
        <v/>
      </c>
    </row>
    <row r="470" spans="1:17">
      <c r="A470" s="23"/>
      <c r="B470" s="24"/>
      <c r="C470" s="25"/>
      <c r="D470" s="25"/>
      <c r="E470" s="25"/>
      <c r="F470" s="25"/>
      <c r="G470" s="24"/>
      <c r="H470" s="25"/>
      <c r="I470" s="32"/>
      <c r="J470" s="25"/>
      <c r="K470" s="24"/>
      <c r="L470" s="25"/>
      <c r="M470" s="25"/>
      <c r="N470" s="25"/>
      <c r="O470" s="25"/>
      <c r="P470" s="25" t="str">
        <f>IF(AND(A470="",B470="",H470=""),"",IF(OR(A470="",B470="",C470="",E470="",F470="",H470="",AND(A470="client",COUNTIF(الزبائن!$A$6:$A$505,B470)=0),AND(A470="proposed_name",COUNTIF('أسماء مقترحة'!$A$6:$A$505,B470)=0)),"REVIEW","READY"))</f>
        <v/>
      </c>
      <c r="Q470" s="27" t="str">
        <f>IF(P470="","",IF(P470="READY","",TRIM(IF(A470="","missing entity_type; ","")&amp;IF(B470="","missing entity_key; ","")&amp;IF(C470="","missing referrer_order; ","")&amp;IF(E470="","missing referrer_type; ","")&amp;IF(F470="","missing referral_origin_channel; ","")&amp;IF(H470="","missing referrer_name_snapshot; ","")&amp;IF(AND(A470="client",COUNTIF(الزبائن!$A$6:$A$505,B470)=0),"client key not found; ","")&amp;IF(AND(A470="proposed_name",COUNTIF('أسماء مقترحة'!$A$6:$A$505,B470)=0),"proposed_name key not found; ",""))))</f>
        <v/>
      </c>
    </row>
    <row r="471" spans="1:17">
      <c r="A471" s="23"/>
      <c r="B471" s="24"/>
      <c r="C471" s="25"/>
      <c r="D471" s="25"/>
      <c r="E471" s="25"/>
      <c r="F471" s="25"/>
      <c r="G471" s="24"/>
      <c r="H471" s="25"/>
      <c r="I471" s="32"/>
      <c r="J471" s="25"/>
      <c r="K471" s="24"/>
      <c r="L471" s="25"/>
      <c r="M471" s="25"/>
      <c r="N471" s="25"/>
      <c r="O471" s="25"/>
      <c r="P471" s="25" t="str">
        <f>IF(AND(A471="",B471="",H471=""),"",IF(OR(A471="",B471="",C471="",E471="",F471="",H471="",AND(A471="client",COUNTIF(الزبائن!$A$6:$A$505,B471)=0),AND(A471="proposed_name",COUNTIF('أسماء مقترحة'!$A$6:$A$505,B471)=0)),"REVIEW","READY"))</f>
        <v/>
      </c>
      <c r="Q471" s="27" t="str">
        <f>IF(P471="","",IF(P471="READY","",TRIM(IF(A471="","missing entity_type; ","")&amp;IF(B471="","missing entity_key; ","")&amp;IF(C471="","missing referrer_order; ","")&amp;IF(E471="","missing referrer_type; ","")&amp;IF(F471="","missing referral_origin_channel; ","")&amp;IF(H471="","missing referrer_name_snapshot; ","")&amp;IF(AND(A471="client",COUNTIF(الزبائن!$A$6:$A$505,B471)=0),"client key not found; ","")&amp;IF(AND(A471="proposed_name",COUNTIF('أسماء مقترحة'!$A$6:$A$505,B471)=0),"proposed_name key not found; ",""))))</f>
        <v/>
      </c>
    </row>
    <row r="472" spans="1:17">
      <c r="A472" s="23"/>
      <c r="B472" s="24"/>
      <c r="C472" s="25"/>
      <c r="D472" s="25"/>
      <c r="E472" s="25"/>
      <c r="F472" s="25"/>
      <c r="G472" s="24"/>
      <c r="H472" s="25"/>
      <c r="I472" s="32"/>
      <c r="J472" s="25"/>
      <c r="K472" s="24"/>
      <c r="L472" s="25"/>
      <c r="M472" s="25"/>
      <c r="N472" s="25"/>
      <c r="O472" s="25"/>
      <c r="P472" s="25" t="str">
        <f>IF(AND(A472="",B472="",H472=""),"",IF(OR(A472="",B472="",C472="",E472="",F472="",H472="",AND(A472="client",COUNTIF(الزبائن!$A$6:$A$505,B472)=0),AND(A472="proposed_name",COUNTIF('أسماء مقترحة'!$A$6:$A$505,B472)=0)),"REVIEW","READY"))</f>
        <v/>
      </c>
      <c r="Q472" s="27" t="str">
        <f>IF(P472="","",IF(P472="READY","",TRIM(IF(A472="","missing entity_type; ","")&amp;IF(B472="","missing entity_key; ","")&amp;IF(C472="","missing referrer_order; ","")&amp;IF(E472="","missing referrer_type; ","")&amp;IF(F472="","missing referral_origin_channel; ","")&amp;IF(H472="","missing referrer_name_snapshot; ","")&amp;IF(AND(A472="client",COUNTIF(الزبائن!$A$6:$A$505,B472)=0),"client key not found; ","")&amp;IF(AND(A472="proposed_name",COUNTIF('أسماء مقترحة'!$A$6:$A$505,B472)=0),"proposed_name key not found; ",""))))</f>
        <v/>
      </c>
    </row>
    <row r="473" spans="1:17">
      <c r="A473" s="23"/>
      <c r="B473" s="24"/>
      <c r="C473" s="25"/>
      <c r="D473" s="25"/>
      <c r="E473" s="25"/>
      <c r="F473" s="25"/>
      <c r="G473" s="24"/>
      <c r="H473" s="25"/>
      <c r="I473" s="32"/>
      <c r="J473" s="25"/>
      <c r="K473" s="24"/>
      <c r="L473" s="25"/>
      <c r="M473" s="25"/>
      <c r="N473" s="25"/>
      <c r="O473" s="25"/>
      <c r="P473" s="25" t="str">
        <f>IF(AND(A473="",B473="",H473=""),"",IF(OR(A473="",B473="",C473="",E473="",F473="",H473="",AND(A473="client",COUNTIF(الزبائن!$A$6:$A$505,B473)=0),AND(A473="proposed_name",COUNTIF('أسماء مقترحة'!$A$6:$A$505,B473)=0)),"REVIEW","READY"))</f>
        <v/>
      </c>
      <c r="Q473" s="27" t="str">
        <f>IF(P473="","",IF(P473="READY","",TRIM(IF(A473="","missing entity_type; ","")&amp;IF(B473="","missing entity_key; ","")&amp;IF(C473="","missing referrer_order; ","")&amp;IF(E473="","missing referrer_type; ","")&amp;IF(F473="","missing referral_origin_channel; ","")&amp;IF(H473="","missing referrer_name_snapshot; ","")&amp;IF(AND(A473="client",COUNTIF(الزبائن!$A$6:$A$505,B473)=0),"client key not found; ","")&amp;IF(AND(A473="proposed_name",COUNTIF('أسماء مقترحة'!$A$6:$A$505,B473)=0),"proposed_name key not found; ",""))))</f>
        <v/>
      </c>
    </row>
    <row r="474" spans="1:17">
      <c r="A474" s="23"/>
      <c r="B474" s="24"/>
      <c r="C474" s="25"/>
      <c r="D474" s="25"/>
      <c r="E474" s="25"/>
      <c r="F474" s="25"/>
      <c r="G474" s="24"/>
      <c r="H474" s="25"/>
      <c r="I474" s="32"/>
      <c r="J474" s="25"/>
      <c r="K474" s="24"/>
      <c r="L474" s="25"/>
      <c r="M474" s="25"/>
      <c r="N474" s="25"/>
      <c r="O474" s="25"/>
      <c r="P474" s="25" t="str">
        <f>IF(AND(A474="",B474="",H474=""),"",IF(OR(A474="",B474="",C474="",E474="",F474="",H474="",AND(A474="client",COUNTIF(الزبائن!$A$6:$A$505,B474)=0),AND(A474="proposed_name",COUNTIF('أسماء مقترحة'!$A$6:$A$505,B474)=0)),"REVIEW","READY"))</f>
        <v/>
      </c>
      <c r="Q474" s="27" t="str">
        <f>IF(P474="","",IF(P474="READY","",TRIM(IF(A474="","missing entity_type; ","")&amp;IF(B474="","missing entity_key; ","")&amp;IF(C474="","missing referrer_order; ","")&amp;IF(E474="","missing referrer_type; ","")&amp;IF(F474="","missing referral_origin_channel; ","")&amp;IF(H474="","missing referrer_name_snapshot; ","")&amp;IF(AND(A474="client",COUNTIF(الزبائن!$A$6:$A$505,B474)=0),"client key not found; ","")&amp;IF(AND(A474="proposed_name",COUNTIF('أسماء مقترحة'!$A$6:$A$505,B474)=0),"proposed_name key not found; ",""))))</f>
        <v/>
      </c>
    </row>
    <row r="475" spans="1:17">
      <c r="A475" s="23"/>
      <c r="B475" s="24"/>
      <c r="C475" s="25"/>
      <c r="D475" s="25"/>
      <c r="E475" s="25"/>
      <c r="F475" s="25"/>
      <c r="G475" s="24"/>
      <c r="H475" s="25"/>
      <c r="I475" s="32"/>
      <c r="J475" s="25"/>
      <c r="K475" s="24"/>
      <c r="L475" s="25"/>
      <c r="M475" s="25"/>
      <c r="N475" s="25"/>
      <c r="O475" s="25"/>
      <c r="P475" s="25" t="str">
        <f>IF(AND(A475="",B475="",H475=""),"",IF(OR(A475="",B475="",C475="",E475="",F475="",H475="",AND(A475="client",COUNTIF(الزبائن!$A$6:$A$505,B475)=0),AND(A475="proposed_name",COUNTIF('أسماء مقترحة'!$A$6:$A$505,B475)=0)),"REVIEW","READY"))</f>
        <v/>
      </c>
      <c r="Q475" s="27" t="str">
        <f>IF(P475="","",IF(P475="READY","",TRIM(IF(A475="","missing entity_type; ","")&amp;IF(B475="","missing entity_key; ","")&amp;IF(C475="","missing referrer_order; ","")&amp;IF(E475="","missing referrer_type; ","")&amp;IF(F475="","missing referral_origin_channel; ","")&amp;IF(H475="","missing referrer_name_snapshot; ","")&amp;IF(AND(A475="client",COUNTIF(الزبائن!$A$6:$A$505,B475)=0),"client key not found; ","")&amp;IF(AND(A475="proposed_name",COUNTIF('أسماء مقترحة'!$A$6:$A$505,B475)=0),"proposed_name key not found; ",""))))</f>
        <v/>
      </c>
    </row>
    <row r="476" spans="1:17">
      <c r="A476" s="23"/>
      <c r="B476" s="24"/>
      <c r="C476" s="25"/>
      <c r="D476" s="25"/>
      <c r="E476" s="25"/>
      <c r="F476" s="25"/>
      <c r="G476" s="24"/>
      <c r="H476" s="25"/>
      <c r="I476" s="32"/>
      <c r="J476" s="25"/>
      <c r="K476" s="24"/>
      <c r="L476" s="25"/>
      <c r="M476" s="25"/>
      <c r="N476" s="25"/>
      <c r="O476" s="25"/>
      <c r="P476" s="25" t="str">
        <f>IF(AND(A476="",B476="",H476=""),"",IF(OR(A476="",B476="",C476="",E476="",F476="",H476="",AND(A476="client",COUNTIF(الزبائن!$A$6:$A$505,B476)=0),AND(A476="proposed_name",COUNTIF('أسماء مقترحة'!$A$6:$A$505,B476)=0)),"REVIEW","READY"))</f>
        <v/>
      </c>
      <c r="Q476" s="27" t="str">
        <f>IF(P476="","",IF(P476="READY","",TRIM(IF(A476="","missing entity_type; ","")&amp;IF(B476="","missing entity_key; ","")&amp;IF(C476="","missing referrer_order; ","")&amp;IF(E476="","missing referrer_type; ","")&amp;IF(F476="","missing referral_origin_channel; ","")&amp;IF(H476="","missing referrer_name_snapshot; ","")&amp;IF(AND(A476="client",COUNTIF(الزبائن!$A$6:$A$505,B476)=0),"client key not found; ","")&amp;IF(AND(A476="proposed_name",COUNTIF('أسماء مقترحة'!$A$6:$A$505,B476)=0),"proposed_name key not found; ",""))))</f>
        <v/>
      </c>
    </row>
    <row r="477" spans="1:17">
      <c r="A477" s="23"/>
      <c r="B477" s="24"/>
      <c r="C477" s="25"/>
      <c r="D477" s="25"/>
      <c r="E477" s="25"/>
      <c r="F477" s="25"/>
      <c r="G477" s="24"/>
      <c r="H477" s="25"/>
      <c r="I477" s="32"/>
      <c r="J477" s="25"/>
      <c r="K477" s="24"/>
      <c r="L477" s="25"/>
      <c r="M477" s="25"/>
      <c r="N477" s="25"/>
      <c r="O477" s="25"/>
      <c r="P477" s="25" t="str">
        <f>IF(AND(A477="",B477="",H477=""),"",IF(OR(A477="",B477="",C477="",E477="",F477="",H477="",AND(A477="client",COUNTIF(الزبائن!$A$6:$A$505,B477)=0),AND(A477="proposed_name",COUNTIF('أسماء مقترحة'!$A$6:$A$505,B477)=0)),"REVIEW","READY"))</f>
        <v/>
      </c>
      <c r="Q477" s="27" t="str">
        <f>IF(P477="","",IF(P477="READY","",TRIM(IF(A477="","missing entity_type; ","")&amp;IF(B477="","missing entity_key; ","")&amp;IF(C477="","missing referrer_order; ","")&amp;IF(E477="","missing referrer_type; ","")&amp;IF(F477="","missing referral_origin_channel; ","")&amp;IF(H477="","missing referrer_name_snapshot; ","")&amp;IF(AND(A477="client",COUNTIF(الزبائن!$A$6:$A$505,B477)=0),"client key not found; ","")&amp;IF(AND(A477="proposed_name",COUNTIF('أسماء مقترحة'!$A$6:$A$505,B477)=0),"proposed_name key not found; ",""))))</f>
        <v/>
      </c>
    </row>
    <row r="478" spans="1:17">
      <c r="A478" s="23"/>
      <c r="B478" s="24"/>
      <c r="C478" s="25"/>
      <c r="D478" s="25"/>
      <c r="E478" s="25"/>
      <c r="F478" s="25"/>
      <c r="G478" s="24"/>
      <c r="H478" s="25"/>
      <c r="I478" s="32"/>
      <c r="J478" s="25"/>
      <c r="K478" s="24"/>
      <c r="L478" s="25"/>
      <c r="M478" s="25"/>
      <c r="N478" s="25"/>
      <c r="O478" s="25"/>
      <c r="P478" s="25" t="str">
        <f>IF(AND(A478="",B478="",H478=""),"",IF(OR(A478="",B478="",C478="",E478="",F478="",H478="",AND(A478="client",COUNTIF(الزبائن!$A$6:$A$505,B478)=0),AND(A478="proposed_name",COUNTIF('أسماء مقترحة'!$A$6:$A$505,B478)=0)),"REVIEW","READY"))</f>
        <v/>
      </c>
      <c r="Q478" s="27" t="str">
        <f>IF(P478="","",IF(P478="READY","",TRIM(IF(A478="","missing entity_type; ","")&amp;IF(B478="","missing entity_key; ","")&amp;IF(C478="","missing referrer_order; ","")&amp;IF(E478="","missing referrer_type; ","")&amp;IF(F478="","missing referral_origin_channel; ","")&amp;IF(H478="","missing referrer_name_snapshot; ","")&amp;IF(AND(A478="client",COUNTIF(الزبائن!$A$6:$A$505,B478)=0),"client key not found; ","")&amp;IF(AND(A478="proposed_name",COUNTIF('أسماء مقترحة'!$A$6:$A$505,B478)=0),"proposed_name key not found; ",""))))</f>
        <v/>
      </c>
    </row>
    <row r="479" spans="1:17">
      <c r="A479" s="23"/>
      <c r="B479" s="24"/>
      <c r="C479" s="25"/>
      <c r="D479" s="25"/>
      <c r="E479" s="25"/>
      <c r="F479" s="25"/>
      <c r="G479" s="24"/>
      <c r="H479" s="25"/>
      <c r="I479" s="32"/>
      <c r="J479" s="25"/>
      <c r="K479" s="24"/>
      <c r="L479" s="25"/>
      <c r="M479" s="25"/>
      <c r="N479" s="25"/>
      <c r="O479" s="25"/>
      <c r="P479" s="25" t="str">
        <f>IF(AND(A479="",B479="",H479=""),"",IF(OR(A479="",B479="",C479="",E479="",F479="",H479="",AND(A479="client",COUNTIF(الزبائن!$A$6:$A$505,B479)=0),AND(A479="proposed_name",COUNTIF('أسماء مقترحة'!$A$6:$A$505,B479)=0)),"REVIEW","READY"))</f>
        <v/>
      </c>
      <c r="Q479" s="27" t="str">
        <f>IF(P479="","",IF(P479="READY","",TRIM(IF(A479="","missing entity_type; ","")&amp;IF(B479="","missing entity_key; ","")&amp;IF(C479="","missing referrer_order; ","")&amp;IF(E479="","missing referrer_type; ","")&amp;IF(F479="","missing referral_origin_channel; ","")&amp;IF(H479="","missing referrer_name_snapshot; ","")&amp;IF(AND(A479="client",COUNTIF(الزبائن!$A$6:$A$505,B479)=0),"client key not found; ","")&amp;IF(AND(A479="proposed_name",COUNTIF('أسماء مقترحة'!$A$6:$A$505,B479)=0),"proposed_name key not found; ",""))))</f>
        <v/>
      </c>
    </row>
    <row r="480" spans="1:17">
      <c r="A480" s="23"/>
      <c r="B480" s="24"/>
      <c r="C480" s="25"/>
      <c r="D480" s="25"/>
      <c r="E480" s="25"/>
      <c r="F480" s="25"/>
      <c r="G480" s="24"/>
      <c r="H480" s="25"/>
      <c r="I480" s="32"/>
      <c r="J480" s="25"/>
      <c r="K480" s="24"/>
      <c r="L480" s="25"/>
      <c r="M480" s="25"/>
      <c r="N480" s="25"/>
      <c r="O480" s="25"/>
      <c r="P480" s="25" t="str">
        <f>IF(AND(A480="",B480="",H480=""),"",IF(OR(A480="",B480="",C480="",E480="",F480="",H480="",AND(A480="client",COUNTIF(الزبائن!$A$6:$A$505,B480)=0),AND(A480="proposed_name",COUNTIF('أسماء مقترحة'!$A$6:$A$505,B480)=0)),"REVIEW","READY"))</f>
        <v/>
      </c>
      <c r="Q480" s="27" t="str">
        <f>IF(P480="","",IF(P480="READY","",TRIM(IF(A480="","missing entity_type; ","")&amp;IF(B480="","missing entity_key; ","")&amp;IF(C480="","missing referrer_order; ","")&amp;IF(E480="","missing referrer_type; ","")&amp;IF(F480="","missing referral_origin_channel; ","")&amp;IF(H480="","missing referrer_name_snapshot; ","")&amp;IF(AND(A480="client",COUNTIF(الزبائن!$A$6:$A$505,B480)=0),"client key not found; ","")&amp;IF(AND(A480="proposed_name",COUNTIF('أسماء مقترحة'!$A$6:$A$505,B480)=0),"proposed_name key not found; ",""))))</f>
        <v/>
      </c>
    </row>
    <row r="481" spans="1:17">
      <c r="A481" s="23"/>
      <c r="B481" s="24"/>
      <c r="C481" s="25"/>
      <c r="D481" s="25"/>
      <c r="E481" s="25"/>
      <c r="F481" s="25"/>
      <c r="G481" s="24"/>
      <c r="H481" s="25"/>
      <c r="I481" s="32"/>
      <c r="J481" s="25"/>
      <c r="K481" s="24"/>
      <c r="L481" s="25"/>
      <c r="M481" s="25"/>
      <c r="N481" s="25"/>
      <c r="O481" s="25"/>
      <c r="P481" s="25" t="str">
        <f>IF(AND(A481="",B481="",H481=""),"",IF(OR(A481="",B481="",C481="",E481="",F481="",H481="",AND(A481="client",COUNTIF(الزبائن!$A$6:$A$505,B481)=0),AND(A481="proposed_name",COUNTIF('أسماء مقترحة'!$A$6:$A$505,B481)=0)),"REVIEW","READY"))</f>
        <v/>
      </c>
      <c r="Q481" s="27" t="str">
        <f>IF(P481="","",IF(P481="READY","",TRIM(IF(A481="","missing entity_type; ","")&amp;IF(B481="","missing entity_key; ","")&amp;IF(C481="","missing referrer_order; ","")&amp;IF(E481="","missing referrer_type; ","")&amp;IF(F481="","missing referral_origin_channel; ","")&amp;IF(H481="","missing referrer_name_snapshot; ","")&amp;IF(AND(A481="client",COUNTIF(الزبائن!$A$6:$A$505,B481)=0),"client key not found; ","")&amp;IF(AND(A481="proposed_name",COUNTIF('أسماء مقترحة'!$A$6:$A$505,B481)=0),"proposed_name key not found; ",""))))</f>
        <v/>
      </c>
    </row>
    <row r="482" spans="1:17">
      <c r="A482" s="23"/>
      <c r="B482" s="24"/>
      <c r="C482" s="25"/>
      <c r="D482" s="25"/>
      <c r="E482" s="25"/>
      <c r="F482" s="25"/>
      <c r="G482" s="24"/>
      <c r="H482" s="25"/>
      <c r="I482" s="32"/>
      <c r="J482" s="25"/>
      <c r="K482" s="24"/>
      <c r="L482" s="25"/>
      <c r="M482" s="25"/>
      <c r="N482" s="25"/>
      <c r="O482" s="25"/>
      <c r="P482" s="25" t="str">
        <f>IF(AND(A482="",B482="",H482=""),"",IF(OR(A482="",B482="",C482="",E482="",F482="",H482="",AND(A482="client",COUNTIF(الزبائن!$A$6:$A$505,B482)=0),AND(A482="proposed_name",COUNTIF('أسماء مقترحة'!$A$6:$A$505,B482)=0)),"REVIEW","READY"))</f>
        <v/>
      </c>
      <c r="Q482" s="27" t="str">
        <f>IF(P482="","",IF(P482="READY","",TRIM(IF(A482="","missing entity_type; ","")&amp;IF(B482="","missing entity_key; ","")&amp;IF(C482="","missing referrer_order; ","")&amp;IF(E482="","missing referrer_type; ","")&amp;IF(F482="","missing referral_origin_channel; ","")&amp;IF(H482="","missing referrer_name_snapshot; ","")&amp;IF(AND(A482="client",COUNTIF(الزبائن!$A$6:$A$505,B482)=0),"client key not found; ","")&amp;IF(AND(A482="proposed_name",COUNTIF('أسماء مقترحة'!$A$6:$A$505,B482)=0),"proposed_name key not found; ",""))))</f>
        <v/>
      </c>
    </row>
    <row r="483" spans="1:17">
      <c r="A483" s="23"/>
      <c r="B483" s="24"/>
      <c r="C483" s="25"/>
      <c r="D483" s="25"/>
      <c r="E483" s="25"/>
      <c r="F483" s="25"/>
      <c r="G483" s="24"/>
      <c r="H483" s="25"/>
      <c r="I483" s="32"/>
      <c r="J483" s="25"/>
      <c r="K483" s="24"/>
      <c r="L483" s="25"/>
      <c r="M483" s="25"/>
      <c r="N483" s="25"/>
      <c r="O483" s="25"/>
      <c r="P483" s="25" t="str">
        <f>IF(AND(A483="",B483="",H483=""),"",IF(OR(A483="",B483="",C483="",E483="",F483="",H483="",AND(A483="client",COUNTIF(الزبائن!$A$6:$A$505,B483)=0),AND(A483="proposed_name",COUNTIF('أسماء مقترحة'!$A$6:$A$505,B483)=0)),"REVIEW","READY"))</f>
        <v/>
      </c>
      <c r="Q483" s="27" t="str">
        <f>IF(P483="","",IF(P483="READY","",TRIM(IF(A483="","missing entity_type; ","")&amp;IF(B483="","missing entity_key; ","")&amp;IF(C483="","missing referrer_order; ","")&amp;IF(E483="","missing referrer_type; ","")&amp;IF(F483="","missing referral_origin_channel; ","")&amp;IF(H483="","missing referrer_name_snapshot; ","")&amp;IF(AND(A483="client",COUNTIF(الزبائن!$A$6:$A$505,B483)=0),"client key not found; ","")&amp;IF(AND(A483="proposed_name",COUNTIF('أسماء مقترحة'!$A$6:$A$505,B483)=0),"proposed_name key not found; ",""))))</f>
        <v/>
      </c>
    </row>
    <row r="484" spans="1:17">
      <c r="A484" s="23"/>
      <c r="B484" s="24"/>
      <c r="C484" s="25"/>
      <c r="D484" s="25"/>
      <c r="E484" s="25"/>
      <c r="F484" s="25"/>
      <c r="G484" s="24"/>
      <c r="H484" s="25"/>
      <c r="I484" s="32"/>
      <c r="J484" s="25"/>
      <c r="K484" s="24"/>
      <c r="L484" s="25"/>
      <c r="M484" s="25"/>
      <c r="N484" s="25"/>
      <c r="O484" s="25"/>
      <c r="P484" s="25" t="str">
        <f>IF(AND(A484="",B484="",H484=""),"",IF(OR(A484="",B484="",C484="",E484="",F484="",H484="",AND(A484="client",COUNTIF(الزبائن!$A$6:$A$505,B484)=0),AND(A484="proposed_name",COUNTIF('أسماء مقترحة'!$A$6:$A$505,B484)=0)),"REVIEW","READY"))</f>
        <v/>
      </c>
      <c r="Q484" s="27" t="str">
        <f>IF(P484="","",IF(P484="READY","",TRIM(IF(A484="","missing entity_type; ","")&amp;IF(B484="","missing entity_key; ","")&amp;IF(C484="","missing referrer_order; ","")&amp;IF(E484="","missing referrer_type; ","")&amp;IF(F484="","missing referral_origin_channel; ","")&amp;IF(H484="","missing referrer_name_snapshot; ","")&amp;IF(AND(A484="client",COUNTIF(الزبائن!$A$6:$A$505,B484)=0),"client key not found; ","")&amp;IF(AND(A484="proposed_name",COUNTIF('أسماء مقترحة'!$A$6:$A$505,B484)=0),"proposed_name key not found; ",""))))</f>
        <v/>
      </c>
    </row>
    <row r="485" spans="1:17">
      <c r="A485" s="23"/>
      <c r="B485" s="24"/>
      <c r="C485" s="25"/>
      <c r="D485" s="25"/>
      <c r="E485" s="25"/>
      <c r="F485" s="25"/>
      <c r="G485" s="24"/>
      <c r="H485" s="25"/>
      <c r="I485" s="32"/>
      <c r="J485" s="25"/>
      <c r="K485" s="24"/>
      <c r="L485" s="25"/>
      <c r="M485" s="25"/>
      <c r="N485" s="25"/>
      <c r="O485" s="25"/>
      <c r="P485" s="25" t="str">
        <f>IF(AND(A485="",B485="",H485=""),"",IF(OR(A485="",B485="",C485="",E485="",F485="",H485="",AND(A485="client",COUNTIF(الزبائن!$A$6:$A$505,B485)=0),AND(A485="proposed_name",COUNTIF('أسماء مقترحة'!$A$6:$A$505,B485)=0)),"REVIEW","READY"))</f>
        <v/>
      </c>
      <c r="Q485" s="27" t="str">
        <f>IF(P485="","",IF(P485="READY","",TRIM(IF(A485="","missing entity_type; ","")&amp;IF(B485="","missing entity_key; ","")&amp;IF(C485="","missing referrer_order; ","")&amp;IF(E485="","missing referrer_type; ","")&amp;IF(F485="","missing referral_origin_channel; ","")&amp;IF(H485="","missing referrer_name_snapshot; ","")&amp;IF(AND(A485="client",COUNTIF(الزبائن!$A$6:$A$505,B485)=0),"client key not found; ","")&amp;IF(AND(A485="proposed_name",COUNTIF('أسماء مقترحة'!$A$6:$A$505,B485)=0),"proposed_name key not found; ",""))))</f>
        <v/>
      </c>
    </row>
    <row r="486" spans="1:17">
      <c r="A486" s="23"/>
      <c r="B486" s="24"/>
      <c r="C486" s="25"/>
      <c r="D486" s="25"/>
      <c r="E486" s="25"/>
      <c r="F486" s="25"/>
      <c r="G486" s="24"/>
      <c r="H486" s="25"/>
      <c r="I486" s="32"/>
      <c r="J486" s="25"/>
      <c r="K486" s="24"/>
      <c r="L486" s="25"/>
      <c r="M486" s="25"/>
      <c r="N486" s="25"/>
      <c r="O486" s="25"/>
      <c r="P486" s="25" t="str">
        <f>IF(AND(A486="",B486="",H486=""),"",IF(OR(A486="",B486="",C486="",E486="",F486="",H486="",AND(A486="client",COUNTIF(الزبائن!$A$6:$A$505,B486)=0),AND(A486="proposed_name",COUNTIF('أسماء مقترحة'!$A$6:$A$505,B486)=0)),"REVIEW","READY"))</f>
        <v/>
      </c>
      <c r="Q486" s="27" t="str">
        <f>IF(P486="","",IF(P486="READY","",TRIM(IF(A486="","missing entity_type; ","")&amp;IF(B486="","missing entity_key; ","")&amp;IF(C486="","missing referrer_order; ","")&amp;IF(E486="","missing referrer_type; ","")&amp;IF(F486="","missing referral_origin_channel; ","")&amp;IF(H486="","missing referrer_name_snapshot; ","")&amp;IF(AND(A486="client",COUNTIF(الزبائن!$A$6:$A$505,B486)=0),"client key not found; ","")&amp;IF(AND(A486="proposed_name",COUNTIF('أسماء مقترحة'!$A$6:$A$505,B486)=0),"proposed_name key not found; ",""))))</f>
        <v/>
      </c>
    </row>
    <row r="487" spans="1:17">
      <c r="A487" s="23"/>
      <c r="B487" s="24"/>
      <c r="C487" s="25"/>
      <c r="D487" s="25"/>
      <c r="E487" s="25"/>
      <c r="F487" s="25"/>
      <c r="G487" s="24"/>
      <c r="H487" s="25"/>
      <c r="I487" s="32"/>
      <c r="J487" s="25"/>
      <c r="K487" s="24"/>
      <c r="L487" s="25"/>
      <c r="M487" s="25"/>
      <c r="N487" s="25"/>
      <c r="O487" s="25"/>
      <c r="P487" s="25" t="str">
        <f>IF(AND(A487="",B487="",H487=""),"",IF(OR(A487="",B487="",C487="",E487="",F487="",H487="",AND(A487="client",COUNTIF(الزبائن!$A$6:$A$505,B487)=0),AND(A487="proposed_name",COUNTIF('أسماء مقترحة'!$A$6:$A$505,B487)=0)),"REVIEW","READY"))</f>
        <v/>
      </c>
      <c r="Q487" s="27" t="str">
        <f>IF(P487="","",IF(P487="READY","",TRIM(IF(A487="","missing entity_type; ","")&amp;IF(B487="","missing entity_key; ","")&amp;IF(C487="","missing referrer_order; ","")&amp;IF(E487="","missing referrer_type; ","")&amp;IF(F487="","missing referral_origin_channel; ","")&amp;IF(H487="","missing referrer_name_snapshot; ","")&amp;IF(AND(A487="client",COUNTIF(الزبائن!$A$6:$A$505,B487)=0),"client key not found; ","")&amp;IF(AND(A487="proposed_name",COUNTIF('أسماء مقترحة'!$A$6:$A$505,B487)=0),"proposed_name key not found; ",""))))</f>
        <v/>
      </c>
    </row>
    <row r="488" spans="1:17">
      <c r="A488" s="23"/>
      <c r="B488" s="24"/>
      <c r="C488" s="25"/>
      <c r="D488" s="25"/>
      <c r="E488" s="25"/>
      <c r="F488" s="25"/>
      <c r="G488" s="24"/>
      <c r="H488" s="25"/>
      <c r="I488" s="32"/>
      <c r="J488" s="25"/>
      <c r="K488" s="24"/>
      <c r="L488" s="25"/>
      <c r="M488" s="25"/>
      <c r="N488" s="25"/>
      <c r="O488" s="25"/>
      <c r="P488" s="25" t="str">
        <f>IF(AND(A488="",B488="",H488=""),"",IF(OR(A488="",B488="",C488="",E488="",F488="",H488="",AND(A488="client",COUNTIF(الزبائن!$A$6:$A$505,B488)=0),AND(A488="proposed_name",COUNTIF('أسماء مقترحة'!$A$6:$A$505,B488)=0)),"REVIEW","READY"))</f>
        <v/>
      </c>
      <c r="Q488" s="27" t="str">
        <f>IF(P488="","",IF(P488="READY","",TRIM(IF(A488="","missing entity_type; ","")&amp;IF(B488="","missing entity_key; ","")&amp;IF(C488="","missing referrer_order; ","")&amp;IF(E488="","missing referrer_type; ","")&amp;IF(F488="","missing referral_origin_channel; ","")&amp;IF(H488="","missing referrer_name_snapshot; ","")&amp;IF(AND(A488="client",COUNTIF(الزبائن!$A$6:$A$505,B488)=0),"client key not found; ","")&amp;IF(AND(A488="proposed_name",COUNTIF('أسماء مقترحة'!$A$6:$A$505,B488)=0),"proposed_name key not found; ",""))))</f>
        <v/>
      </c>
    </row>
    <row r="489" spans="1:17">
      <c r="A489" s="23"/>
      <c r="B489" s="24"/>
      <c r="C489" s="25"/>
      <c r="D489" s="25"/>
      <c r="E489" s="25"/>
      <c r="F489" s="25"/>
      <c r="G489" s="24"/>
      <c r="H489" s="25"/>
      <c r="I489" s="32"/>
      <c r="J489" s="25"/>
      <c r="K489" s="24"/>
      <c r="L489" s="25"/>
      <c r="M489" s="25"/>
      <c r="N489" s="25"/>
      <c r="O489" s="25"/>
      <c r="P489" s="25" t="str">
        <f>IF(AND(A489="",B489="",H489=""),"",IF(OR(A489="",B489="",C489="",E489="",F489="",H489="",AND(A489="client",COUNTIF(الزبائن!$A$6:$A$505,B489)=0),AND(A489="proposed_name",COUNTIF('أسماء مقترحة'!$A$6:$A$505,B489)=0)),"REVIEW","READY"))</f>
        <v/>
      </c>
      <c r="Q489" s="27" t="str">
        <f>IF(P489="","",IF(P489="READY","",TRIM(IF(A489="","missing entity_type; ","")&amp;IF(B489="","missing entity_key; ","")&amp;IF(C489="","missing referrer_order; ","")&amp;IF(E489="","missing referrer_type; ","")&amp;IF(F489="","missing referral_origin_channel; ","")&amp;IF(H489="","missing referrer_name_snapshot; ","")&amp;IF(AND(A489="client",COUNTIF(الزبائن!$A$6:$A$505,B489)=0),"client key not found; ","")&amp;IF(AND(A489="proposed_name",COUNTIF('أسماء مقترحة'!$A$6:$A$505,B489)=0),"proposed_name key not found; ",""))))</f>
        <v/>
      </c>
    </row>
    <row r="490" spans="1:17">
      <c r="A490" s="23"/>
      <c r="B490" s="24"/>
      <c r="C490" s="25"/>
      <c r="D490" s="25"/>
      <c r="E490" s="25"/>
      <c r="F490" s="25"/>
      <c r="G490" s="24"/>
      <c r="H490" s="25"/>
      <c r="I490" s="32"/>
      <c r="J490" s="25"/>
      <c r="K490" s="24"/>
      <c r="L490" s="25"/>
      <c r="M490" s="25"/>
      <c r="N490" s="25"/>
      <c r="O490" s="25"/>
      <c r="P490" s="25" t="str">
        <f>IF(AND(A490="",B490="",H490=""),"",IF(OR(A490="",B490="",C490="",E490="",F490="",H490="",AND(A490="client",COUNTIF(الزبائن!$A$6:$A$505,B490)=0),AND(A490="proposed_name",COUNTIF('أسماء مقترحة'!$A$6:$A$505,B490)=0)),"REVIEW","READY"))</f>
        <v/>
      </c>
      <c r="Q490" s="27" t="str">
        <f>IF(P490="","",IF(P490="READY","",TRIM(IF(A490="","missing entity_type; ","")&amp;IF(B490="","missing entity_key; ","")&amp;IF(C490="","missing referrer_order; ","")&amp;IF(E490="","missing referrer_type; ","")&amp;IF(F490="","missing referral_origin_channel; ","")&amp;IF(H490="","missing referrer_name_snapshot; ","")&amp;IF(AND(A490="client",COUNTIF(الزبائن!$A$6:$A$505,B490)=0),"client key not found; ","")&amp;IF(AND(A490="proposed_name",COUNTIF('أسماء مقترحة'!$A$6:$A$505,B490)=0),"proposed_name key not found; ",""))))</f>
        <v/>
      </c>
    </row>
    <row r="491" spans="1:17">
      <c r="A491" s="23"/>
      <c r="B491" s="24"/>
      <c r="C491" s="25"/>
      <c r="D491" s="25"/>
      <c r="E491" s="25"/>
      <c r="F491" s="25"/>
      <c r="G491" s="24"/>
      <c r="H491" s="25"/>
      <c r="I491" s="32"/>
      <c r="J491" s="25"/>
      <c r="K491" s="24"/>
      <c r="L491" s="25"/>
      <c r="M491" s="25"/>
      <c r="N491" s="25"/>
      <c r="O491" s="25"/>
      <c r="P491" s="25" t="str">
        <f>IF(AND(A491="",B491="",H491=""),"",IF(OR(A491="",B491="",C491="",E491="",F491="",H491="",AND(A491="client",COUNTIF(الزبائن!$A$6:$A$505,B491)=0),AND(A491="proposed_name",COUNTIF('أسماء مقترحة'!$A$6:$A$505,B491)=0)),"REVIEW","READY"))</f>
        <v/>
      </c>
      <c r="Q491" s="27" t="str">
        <f>IF(P491="","",IF(P491="READY","",TRIM(IF(A491="","missing entity_type; ","")&amp;IF(B491="","missing entity_key; ","")&amp;IF(C491="","missing referrer_order; ","")&amp;IF(E491="","missing referrer_type; ","")&amp;IF(F491="","missing referral_origin_channel; ","")&amp;IF(H491="","missing referrer_name_snapshot; ","")&amp;IF(AND(A491="client",COUNTIF(الزبائن!$A$6:$A$505,B491)=0),"client key not found; ","")&amp;IF(AND(A491="proposed_name",COUNTIF('أسماء مقترحة'!$A$6:$A$505,B491)=0),"proposed_name key not found; ",""))))</f>
        <v/>
      </c>
    </row>
    <row r="492" spans="1:17">
      <c r="A492" s="23"/>
      <c r="B492" s="24"/>
      <c r="C492" s="25"/>
      <c r="D492" s="25"/>
      <c r="E492" s="25"/>
      <c r="F492" s="25"/>
      <c r="G492" s="24"/>
      <c r="H492" s="25"/>
      <c r="I492" s="32"/>
      <c r="J492" s="25"/>
      <c r="K492" s="24"/>
      <c r="L492" s="25"/>
      <c r="M492" s="25"/>
      <c r="N492" s="25"/>
      <c r="O492" s="25"/>
      <c r="P492" s="25" t="str">
        <f>IF(AND(A492="",B492="",H492=""),"",IF(OR(A492="",B492="",C492="",E492="",F492="",H492="",AND(A492="client",COUNTIF(الزبائن!$A$6:$A$505,B492)=0),AND(A492="proposed_name",COUNTIF('أسماء مقترحة'!$A$6:$A$505,B492)=0)),"REVIEW","READY"))</f>
        <v/>
      </c>
      <c r="Q492" s="27" t="str">
        <f>IF(P492="","",IF(P492="READY","",TRIM(IF(A492="","missing entity_type; ","")&amp;IF(B492="","missing entity_key; ","")&amp;IF(C492="","missing referrer_order; ","")&amp;IF(E492="","missing referrer_type; ","")&amp;IF(F492="","missing referral_origin_channel; ","")&amp;IF(H492="","missing referrer_name_snapshot; ","")&amp;IF(AND(A492="client",COUNTIF(الزبائن!$A$6:$A$505,B492)=0),"client key not found; ","")&amp;IF(AND(A492="proposed_name",COUNTIF('أسماء مقترحة'!$A$6:$A$505,B492)=0),"proposed_name key not found; ",""))))</f>
        <v/>
      </c>
    </row>
    <row r="493" spans="1:17">
      <c r="A493" s="23"/>
      <c r="B493" s="24"/>
      <c r="C493" s="25"/>
      <c r="D493" s="25"/>
      <c r="E493" s="25"/>
      <c r="F493" s="25"/>
      <c r="G493" s="24"/>
      <c r="H493" s="25"/>
      <c r="I493" s="32"/>
      <c r="J493" s="25"/>
      <c r="K493" s="24"/>
      <c r="L493" s="25"/>
      <c r="M493" s="25"/>
      <c r="N493" s="25"/>
      <c r="O493" s="25"/>
      <c r="P493" s="25" t="str">
        <f>IF(AND(A493="",B493="",H493=""),"",IF(OR(A493="",B493="",C493="",E493="",F493="",H493="",AND(A493="client",COUNTIF(الزبائن!$A$6:$A$505,B493)=0),AND(A493="proposed_name",COUNTIF('أسماء مقترحة'!$A$6:$A$505,B493)=0)),"REVIEW","READY"))</f>
        <v/>
      </c>
      <c r="Q493" s="27" t="str">
        <f>IF(P493="","",IF(P493="READY","",TRIM(IF(A493="","missing entity_type; ","")&amp;IF(B493="","missing entity_key; ","")&amp;IF(C493="","missing referrer_order; ","")&amp;IF(E493="","missing referrer_type; ","")&amp;IF(F493="","missing referral_origin_channel; ","")&amp;IF(H493="","missing referrer_name_snapshot; ","")&amp;IF(AND(A493="client",COUNTIF(الزبائن!$A$6:$A$505,B493)=0),"client key not found; ","")&amp;IF(AND(A493="proposed_name",COUNTIF('أسماء مقترحة'!$A$6:$A$505,B493)=0),"proposed_name key not found; ",""))))</f>
        <v/>
      </c>
    </row>
    <row r="494" spans="1:17">
      <c r="A494" s="23"/>
      <c r="B494" s="24"/>
      <c r="C494" s="25"/>
      <c r="D494" s="25"/>
      <c r="E494" s="25"/>
      <c r="F494" s="25"/>
      <c r="G494" s="24"/>
      <c r="H494" s="25"/>
      <c r="I494" s="32"/>
      <c r="J494" s="25"/>
      <c r="K494" s="24"/>
      <c r="L494" s="25"/>
      <c r="M494" s="25"/>
      <c r="N494" s="25"/>
      <c r="O494" s="25"/>
      <c r="P494" s="25" t="str">
        <f>IF(AND(A494="",B494="",H494=""),"",IF(OR(A494="",B494="",C494="",E494="",F494="",H494="",AND(A494="client",COUNTIF(الزبائن!$A$6:$A$505,B494)=0),AND(A494="proposed_name",COUNTIF('أسماء مقترحة'!$A$6:$A$505,B494)=0)),"REVIEW","READY"))</f>
        <v/>
      </c>
      <c r="Q494" s="27" t="str">
        <f>IF(P494="","",IF(P494="READY","",TRIM(IF(A494="","missing entity_type; ","")&amp;IF(B494="","missing entity_key; ","")&amp;IF(C494="","missing referrer_order; ","")&amp;IF(E494="","missing referrer_type; ","")&amp;IF(F494="","missing referral_origin_channel; ","")&amp;IF(H494="","missing referrer_name_snapshot; ","")&amp;IF(AND(A494="client",COUNTIF(الزبائن!$A$6:$A$505,B494)=0),"client key not found; ","")&amp;IF(AND(A494="proposed_name",COUNTIF('أسماء مقترحة'!$A$6:$A$505,B494)=0),"proposed_name key not found; ",""))))</f>
        <v/>
      </c>
    </row>
    <row r="495" spans="1:17">
      <c r="A495" s="23"/>
      <c r="B495" s="24"/>
      <c r="C495" s="25"/>
      <c r="D495" s="25"/>
      <c r="E495" s="25"/>
      <c r="F495" s="25"/>
      <c r="G495" s="24"/>
      <c r="H495" s="25"/>
      <c r="I495" s="32"/>
      <c r="J495" s="25"/>
      <c r="K495" s="24"/>
      <c r="L495" s="25"/>
      <c r="M495" s="25"/>
      <c r="N495" s="25"/>
      <c r="O495" s="25"/>
      <c r="P495" s="25" t="str">
        <f>IF(AND(A495="",B495="",H495=""),"",IF(OR(A495="",B495="",C495="",E495="",F495="",H495="",AND(A495="client",COUNTIF(الزبائن!$A$6:$A$505,B495)=0),AND(A495="proposed_name",COUNTIF('أسماء مقترحة'!$A$6:$A$505,B495)=0)),"REVIEW","READY"))</f>
        <v/>
      </c>
      <c r="Q495" s="27" t="str">
        <f>IF(P495="","",IF(P495="READY","",TRIM(IF(A495="","missing entity_type; ","")&amp;IF(B495="","missing entity_key; ","")&amp;IF(C495="","missing referrer_order; ","")&amp;IF(E495="","missing referrer_type; ","")&amp;IF(F495="","missing referral_origin_channel; ","")&amp;IF(H495="","missing referrer_name_snapshot; ","")&amp;IF(AND(A495="client",COUNTIF(الزبائن!$A$6:$A$505,B495)=0),"client key not found; ","")&amp;IF(AND(A495="proposed_name",COUNTIF('أسماء مقترحة'!$A$6:$A$505,B495)=0),"proposed_name key not found; ",""))))</f>
        <v/>
      </c>
    </row>
    <row r="496" spans="1:17">
      <c r="A496" s="23"/>
      <c r="B496" s="24"/>
      <c r="C496" s="25"/>
      <c r="D496" s="25"/>
      <c r="E496" s="25"/>
      <c r="F496" s="25"/>
      <c r="G496" s="24"/>
      <c r="H496" s="25"/>
      <c r="I496" s="32"/>
      <c r="J496" s="25"/>
      <c r="K496" s="24"/>
      <c r="L496" s="25"/>
      <c r="M496" s="25"/>
      <c r="N496" s="25"/>
      <c r="O496" s="25"/>
      <c r="P496" s="25" t="str">
        <f>IF(AND(A496="",B496="",H496=""),"",IF(OR(A496="",B496="",C496="",E496="",F496="",H496="",AND(A496="client",COUNTIF(الزبائن!$A$6:$A$505,B496)=0),AND(A496="proposed_name",COUNTIF('أسماء مقترحة'!$A$6:$A$505,B496)=0)),"REVIEW","READY"))</f>
        <v/>
      </c>
      <c r="Q496" s="27" t="str">
        <f>IF(P496="","",IF(P496="READY","",TRIM(IF(A496="","missing entity_type; ","")&amp;IF(B496="","missing entity_key; ","")&amp;IF(C496="","missing referrer_order; ","")&amp;IF(E496="","missing referrer_type; ","")&amp;IF(F496="","missing referral_origin_channel; ","")&amp;IF(H496="","missing referrer_name_snapshot; ","")&amp;IF(AND(A496="client",COUNTIF(الزبائن!$A$6:$A$505,B496)=0),"client key not found; ","")&amp;IF(AND(A496="proposed_name",COUNTIF('أسماء مقترحة'!$A$6:$A$505,B496)=0),"proposed_name key not found; ",""))))</f>
        <v/>
      </c>
    </row>
    <row r="497" spans="1:17">
      <c r="A497" s="23"/>
      <c r="B497" s="24"/>
      <c r="C497" s="25"/>
      <c r="D497" s="25"/>
      <c r="E497" s="25"/>
      <c r="F497" s="25"/>
      <c r="G497" s="24"/>
      <c r="H497" s="25"/>
      <c r="I497" s="32"/>
      <c r="J497" s="25"/>
      <c r="K497" s="24"/>
      <c r="L497" s="25"/>
      <c r="M497" s="25"/>
      <c r="N497" s="25"/>
      <c r="O497" s="25"/>
      <c r="P497" s="25" t="str">
        <f>IF(AND(A497="",B497="",H497=""),"",IF(OR(A497="",B497="",C497="",E497="",F497="",H497="",AND(A497="client",COUNTIF(الزبائن!$A$6:$A$505,B497)=0),AND(A497="proposed_name",COUNTIF('أسماء مقترحة'!$A$6:$A$505,B497)=0)),"REVIEW","READY"))</f>
        <v/>
      </c>
      <c r="Q497" s="27" t="str">
        <f>IF(P497="","",IF(P497="READY","",TRIM(IF(A497="","missing entity_type; ","")&amp;IF(B497="","missing entity_key; ","")&amp;IF(C497="","missing referrer_order; ","")&amp;IF(E497="","missing referrer_type; ","")&amp;IF(F497="","missing referral_origin_channel; ","")&amp;IF(H497="","missing referrer_name_snapshot; ","")&amp;IF(AND(A497="client",COUNTIF(الزبائن!$A$6:$A$505,B497)=0),"client key not found; ","")&amp;IF(AND(A497="proposed_name",COUNTIF('أسماء مقترحة'!$A$6:$A$505,B497)=0),"proposed_name key not found; ",""))))</f>
        <v/>
      </c>
    </row>
    <row r="498" spans="1:17">
      <c r="A498" s="23"/>
      <c r="B498" s="24"/>
      <c r="C498" s="25"/>
      <c r="D498" s="25"/>
      <c r="E498" s="25"/>
      <c r="F498" s="25"/>
      <c r="G498" s="24"/>
      <c r="H498" s="25"/>
      <c r="I498" s="32"/>
      <c r="J498" s="25"/>
      <c r="K498" s="24"/>
      <c r="L498" s="25"/>
      <c r="M498" s="25"/>
      <c r="N498" s="25"/>
      <c r="O498" s="25"/>
      <c r="P498" s="25" t="str">
        <f>IF(AND(A498="",B498="",H498=""),"",IF(OR(A498="",B498="",C498="",E498="",F498="",H498="",AND(A498="client",COUNTIF(الزبائن!$A$6:$A$505,B498)=0),AND(A498="proposed_name",COUNTIF('أسماء مقترحة'!$A$6:$A$505,B498)=0)),"REVIEW","READY"))</f>
        <v/>
      </c>
      <c r="Q498" s="27" t="str">
        <f>IF(P498="","",IF(P498="READY","",TRIM(IF(A498="","missing entity_type; ","")&amp;IF(B498="","missing entity_key; ","")&amp;IF(C498="","missing referrer_order; ","")&amp;IF(E498="","missing referrer_type; ","")&amp;IF(F498="","missing referral_origin_channel; ","")&amp;IF(H498="","missing referrer_name_snapshot; ","")&amp;IF(AND(A498="client",COUNTIF(الزبائن!$A$6:$A$505,B498)=0),"client key not found; ","")&amp;IF(AND(A498="proposed_name",COUNTIF('أسماء مقترحة'!$A$6:$A$505,B498)=0),"proposed_name key not found; ",""))))</f>
        <v/>
      </c>
    </row>
    <row r="499" spans="1:17">
      <c r="A499" s="23"/>
      <c r="B499" s="24"/>
      <c r="C499" s="25"/>
      <c r="D499" s="25"/>
      <c r="E499" s="25"/>
      <c r="F499" s="25"/>
      <c r="G499" s="24"/>
      <c r="H499" s="25"/>
      <c r="I499" s="32"/>
      <c r="J499" s="25"/>
      <c r="K499" s="24"/>
      <c r="L499" s="25"/>
      <c r="M499" s="25"/>
      <c r="N499" s="25"/>
      <c r="O499" s="25"/>
      <c r="P499" s="25" t="str">
        <f>IF(AND(A499="",B499="",H499=""),"",IF(OR(A499="",B499="",C499="",E499="",F499="",H499="",AND(A499="client",COUNTIF(الزبائن!$A$6:$A$505,B499)=0),AND(A499="proposed_name",COUNTIF('أسماء مقترحة'!$A$6:$A$505,B499)=0)),"REVIEW","READY"))</f>
        <v/>
      </c>
      <c r="Q499" s="27" t="str">
        <f>IF(P499="","",IF(P499="READY","",TRIM(IF(A499="","missing entity_type; ","")&amp;IF(B499="","missing entity_key; ","")&amp;IF(C499="","missing referrer_order; ","")&amp;IF(E499="","missing referrer_type; ","")&amp;IF(F499="","missing referral_origin_channel; ","")&amp;IF(H499="","missing referrer_name_snapshot; ","")&amp;IF(AND(A499="client",COUNTIF(الزبائن!$A$6:$A$505,B499)=0),"client key not found; ","")&amp;IF(AND(A499="proposed_name",COUNTIF('أسماء مقترحة'!$A$6:$A$505,B499)=0),"proposed_name key not found; ",""))))</f>
        <v/>
      </c>
    </row>
    <row r="500" spans="1:17">
      <c r="A500" s="23"/>
      <c r="B500" s="24"/>
      <c r="C500" s="25"/>
      <c r="D500" s="25"/>
      <c r="E500" s="25"/>
      <c r="F500" s="25"/>
      <c r="G500" s="24"/>
      <c r="H500" s="25"/>
      <c r="I500" s="32"/>
      <c r="J500" s="25"/>
      <c r="K500" s="24"/>
      <c r="L500" s="25"/>
      <c r="M500" s="25"/>
      <c r="N500" s="25"/>
      <c r="O500" s="25"/>
      <c r="P500" s="25" t="str">
        <f>IF(AND(A500="",B500="",H500=""),"",IF(OR(A500="",B500="",C500="",E500="",F500="",H500="",AND(A500="client",COUNTIF(الزبائن!$A$6:$A$505,B500)=0),AND(A500="proposed_name",COUNTIF('أسماء مقترحة'!$A$6:$A$505,B500)=0)),"REVIEW","READY"))</f>
        <v/>
      </c>
      <c r="Q500" s="27" t="str">
        <f>IF(P500="","",IF(P500="READY","",TRIM(IF(A500="","missing entity_type; ","")&amp;IF(B500="","missing entity_key; ","")&amp;IF(C500="","missing referrer_order; ","")&amp;IF(E500="","missing referrer_type; ","")&amp;IF(F500="","missing referral_origin_channel; ","")&amp;IF(H500="","missing referrer_name_snapshot; ","")&amp;IF(AND(A500="client",COUNTIF(الزبائن!$A$6:$A$505,B500)=0),"client key not found; ","")&amp;IF(AND(A500="proposed_name",COUNTIF('أسماء مقترحة'!$A$6:$A$505,B500)=0),"proposed_name key not found; ",""))))</f>
        <v/>
      </c>
    </row>
    <row r="501" spans="1:17">
      <c r="A501" s="23"/>
      <c r="B501" s="24"/>
      <c r="C501" s="25"/>
      <c r="D501" s="25"/>
      <c r="E501" s="25"/>
      <c r="F501" s="25"/>
      <c r="G501" s="24"/>
      <c r="H501" s="25"/>
      <c r="I501" s="32"/>
      <c r="J501" s="25"/>
      <c r="K501" s="24"/>
      <c r="L501" s="25"/>
      <c r="M501" s="25"/>
      <c r="N501" s="25"/>
      <c r="O501" s="25"/>
      <c r="P501" s="25" t="str">
        <f>IF(AND(A501="",B501="",H501=""),"",IF(OR(A501="",B501="",C501="",E501="",F501="",H501="",AND(A501="client",COUNTIF(الزبائن!$A$6:$A$505,B501)=0),AND(A501="proposed_name",COUNTIF('أسماء مقترحة'!$A$6:$A$505,B501)=0)),"REVIEW","READY"))</f>
        <v/>
      </c>
      <c r="Q501" s="27" t="str">
        <f>IF(P501="","",IF(P501="READY","",TRIM(IF(A501="","missing entity_type; ","")&amp;IF(B501="","missing entity_key; ","")&amp;IF(C501="","missing referrer_order; ","")&amp;IF(E501="","missing referrer_type; ","")&amp;IF(F501="","missing referral_origin_channel; ","")&amp;IF(H501="","missing referrer_name_snapshot; ","")&amp;IF(AND(A501="client",COUNTIF(الزبائن!$A$6:$A$505,B501)=0),"client key not found; ","")&amp;IF(AND(A501="proposed_name",COUNTIF('أسماء مقترحة'!$A$6:$A$505,B501)=0),"proposed_name key not found; ",""))))</f>
        <v/>
      </c>
    </row>
    <row r="502" spans="1:17">
      <c r="A502" s="23"/>
      <c r="B502" s="24"/>
      <c r="C502" s="25"/>
      <c r="D502" s="25"/>
      <c r="E502" s="25"/>
      <c r="F502" s="25"/>
      <c r="G502" s="24"/>
      <c r="H502" s="25"/>
      <c r="I502" s="32"/>
      <c r="J502" s="25"/>
      <c r="K502" s="24"/>
      <c r="L502" s="25"/>
      <c r="M502" s="25"/>
      <c r="N502" s="25"/>
      <c r="O502" s="25"/>
      <c r="P502" s="25" t="str">
        <f>IF(AND(A502="",B502="",H502=""),"",IF(OR(A502="",B502="",C502="",E502="",F502="",H502="",AND(A502="client",COUNTIF(الزبائن!$A$6:$A$505,B502)=0),AND(A502="proposed_name",COUNTIF('أسماء مقترحة'!$A$6:$A$505,B502)=0)),"REVIEW","READY"))</f>
        <v/>
      </c>
      <c r="Q502" s="27" t="str">
        <f>IF(P502="","",IF(P502="READY","",TRIM(IF(A502="","missing entity_type; ","")&amp;IF(B502="","missing entity_key; ","")&amp;IF(C502="","missing referrer_order; ","")&amp;IF(E502="","missing referrer_type; ","")&amp;IF(F502="","missing referral_origin_channel; ","")&amp;IF(H502="","missing referrer_name_snapshot; ","")&amp;IF(AND(A502="client",COUNTIF(الزبائن!$A$6:$A$505,B502)=0),"client key not found; ","")&amp;IF(AND(A502="proposed_name",COUNTIF('أسماء مقترحة'!$A$6:$A$505,B502)=0),"proposed_name key not found; ",""))))</f>
        <v/>
      </c>
    </row>
    <row r="503" spans="1:17">
      <c r="A503" s="23"/>
      <c r="B503" s="24"/>
      <c r="C503" s="25"/>
      <c r="D503" s="25"/>
      <c r="E503" s="25"/>
      <c r="F503" s="25"/>
      <c r="G503" s="24"/>
      <c r="H503" s="25"/>
      <c r="I503" s="32"/>
      <c r="J503" s="25"/>
      <c r="K503" s="24"/>
      <c r="L503" s="25"/>
      <c r="M503" s="25"/>
      <c r="N503" s="25"/>
      <c r="O503" s="25"/>
      <c r="P503" s="25" t="str">
        <f>IF(AND(A503="",B503="",H503=""),"",IF(OR(A503="",B503="",C503="",E503="",F503="",H503="",AND(A503="client",COUNTIF(الزبائن!$A$6:$A$505,B503)=0),AND(A503="proposed_name",COUNTIF('أسماء مقترحة'!$A$6:$A$505,B503)=0)),"REVIEW","READY"))</f>
        <v/>
      </c>
      <c r="Q503" s="27" t="str">
        <f>IF(P503="","",IF(P503="READY","",TRIM(IF(A503="","missing entity_type; ","")&amp;IF(B503="","missing entity_key; ","")&amp;IF(C503="","missing referrer_order; ","")&amp;IF(E503="","missing referrer_type; ","")&amp;IF(F503="","missing referral_origin_channel; ","")&amp;IF(H503="","missing referrer_name_snapshot; ","")&amp;IF(AND(A503="client",COUNTIF(الزبائن!$A$6:$A$505,B503)=0),"client key not found; ","")&amp;IF(AND(A503="proposed_name",COUNTIF('أسماء مقترحة'!$A$6:$A$505,B503)=0),"proposed_name key not found; ",""))))</f>
        <v/>
      </c>
    </row>
    <row r="504" spans="1:17">
      <c r="A504" s="23"/>
      <c r="B504" s="24"/>
      <c r="C504" s="25"/>
      <c r="D504" s="25"/>
      <c r="E504" s="25"/>
      <c r="F504" s="25"/>
      <c r="G504" s="24"/>
      <c r="H504" s="25"/>
      <c r="I504" s="32"/>
      <c r="J504" s="25"/>
      <c r="K504" s="24"/>
      <c r="L504" s="25"/>
      <c r="M504" s="25"/>
      <c r="N504" s="25"/>
      <c r="O504" s="25"/>
      <c r="P504" s="25" t="str">
        <f>IF(AND(A504="",B504="",H504=""),"",IF(OR(A504="",B504="",C504="",E504="",F504="",H504="",AND(A504="client",COUNTIF(الزبائن!$A$6:$A$505,B504)=0),AND(A504="proposed_name",COUNTIF('أسماء مقترحة'!$A$6:$A$505,B504)=0)),"REVIEW","READY"))</f>
        <v/>
      </c>
      <c r="Q504" s="27" t="str">
        <f>IF(P504="","",IF(P504="READY","",TRIM(IF(A504="","missing entity_type; ","")&amp;IF(B504="","missing entity_key; ","")&amp;IF(C504="","missing referrer_order; ","")&amp;IF(E504="","missing referrer_type; ","")&amp;IF(F504="","missing referral_origin_channel; ","")&amp;IF(H504="","missing referrer_name_snapshot; ","")&amp;IF(AND(A504="client",COUNTIF(الزبائن!$A$6:$A$505,B504)=0),"client key not found; ","")&amp;IF(AND(A504="proposed_name",COUNTIF('أسماء مقترحة'!$A$6:$A$505,B504)=0),"proposed_name key not found; ",""))))</f>
        <v/>
      </c>
    </row>
    <row r="505" spans="1:17">
      <c r="A505" s="28"/>
      <c r="B505" s="29"/>
      <c r="C505" s="30"/>
      <c r="D505" s="30"/>
      <c r="E505" s="30"/>
      <c r="F505" s="30"/>
      <c r="G505" s="29"/>
      <c r="H505" s="30"/>
      <c r="I505" s="33"/>
      <c r="J505" s="30"/>
      <c r="K505" s="29"/>
      <c r="L505" s="30"/>
      <c r="M505" s="30"/>
      <c r="N505" s="30"/>
      <c r="O505" s="30"/>
      <c r="P505" s="30" t="str">
        <f>IF(AND(A505="",B505="",H505=""),"",IF(OR(A505="",B505="",C505="",E505="",F505="",H505="",AND(A505="client",COUNTIF(الزبائن!$A$6:$A$505,B505)=0),AND(A505="proposed_name",COUNTIF('أسماء مقترحة'!$A$6:$A$505,B505)=0)),"REVIEW","READY"))</f>
        <v/>
      </c>
      <c r="Q505" s="31" t="str">
        <f>IF(P505="","",IF(P505="READY","",TRIM(IF(A505="","missing entity_type; ","")&amp;IF(B505="","missing entity_key; ","")&amp;IF(C505="","missing referrer_order; ","")&amp;IF(E505="","missing referrer_type; ","")&amp;IF(F505="","missing referral_origin_channel; ","")&amp;IF(H505="","missing referrer_name_snapshot; ","")&amp;IF(AND(A505="client",COUNTIF(الزبائن!$A$6:$A$505,B505)=0),"client key not found; ","")&amp;IF(AND(A505="proposed_name",COUNTIF('أسماء مقترحة'!$A$6:$A$505,B505)=0),"proposed_name key not found; ",""))))</f>
        <v/>
      </c>
    </row>
  </sheetData>
  <mergeCells count="5">
    <mergeCell ref="A1:Q1"/>
    <mergeCell ref="A2:Q2"/>
    <mergeCell ref="A4:B4"/>
    <mergeCell ref="C4:M4"/>
    <mergeCell ref="N4:Q4"/>
  </mergeCells>
  <conditionalFormatting sqref="P6:P505">
    <cfRule type="containsText" dxfId="7" priority="1" operator="containsText" text="READY"/>
    <cfRule type="containsText" dxfId="6" priority="2" operator="containsText" text="TO_PROPOSED"/>
    <cfRule type="containsText" dxfId="5" priority="3" operator="containsText" text="REVIEW"/>
    <cfRule type="containsText" dxfId="4" priority="4" operator="containsText" text="SKIP"/>
  </conditionalFormatting>
  <dataValidations count="6">
    <dataValidation type="list" sqref="A6:A505">
      <formula1>"client,proposed_name"</formula1>
    </dataValidation>
    <dataValidation type="list" sqref="D6:D505">
      <formula1>"TRUE,FALSE"</formula1>
    </dataValidation>
    <dataValidation type="list" sqref="E6:E505">
      <formula1>"Personal,Employee,Client,Unknown"</formula1>
    </dataValidation>
    <dataValidation type="list" sqref="F6:F505">
      <formula1>"PhoneCall,SocialMedia,Campaign,Acquaintance"</formula1>
    </dataValidation>
    <dataValidation type="list" sqref="M6:M505">
      <formula1>"Pending,Confirmed,Rejected"</formula1>
    </dataValidation>
    <dataValidation type="list" sqref="O6:O505">
      <formula1>"raw,cleaned,review_needed,blocked"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5"/>
  <sheetViews>
    <sheetView showGridLines="0" workbookViewId="0">
      <selection sqref="A1:AC1"/>
    </sheetView>
  </sheetViews>
  <sheetFormatPr defaultRowHeight="14.25"/>
  <cols>
    <col min="1" max="1" width="22" customWidth="1"/>
    <col min="2" max="2" width="24" customWidth="1"/>
    <col min="3" max="3" width="20" customWidth="1"/>
    <col min="4" max="4" width="24" customWidth="1"/>
    <col min="5" max="5" width="14" customWidth="1"/>
    <col min="6" max="7" width="18" customWidth="1"/>
    <col min="8" max="8" width="10" customWidth="1"/>
    <col min="9" max="9" width="18" customWidth="1"/>
    <col min="10" max="10" width="12" customWidth="1"/>
    <col min="11" max="12" width="16" customWidth="1"/>
    <col min="13" max="13" width="14" customWidth="1"/>
    <col min="14" max="14" width="26" customWidth="1"/>
    <col min="15" max="15" width="38" customWidth="1"/>
    <col min="16" max="16" width="12" customWidth="1"/>
    <col min="17" max="17" width="18" customWidth="1"/>
    <col min="18" max="18" width="14" customWidth="1"/>
    <col min="19" max="19" width="16" customWidth="1"/>
    <col min="20" max="20" width="18" customWidth="1"/>
    <col min="21" max="21" width="12" customWidth="1"/>
    <col min="22" max="22" width="16" customWidth="1"/>
    <col min="23" max="23" width="18" customWidth="1"/>
    <col min="24" max="24" width="22" customWidth="1"/>
    <col min="25" max="25" width="46" customWidth="1"/>
    <col min="26" max="26" width="18" customWidth="1"/>
    <col min="27" max="27" width="44" customWidth="1"/>
    <col min="28" max="28" width="18" customWidth="1"/>
    <col min="29" max="29" width="54" customWidth="1"/>
  </cols>
  <sheetData>
    <row r="1" spans="1:29" ht="33.950000000000003" customHeight="1">
      <c r="A1" s="43" t="s">
        <v>283</v>
      </c>
      <c r="B1" s="43" t="s">
        <v>283</v>
      </c>
      <c r="C1" s="43" t="s">
        <v>283</v>
      </c>
      <c r="D1" s="43" t="s">
        <v>283</v>
      </c>
      <c r="E1" s="43" t="s">
        <v>283</v>
      </c>
      <c r="F1" s="43" t="s">
        <v>283</v>
      </c>
      <c r="G1" s="43" t="s">
        <v>283</v>
      </c>
      <c r="H1" s="43" t="s">
        <v>283</v>
      </c>
      <c r="I1" s="43" t="s">
        <v>283</v>
      </c>
      <c r="J1" s="43" t="s">
        <v>283</v>
      </c>
      <c r="K1" s="43" t="s">
        <v>283</v>
      </c>
      <c r="L1" s="43" t="s">
        <v>283</v>
      </c>
      <c r="M1" s="43" t="s">
        <v>283</v>
      </c>
      <c r="N1" s="43" t="s">
        <v>283</v>
      </c>
      <c r="O1" s="43" t="s">
        <v>283</v>
      </c>
      <c r="P1" s="43" t="s">
        <v>283</v>
      </c>
      <c r="Q1" s="43" t="s">
        <v>283</v>
      </c>
      <c r="R1" s="43" t="s">
        <v>283</v>
      </c>
      <c r="S1" s="43" t="s">
        <v>283</v>
      </c>
      <c r="T1" s="43" t="s">
        <v>283</v>
      </c>
      <c r="U1" s="43" t="s">
        <v>283</v>
      </c>
      <c r="V1" s="43" t="s">
        <v>283</v>
      </c>
      <c r="W1" s="43" t="s">
        <v>283</v>
      </c>
      <c r="X1" s="43" t="s">
        <v>283</v>
      </c>
      <c r="Y1" s="43" t="s">
        <v>283</v>
      </c>
      <c r="Z1" s="43" t="s">
        <v>283</v>
      </c>
      <c r="AA1" s="43" t="s">
        <v>283</v>
      </c>
      <c r="AB1" s="43" t="s">
        <v>283</v>
      </c>
      <c r="AC1" s="43" t="s">
        <v>283</v>
      </c>
    </row>
    <row r="2" spans="1:29" ht="27.95" customHeight="1">
      <c r="A2" s="44" t="s">
        <v>284</v>
      </c>
      <c r="B2" s="44" t="s">
        <v>284</v>
      </c>
      <c r="C2" s="44" t="s">
        <v>284</v>
      </c>
      <c r="D2" s="44" t="s">
        <v>284</v>
      </c>
      <c r="E2" s="44" t="s">
        <v>284</v>
      </c>
      <c r="F2" s="44" t="s">
        <v>284</v>
      </c>
      <c r="G2" s="44" t="s">
        <v>284</v>
      </c>
      <c r="H2" s="44" t="s">
        <v>284</v>
      </c>
      <c r="I2" s="44" t="s">
        <v>284</v>
      </c>
      <c r="J2" s="44" t="s">
        <v>284</v>
      </c>
      <c r="K2" s="44" t="s">
        <v>284</v>
      </c>
      <c r="L2" s="44" t="s">
        <v>284</v>
      </c>
      <c r="M2" s="44" t="s">
        <v>284</v>
      </c>
      <c r="N2" s="44" t="s">
        <v>284</v>
      </c>
      <c r="O2" s="44" t="s">
        <v>284</v>
      </c>
      <c r="P2" s="44" t="s">
        <v>284</v>
      </c>
      <c r="Q2" s="44" t="s">
        <v>284</v>
      </c>
      <c r="R2" s="44" t="s">
        <v>284</v>
      </c>
      <c r="S2" s="44" t="s">
        <v>284</v>
      </c>
      <c r="T2" s="44" t="s">
        <v>284</v>
      </c>
      <c r="U2" s="44" t="s">
        <v>284</v>
      </c>
      <c r="V2" s="44" t="s">
        <v>284</v>
      </c>
      <c r="W2" s="44" t="s">
        <v>284</v>
      </c>
      <c r="X2" s="44" t="s">
        <v>284</v>
      </c>
      <c r="Y2" s="44" t="s">
        <v>284</v>
      </c>
      <c r="Z2" s="44" t="s">
        <v>284</v>
      </c>
      <c r="AA2" s="44" t="s">
        <v>284</v>
      </c>
      <c r="AB2" s="44" t="s">
        <v>284</v>
      </c>
      <c r="AC2" s="44" t="s">
        <v>284</v>
      </c>
    </row>
    <row r="3" spans="1:29">
      <c r="A3" s="5" t="s">
        <v>98</v>
      </c>
      <c r="B3" s="5" t="s">
        <v>285</v>
      </c>
      <c r="C3" s="5" t="s">
        <v>286</v>
      </c>
      <c r="D3" s="5" t="s">
        <v>287</v>
      </c>
      <c r="E3" s="5" t="s">
        <v>288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289</v>
      </c>
      <c r="K3" s="5" t="s">
        <v>54</v>
      </c>
      <c r="L3" s="5" t="s">
        <v>56</v>
      </c>
      <c r="M3" s="5" t="s">
        <v>57</v>
      </c>
      <c r="N3" s="5" t="s">
        <v>290</v>
      </c>
      <c r="O3" s="5" t="s">
        <v>291</v>
      </c>
      <c r="P3" s="5" t="s">
        <v>292</v>
      </c>
      <c r="Q3" s="5" t="s">
        <v>293</v>
      </c>
      <c r="R3" s="5" t="s">
        <v>70</v>
      </c>
      <c r="S3" s="5" t="s">
        <v>223</v>
      </c>
      <c r="T3" s="5" t="s">
        <v>85</v>
      </c>
      <c r="U3" s="5" t="s">
        <v>294</v>
      </c>
      <c r="V3" s="5" t="s">
        <v>295</v>
      </c>
      <c r="W3" s="5" t="s">
        <v>296</v>
      </c>
      <c r="X3" s="5" t="s">
        <v>297</v>
      </c>
      <c r="Y3" s="5" t="s">
        <v>298</v>
      </c>
      <c r="Z3" s="5" t="s">
        <v>299</v>
      </c>
      <c r="AA3" s="5" t="s">
        <v>300</v>
      </c>
      <c r="AB3" s="5" t="s">
        <v>301</v>
      </c>
      <c r="AC3" s="5" t="s">
        <v>302</v>
      </c>
    </row>
    <row r="4" spans="1:29">
      <c r="A4" s="46" t="s">
        <v>102</v>
      </c>
      <c r="B4" s="47" t="s">
        <v>102</v>
      </c>
      <c r="C4" s="48" t="s">
        <v>102</v>
      </c>
      <c r="D4" s="72" t="s">
        <v>303</v>
      </c>
      <c r="E4" s="74" t="s">
        <v>303</v>
      </c>
      <c r="F4" s="46" t="s">
        <v>102</v>
      </c>
      <c r="G4" s="48" t="s">
        <v>102</v>
      </c>
      <c r="H4" s="49" t="s">
        <v>103</v>
      </c>
      <c r="I4" s="78" t="s">
        <v>103</v>
      </c>
      <c r="J4" s="50" t="s">
        <v>103</v>
      </c>
      <c r="K4" s="51" t="s">
        <v>304</v>
      </c>
      <c r="L4" s="52" t="s">
        <v>304</v>
      </c>
      <c r="M4" s="52" t="s">
        <v>304</v>
      </c>
      <c r="N4" s="53" t="s">
        <v>304</v>
      </c>
      <c r="O4" s="54" t="s">
        <v>106</v>
      </c>
      <c r="P4" s="55" t="s">
        <v>106</v>
      </c>
      <c r="Q4" s="55" t="s">
        <v>106</v>
      </c>
      <c r="R4" s="56" t="s">
        <v>106</v>
      </c>
      <c r="S4" s="34" t="s">
        <v>305</v>
      </c>
      <c r="T4" s="35" t="s">
        <v>109</v>
      </c>
      <c r="U4" s="79" t="s">
        <v>306</v>
      </c>
      <c r="V4" s="80" t="s">
        <v>306</v>
      </c>
      <c r="W4" s="80" t="s">
        <v>306</v>
      </c>
      <c r="X4" s="81" t="s">
        <v>306</v>
      </c>
      <c r="Y4" s="69" t="s">
        <v>111</v>
      </c>
      <c r="Z4" s="70" t="s">
        <v>111</v>
      </c>
      <c r="AA4" s="70" t="s">
        <v>111</v>
      </c>
      <c r="AB4" s="70" t="s">
        <v>111</v>
      </c>
      <c r="AC4" s="71" t="s">
        <v>111</v>
      </c>
    </row>
    <row r="5" spans="1:29" ht="42" customHeight="1">
      <c r="A5" s="7" t="s">
        <v>163</v>
      </c>
      <c r="B5" s="9" t="s">
        <v>307</v>
      </c>
      <c r="C5" s="8" t="s">
        <v>308</v>
      </c>
      <c r="D5" s="8" t="s">
        <v>303</v>
      </c>
      <c r="E5" s="9" t="s">
        <v>309</v>
      </c>
      <c r="F5" s="9" t="s">
        <v>115</v>
      </c>
      <c r="G5" s="9" t="s">
        <v>116</v>
      </c>
      <c r="H5" s="8" t="s">
        <v>117</v>
      </c>
      <c r="I5" s="9" t="s">
        <v>118</v>
      </c>
      <c r="J5" s="9" t="s">
        <v>310</v>
      </c>
      <c r="K5" s="8" t="s">
        <v>119</v>
      </c>
      <c r="L5" s="8" t="s">
        <v>121</v>
      </c>
      <c r="M5" s="9" t="s">
        <v>122</v>
      </c>
      <c r="N5" s="9" t="s">
        <v>123</v>
      </c>
      <c r="O5" s="9" t="s">
        <v>311</v>
      </c>
      <c r="P5" s="9" t="s">
        <v>312</v>
      </c>
      <c r="Q5" s="9" t="s">
        <v>313</v>
      </c>
      <c r="R5" s="9" t="s">
        <v>135</v>
      </c>
      <c r="S5" s="8" t="s">
        <v>314</v>
      </c>
      <c r="T5" s="9" t="s">
        <v>150</v>
      </c>
      <c r="U5" s="9" t="s">
        <v>315</v>
      </c>
      <c r="V5" s="9" t="s">
        <v>316</v>
      </c>
      <c r="W5" s="9" t="s">
        <v>317</v>
      </c>
      <c r="X5" s="9" t="s">
        <v>318</v>
      </c>
      <c r="Y5" s="9" t="s">
        <v>319</v>
      </c>
      <c r="Z5" s="9" t="s">
        <v>320</v>
      </c>
      <c r="AA5" s="9" t="s">
        <v>321</v>
      </c>
      <c r="AB5" s="9" t="s">
        <v>322</v>
      </c>
      <c r="AC5" s="10" t="s">
        <v>323</v>
      </c>
    </row>
    <row r="6" spans="1:29">
      <c r="A6" s="36" t="s">
        <v>210</v>
      </c>
      <c r="B6" s="24" t="s">
        <v>194</v>
      </c>
      <c r="C6" s="25" t="s">
        <v>324</v>
      </c>
      <c r="D6" s="25" t="s">
        <v>209</v>
      </c>
      <c r="E6" s="25" t="s">
        <v>325</v>
      </c>
      <c r="F6" s="24" t="s">
        <v>196</v>
      </c>
      <c r="G6" s="25" t="s">
        <v>197</v>
      </c>
      <c r="H6" s="25">
        <v>2</v>
      </c>
      <c r="I6" s="25" t="s">
        <v>198</v>
      </c>
      <c r="J6" s="25"/>
      <c r="K6" s="25" t="s">
        <v>199</v>
      </c>
      <c r="L6" s="25" t="s">
        <v>200</v>
      </c>
      <c r="M6" s="25"/>
      <c r="N6" s="25" t="str">
        <f t="shared" ref="N6:N69" si="0">IF(TRIM(K6&amp;" "&amp;L6&amp;IF(M6&lt;&gt;""," ("&amp;M6&amp;")",""))="","",TRIM(K6&amp;" "&amp;L6&amp;IF(M6&lt;&gt;""," ("&amp;M6&amp;")","")))</f>
        <v>سارة حسن</v>
      </c>
      <c r="O6" s="25" t="s">
        <v>326</v>
      </c>
      <c r="P6" s="25"/>
      <c r="Q6" s="25"/>
      <c r="R6" s="25" t="s">
        <v>202</v>
      </c>
      <c r="S6" s="25" t="s">
        <v>327</v>
      </c>
      <c r="T6" s="25"/>
      <c r="U6" s="25" t="s">
        <v>181</v>
      </c>
      <c r="V6" s="25"/>
      <c r="W6" s="24"/>
      <c r="X6" s="24"/>
      <c r="Y6" s="25" t="s">
        <v>328</v>
      </c>
      <c r="Z6" s="25" t="str">
        <f>IF(B6="","",IFERROR(INDEX(الزبائن!$AZ$6:$AZ$505,MATCH(B6,الزبائن!$A$6:$A$505,0)),"source key not found"))</f>
        <v>TO_PROPOSED</v>
      </c>
      <c r="AA6" s="25" t="str">
        <f>IF(B6="","",IFERROR(INDEX(الزبائن!$BA$6:$BA$505,MATCH(B6,الزبائن!$A$6:$A$505,0)),"source key not found"))</f>
        <v/>
      </c>
      <c r="AB6" s="25" t="str">
        <f>IF(AND(A6="",C6="",D6="",H6="",K6="",L6=""),"",IF(C6="skip","SKIP",IF(OR(A6="",C6="",D6="",H6="",K6="",L6="",S6="",COUNTIF($A$6:$A$505,A6)&gt;1,AND(B6&lt;&gt;"",COUNTIF(الزبائن!$A$6:$A$505,B6)=0),(COUNTIFS('أرقام التواصل'!$A$6:$A$505,"proposed_name",'أرقام التواصل'!$B$6:$B$505,A6,'أرقام التواصل'!$I$6:$I$505,"TRUE")+COUNTIFS('أرقام التواصل'!$A$6:$A$505,"proposed_name",'أرقام التواصل'!$B$6:$B$505,A6,'أرقام التواصل'!$C$6:$C$505,1))=0,AND(U6="TRUE",V6="")),"REVIEW","READY")))</f>
        <v>READY</v>
      </c>
      <c r="AC6" s="27" t="str">
        <f>IF(AB6="","",IF(AB6="READY","",IF(AB6="SKIP","Skipped by candidate_import_action",TRIM(IF(A6="","missing proposed_name_key; ","")&amp;IF(AND(A6&lt;&gt;"",COUNTIF($A$6:$A$505,A6)&gt;1),"duplicate proposed_name_key; ","")&amp;IF(C6="","missing candidate_import_action; ","")&amp;IF(D6="","missing move_reason; ","")&amp;IF(H6="","missing branch_id; ","")&amp;IF(K6="","missing first_name; ","")&amp;IF(L6="","missing last_name; ","")&amp;IF(S6="","missing status; ","")&amp;IF(AND(B6&lt;&gt;"",COUNTIF(الزبائن!$A$6:$A$505,B6)=0),"source key not found; ","")&amp;IF((COUNTIFS('أرقام التواصل'!$A$6:$A$505,"proposed_name",'أرقام التواصل'!$B$6:$B$505,A6,'أرقام التواصل'!$I$6:$I$505,"TRUE")+COUNTIFS('أرقام التواصل'!$A$6:$A$505,"proposed_name",'أرقام التواصل'!$B$6:$B$505,A6,'أرقام التواصل'!$C$6:$C$505,1))=0,"missing primary contact in أرقام التواصل; ","")&amp;IF(AND(U6="TRUE",V6=""),"duplicate_type required when duplicate_flag TRUE; ","")))))</f>
        <v/>
      </c>
    </row>
    <row r="7" spans="1:29">
      <c r="A7" s="36"/>
      <c r="B7" s="24"/>
      <c r="C7" s="25"/>
      <c r="D7" s="25"/>
      <c r="E7" s="25"/>
      <c r="F7" s="24"/>
      <c r="G7" s="25"/>
      <c r="H7" s="25"/>
      <c r="I7" s="25"/>
      <c r="J7" s="25"/>
      <c r="K7" s="25"/>
      <c r="L7" s="25"/>
      <c r="M7" s="25"/>
      <c r="N7" s="25" t="str">
        <f t="shared" si="0"/>
        <v/>
      </c>
      <c r="O7" s="25"/>
      <c r="P7" s="25"/>
      <c r="Q7" s="25"/>
      <c r="R7" s="25"/>
      <c r="S7" s="25"/>
      <c r="T7" s="25"/>
      <c r="U7" s="25"/>
      <c r="V7" s="25"/>
      <c r="W7" s="24"/>
      <c r="X7" s="24"/>
      <c r="Y7" s="25"/>
      <c r="Z7" s="25" t="str">
        <f>IF(B7="","",IFERROR(INDEX(الزبائن!$AZ$6:$AZ$505,MATCH(B7,الزبائن!$A$6:$A$505,0)),"source key not found"))</f>
        <v/>
      </c>
      <c r="AA7" s="25" t="str">
        <f>IF(B7="","",IFERROR(INDEX(الزبائن!$BA$6:$BA$505,MATCH(B7,الزبائن!$A$6:$A$505,0)),"source key not found"))</f>
        <v/>
      </c>
      <c r="AB7" s="25" t="str">
        <f>IF(AND(A7="",C7="",D7="",H7="",K7="",L7=""),"",IF(C7="skip","SKIP",IF(OR(A7="",C7="",D7="",H7="",K7="",L7="",S7="",COUNTIF($A$6:$A$505,A7)&gt;1,AND(B7&lt;&gt;"",COUNTIF(الزبائن!$A$6:$A$505,B7)=0),(COUNTIFS('أرقام التواصل'!$A$6:$A$505,"proposed_name",'أرقام التواصل'!$B$6:$B$505,A7,'أرقام التواصل'!$I$6:$I$505,"TRUE")+COUNTIFS('أرقام التواصل'!$A$6:$A$505,"proposed_name",'أرقام التواصل'!$B$6:$B$505,A7,'أرقام التواصل'!$C$6:$C$505,1))=0,AND(U7="TRUE",V7="")),"REVIEW","READY")))</f>
        <v/>
      </c>
      <c r="AC7" s="27" t="str">
        <f>IF(AB7="","",IF(AB7="READY","",IF(AB7="SKIP","Skipped by candidate_import_action",TRIM(IF(A7="","missing proposed_name_key; ","")&amp;IF(AND(A7&lt;&gt;"",COUNTIF($A$6:$A$505,A7)&gt;1),"duplicate proposed_name_key; ","")&amp;IF(C7="","missing candidate_import_action; ","")&amp;IF(D7="","missing move_reason; ","")&amp;IF(H7="","missing branch_id; ","")&amp;IF(K7="","missing first_name; ","")&amp;IF(L7="","missing last_name; ","")&amp;IF(S7="","missing status; ","")&amp;IF(AND(B7&lt;&gt;"",COUNTIF(الزبائن!$A$6:$A$505,B7)=0),"source key not found; ","")&amp;IF((COUNTIFS('أرقام التواصل'!$A$6:$A$505,"proposed_name",'أرقام التواصل'!$B$6:$B$505,A7,'أرقام التواصل'!$I$6:$I$505,"TRUE")+COUNTIFS('أرقام التواصل'!$A$6:$A$505,"proposed_name",'أرقام التواصل'!$B$6:$B$505,A7,'أرقام التواصل'!$C$6:$C$505,1))=0,"missing primary contact in أرقام التواصل; ","")&amp;IF(AND(U7="TRUE",V7=""),"duplicate_type required when duplicate_flag TRUE; ","")))))</f>
        <v/>
      </c>
    </row>
    <row r="8" spans="1:29">
      <c r="A8" s="36"/>
      <c r="B8" s="24"/>
      <c r="C8" s="25"/>
      <c r="D8" s="25"/>
      <c r="E8" s="25"/>
      <c r="F8" s="24"/>
      <c r="G8" s="25"/>
      <c r="H8" s="25"/>
      <c r="I8" s="25"/>
      <c r="J8" s="25"/>
      <c r="K8" s="25"/>
      <c r="L8" s="25"/>
      <c r="M8" s="25"/>
      <c r="N8" s="25" t="str">
        <f t="shared" si="0"/>
        <v/>
      </c>
      <c r="O8" s="25"/>
      <c r="P8" s="25"/>
      <c r="Q8" s="25"/>
      <c r="R8" s="25"/>
      <c r="S8" s="25"/>
      <c r="T8" s="25"/>
      <c r="U8" s="25"/>
      <c r="V8" s="25"/>
      <c r="W8" s="24"/>
      <c r="X8" s="24"/>
      <c r="Y8" s="25"/>
      <c r="Z8" s="25" t="str">
        <f>IF(B8="","",IFERROR(INDEX(الزبائن!$AZ$6:$AZ$505,MATCH(B8,الزبائن!$A$6:$A$505,0)),"source key not found"))</f>
        <v/>
      </c>
      <c r="AA8" s="25" t="str">
        <f>IF(B8="","",IFERROR(INDEX(الزبائن!$BA$6:$BA$505,MATCH(B8,الزبائن!$A$6:$A$505,0)),"source key not found"))</f>
        <v/>
      </c>
      <c r="AB8" s="25" t="str">
        <f>IF(AND(A8="",C8="",D8="",H8="",K8="",L8=""),"",IF(C8="skip","SKIP",IF(OR(A8="",C8="",D8="",H8="",K8="",L8="",S8="",COUNTIF($A$6:$A$505,A8)&gt;1,AND(B8&lt;&gt;"",COUNTIF(الزبائن!$A$6:$A$505,B8)=0),(COUNTIFS('أرقام التواصل'!$A$6:$A$505,"proposed_name",'أرقام التواصل'!$B$6:$B$505,A8,'أرقام التواصل'!$I$6:$I$505,"TRUE")+COUNTIFS('أرقام التواصل'!$A$6:$A$505,"proposed_name",'أرقام التواصل'!$B$6:$B$505,A8,'أرقام التواصل'!$C$6:$C$505,1))=0,AND(U8="TRUE",V8="")),"REVIEW","READY")))</f>
        <v/>
      </c>
      <c r="AC8" s="27" t="str">
        <f>IF(AB8="","",IF(AB8="READY","",IF(AB8="SKIP","Skipped by candidate_import_action",TRIM(IF(A8="","missing proposed_name_key; ","")&amp;IF(AND(A8&lt;&gt;"",COUNTIF($A$6:$A$505,A8)&gt;1),"duplicate proposed_name_key; ","")&amp;IF(C8="","missing candidate_import_action; ","")&amp;IF(D8="","missing move_reason; ","")&amp;IF(H8="","missing branch_id; ","")&amp;IF(K8="","missing first_name; ","")&amp;IF(L8="","missing last_name; ","")&amp;IF(S8="","missing status; ","")&amp;IF(AND(B8&lt;&gt;"",COUNTIF(الزبائن!$A$6:$A$505,B8)=0),"source key not found; ","")&amp;IF((COUNTIFS('أرقام التواصل'!$A$6:$A$505,"proposed_name",'أرقام التواصل'!$B$6:$B$505,A8,'أرقام التواصل'!$I$6:$I$505,"TRUE")+COUNTIFS('أرقام التواصل'!$A$6:$A$505,"proposed_name",'أرقام التواصل'!$B$6:$B$505,A8,'أرقام التواصل'!$C$6:$C$505,1))=0,"missing primary contact in أرقام التواصل; ","")&amp;IF(AND(U8="TRUE",V8=""),"duplicate_type required when duplicate_flag TRUE; ","")))))</f>
        <v/>
      </c>
    </row>
    <row r="9" spans="1:29">
      <c r="A9" s="36"/>
      <c r="B9" s="24"/>
      <c r="C9" s="25"/>
      <c r="D9" s="25"/>
      <c r="E9" s="25"/>
      <c r="F9" s="24"/>
      <c r="G9" s="25"/>
      <c r="H9" s="25"/>
      <c r="I9" s="25"/>
      <c r="J9" s="25"/>
      <c r="K9" s="25"/>
      <c r="L9" s="25"/>
      <c r="M9" s="25"/>
      <c r="N9" s="25" t="str">
        <f t="shared" si="0"/>
        <v/>
      </c>
      <c r="O9" s="25"/>
      <c r="P9" s="25"/>
      <c r="Q9" s="25"/>
      <c r="R9" s="25"/>
      <c r="S9" s="25"/>
      <c r="T9" s="25"/>
      <c r="U9" s="25"/>
      <c r="V9" s="25"/>
      <c r="W9" s="24"/>
      <c r="X9" s="24"/>
      <c r="Y9" s="25"/>
      <c r="Z9" s="25" t="str">
        <f>IF(B9="","",IFERROR(INDEX(الزبائن!$AZ$6:$AZ$505,MATCH(B9,الزبائن!$A$6:$A$505,0)),"source key not found"))</f>
        <v/>
      </c>
      <c r="AA9" s="25" t="str">
        <f>IF(B9="","",IFERROR(INDEX(الزبائن!$BA$6:$BA$505,MATCH(B9,الزبائن!$A$6:$A$505,0)),"source key not found"))</f>
        <v/>
      </c>
      <c r="AB9" s="25" t="str">
        <f>IF(AND(A9="",C9="",D9="",H9="",K9="",L9=""),"",IF(C9="skip","SKIP",IF(OR(A9="",C9="",D9="",H9="",K9="",L9="",S9="",COUNTIF($A$6:$A$505,A9)&gt;1,AND(B9&lt;&gt;"",COUNTIF(الزبائن!$A$6:$A$505,B9)=0),(COUNTIFS('أرقام التواصل'!$A$6:$A$505,"proposed_name",'أرقام التواصل'!$B$6:$B$505,A9,'أرقام التواصل'!$I$6:$I$505,"TRUE")+COUNTIFS('أرقام التواصل'!$A$6:$A$505,"proposed_name",'أرقام التواصل'!$B$6:$B$505,A9,'أرقام التواصل'!$C$6:$C$505,1))=0,AND(U9="TRUE",V9="")),"REVIEW","READY")))</f>
        <v/>
      </c>
      <c r="AC9" s="27" t="str">
        <f>IF(AB9="","",IF(AB9="READY","",IF(AB9="SKIP","Skipped by candidate_import_action",TRIM(IF(A9="","missing proposed_name_key; ","")&amp;IF(AND(A9&lt;&gt;"",COUNTIF($A$6:$A$505,A9)&gt;1),"duplicate proposed_name_key; ","")&amp;IF(C9="","missing candidate_import_action; ","")&amp;IF(D9="","missing move_reason; ","")&amp;IF(H9="","missing branch_id; ","")&amp;IF(K9="","missing first_name; ","")&amp;IF(L9="","missing last_name; ","")&amp;IF(S9="","missing status; ","")&amp;IF(AND(B9&lt;&gt;"",COUNTIF(الزبائن!$A$6:$A$505,B9)=0),"source key not found; ","")&amp;IF((COUNTIFS('أرقام التواصل'!$A$6:$A$505,"proposed_name",'أرقام التواصل'!$B$6:$B$505,A9,'أرقام التواصل'!$I$6:$I$505,"TRUE")+COUNTIFS('أرقام التواصل'!$A$6:$A$505,"proposed_name",'أرقام التواصل'!$B$6:$B$505,A9,'أرقام التواصل'!$C$6:$C$505,1))=0,"missing primary contact in أرقام التواصل; ","")&amp;IF(AND(U9="TRUE",V9=""),"duplicate_type required when duplicate_flag TRUE; ","")))))</f>
        <v/>
      </c>
    </row>
    <row r="10" spans="1:29">
      <c r="A10" s="36"/>
      <c r="B10" s="24"/>
      <c r="C10" s="25"/>
      <c r="D10" s="25"/>
      <c r="E10" s="25"/>
      <c r="F10" s="24"/>
      <c r="G10" s="25"/>
      <c r="H10" s="25"/>
      <c r="I10" s="25"/>
      <c r="J10" s="25"/>
      <c r="K10" s="25"/>
      <c r="L10" s="25"/>
      <c r="M10" s="25"/>
      <c r="N10" s="25" t="str">
        <f t="shared" si="0"/>
        <v/>
      </c>
      <c r="O10" s="25"/>
      <c r="P10" s="25"/>
      <c r="Q10" s="25"/>
      <c r="R10" s="25"/>
      <c r="S10" s="25"/>
      <c r="T10" s="25"/>
      <c r="U10" s="25"/>
      <c r="V10" s="25"/>
      <c r="W10" s="24"/>
      <c r="X10" s="24"/>
      <c r="Y10" s="25"/>
      <c r="Z10" s="25" t="str">
        <f>IF(B10="","",IFERROR(INDEX(الزبائن!$AZ$6:$AZ$505,MATCH(B10,الزبائن!$A$6:$A$505,0)),"source key not found"))</f>
        <v/>
      </c>
      <c r="AA10" s="25" t="str">
        <f>IF(B10="","",IFERROR(INDEX(الزبائن!$BA$6:$BA$505,MATCH(B10,الزبائن!$A$6:$A$505,0)),"source key not found"))</f>
        <v/>
      </c>
      <c r="AB10" s="25" t="str">
        <f>IF(AND(A10="",C10="",D10="",H10="",K10="",L10=""),"",IF(C10="skip","SKIP",IF(OR(A10="",C10="",D10="",H10="",K10="",L10="",S10="",COUNTIF($A$6:$A$505,A10)&gt;1,AND(B10&lt;&gt;"",COUNTIF(الزبائن!$A$6:$A$505,B10)=0),(COUNTIFS('أرقام التواصل'!$A$6:$A$505,"proposed_name",'أرقام التواصل'!$B$6:$B$505,A10,'أرقام التواصل'!$I$6:$I$505,"TRUE")+COUNTIFS('أرقام التواصل'!$A$6:$A$505,"proposed_name",'أرقام التواصل'!$B$6:$B$505,A10,'أرقام التواصل'!$C$6:$C$505,1))=0,AND(U10="TRUE",V10="")),"REVIEW","READY")))</f>
        <v/>
      </c>
      <c r="AC10" s="27" t="str">
        <f>IF(AB10="","",IF(AB10="READY","",IF(AB10="SKIP","Skipped by candidate_import_action",TRIM(IF(A10="","missing proposed_name_key; ","")&amp;IF(AND(A10&lt;&gt;"",COUNTIF($A$6:$A$505,A10)&gt;1),"duplicate proposed_name_key; ","")&amp;IF(C10="","missing candidate_import_action; ","")&amp;IF(D10="","missing move_reason; ","")&amp;IF(H10="","missing branch_id; ","")&amp;IF(K10="","missing first_name; ","")&amp;IF(L10="","missing last_name; ","")&amp;IF(S10="","missing status; ","")&amp;IF(AND(B10&lt;&gt;"",COUNTIF(الزبائن!$A$6:$A$505,B10)=0),"source key not found; ","")&amp;IF((COUNTIFS('أرقام التواصل'!$A$6:$A$505,"proposed_name",'أرقام التواصل'!$B$6:$B$505,A10,'أرقام التواصل'!$I$6:$I$505,"TRUE")+COUNTIFS('أرقام التواصل'!$A$6:$A$505,"proposed_name",'أرقام التواصل'!$B$6:$B$505,A10,'أرقام التواصل'!$C$6:$C$505,1))=0,"missing primary contact in أرقام التواصل; ","")&amp;IF(AND(U10="TRUE",V10=""),"duplicate_type required when duplicate_flag TRUE; ","")))))</f>
        <v/>
      </c>
    </row>
    <row r="11" spans="1:29">
      <c r="A11" s="36"/>
      <c r="B11" s="24"/>
      <c r="C11" s="25"/>
      <c r="D11" s="25"/>
      <c r="E11" s="25"/>
      <c r="F11" s="24"/>
      <c r="G11" s="25"/>
      <c r="H11" s="25"/>
      <c r="I11" s="25"/>
      <c r="J11" s="25"/>
      <c r="K11" s="25"/>
      <c r="L11" s="25"/>
      <c r="M11" s="25"/>
      <c r="N11" s="25" t="str">
        <f t="shared" si="0"/>
        <v/>
      </c>
      <c r="O11" s="25"/>
      <c r="P11" s="25"/>
      <c r="Q11" s="25"/>
      <c r="R11" s="25"/>
      <c r="S11" s="25"/>
      <c r="T11" s="25"/>
      <c r="U11" s="25"/>
      <c r="V11" s="25"/>
      <c r="W11" s="24"/>
      <c r="X11" s="24"/>
      <c r="Y11" s="25"/>
      <c r="Z11" s="25" t="str">
        <f>IF(B11="","",IFERROR(INDEX(الزبائن!$AZ$6:$AZ$505,MATCH(B11,الزبائن!$A$6:$A$505,0)),"source key not found"))</f>
        <v/>
      </c>
      <c r="AA11" s="25" t="str">
        <f>IF(B11="","",IFERROR(INDEX(الزبائن!$BA$6:$BA$505,MATCH(B11,الزبائن!$A$6:$A$505,0)),"source key not found"))</f>
        <v/>
      </c>
      <c r="AB11" s="25" t="str">
        <f>IF(AND(A11="",C11="",D11="",H11="",K11="",L11=""),"",IF(C11="skip","SKIP",IF(OR(A11="",C11="",D11="",H11="",K11="",L11="",S11="",COUNTIF($A$6:$A$505,A11)&gt;1,AND(B11&lt;&gt;"",COUNTIF(الزبائن!$A$6:$A$505,B11)=0),(COUNTIFS('أرقام التواصل'!$A$6:$A$505,"proposed_name",'أرقام التواصل'!$B$6:$B$505,A11,'أرقام التواصل'!$I$6:$I$505,"TRUE")+COUNTIFS('أرقام التواصل'!$A$6:$A$505,"proposed_name",'أرقام التواصل'!$B$6:$B$505,A11,'أرقام التواصل'!$C$6:$C$505,1))=0,AND(U11="TRUE",V11="")),"REVIEW","READY")))</f>
        <v/>
      </c>
      <c r="AC11" s="27" t="str">
        <f>IF(AB11="","",IF(AB11="READY","",IF(AB11="SKIP","Skipped by candidate_import_action",TRIM(IF(A11="","missing proposed_name_key; ","")&amp;IF(AND(A11&lt;&gt;"",COUNTIF($A$6:$A$505,A11)&gt;1),"duplicate proposed_name_key; ","")&amp;IF(C11="","missing candidate_import_action; ","")&amp;IF(D11="","missing move_reason; ","")&amp;IF(H11="","missing branch_id; ","")&amp;IF(K11="","missing first_name; ","")&amp;IF(L11="","missing last_name; ","")&amp;IF(S11="","missing status; ","")&amp;IF(AND(B11&lt;&gt;"",COUNTIF(الزبائن!$A$6:$A$505,B11)=0),"source key not found; ","")&amp;IF((COUNTIFS('أرقام التواصل'!$A$6:$A$505,"proposed_name",'أرقام التواصل'!$B$6:$B$505,A11,'أرقام التواصل'!$I$6:$I$505,"TRUE")+COUNTIFS('أرقام التواصل'!$A$6:$A$505,"proposed_name",'أرقام التواصل'!$B$6:$B$505,A11,'أرقام التواصل'!$C$6:$C$505,1))=0,"missing primary contact in أرقام التواصل; ","")&amp;IF(AND(U11="TRUE",V11=""),"duplicate_type required when duplicate_flag TRUE; ","")))))</f>
        <v/>
      </c>
    </row>
    <row r="12" spans="1:29">
      <c r="A12" s="36"/>
      <c r="B12" s="24"/>
      <c r="C12" s="25"/>
      <c r="D12" s="25"/>
      <c r="E12" s="25"/>
      <c r="F12" s="24"/>
      <c r="G12" s="25"/>
      <c r="H12" s="25"/>
      <c r="I12" s="25"/>
      <c r="J12" s="25"/>
      <c r="K12" s="25"/>
      <c r="L12" s="25"/>
      <c r="M12" s="25"/>
      <c r="N12" s="25" t="str">
        <f t="shared" si="0"/>
        <v/>
      </c>
      <c r="O12" s="25"/>
      <c r="P12" s="25"/>
      <c r="Q12" s="25"/>
      <c r="R12" s="25"/>
      <c r="S12" s="25"/>
      <c r="T12" s="25"/>
      <c r="U12" s="25"/>
      <c r="V12" s="25"/>
      <c r="W12" s="24"/>
      <c r="X12" s="24"/>
      <c r="Y12" s="25"/>
      <c r="Z12" s="25" t="str">
        <f>IF(B12="","",IFERROR(INDEX(الزبائن!$AZ$6:$AZ$505,MATCH(B12,الزبائن!$A$6:$A$505,0)),"source key not found"))</f>
        <v/>
      </c>
      <c r="AA12" s="25" t="str">
        <f>IF(B12="","",IFERROR(INDEX(الزبائن!$BA$6:$BA$505,MATCH(B12,الزبائن!$A$6:$A$505,0)),"source key not found"))</f>
        <v/>
      </c>
      <c r="AB12" s="25" t="str">
        <f>IF(AND(A12="",C12="",D12="",H12="",K12="",L12=""),"",IF(C12="skip","SKIP",IF(OR(A12="",C12="",D12="",H12="",K12="",L12="",S12="",COUNTIF($A$6:$A$505,A12)&gt;1,AND(B12&lt;&gt;"",COUNTIF(الزبائن!$A$6:$A$505,B12)=0),(COUNTIFS('أرقام التواصل'!$A$6:$A$505,"proposed_name",'أرقام التواصل'!$B$6:$B$505,A12,'أرقام التواصل'!$I$6:$I$505,"TRUE")+COUNTIFS('أرقام التواصل'!$A$6:$A$505,"proposed_name",'أرقام التواصل'!$B$6:$B$505,A12,'أرقام التواصل'!$C$6:$C$505,1))=0,AND(U12="TRUE",V12="")),"REVIEW","READY")))</f>
        <v/>
      </c>
      <c r="AC12" s="27" t="str">
        <f>IF(AB12="","",IF(AB12="READY","",IF(AB12="SKIP","Skipped by candidate_import_action",TRIM(IF(A12="","missing proposed_name_key; ","")&amp;IF(AND(A12&lt;&gt;"",COUNTIF($A$6:$A$505,A12)&gt;1),"duplicate proposed_name_key; ","")&amp;IF(C12="","missing candidate_import_action; ","")&amp;IF(D12="","missing move_reason; ","")&amp;IF(H12="","missing branch_id; ","")&amp;IF(K12="","missing first_name; ","")&amp;IF(L12="","missing last_name; ","")&amp;IF(S12="","missing status; ","")&amp;IF(AND(B12&lt;&gt;"",COUNTIF(الزبائن!$A$6:$A$505,B12)=0),"source key not found; ","")&amp;IF((COUNTIFS('أرقام التواصل'!$A$6:$A$505,"proposed_name",'أرقام التواصل'!$B$6:$B$505,A12,'أرقام التواصل'!$I$6:$I$505,"TRUE")+COUNTIFS('أرقام التواصل'!$A$6:$A$505,"proposed_name",'أرقام التواصل'!$B$6:$B$505,A12,'أرقام التواصل'!$C$6:$C$505,1))=0,"missing primary contact in أرقام التواصل; ","")&amp;IF(AND(U12="TRUE",V12=""),"duplicate_type required when duplicate_flag TRUE; ","")))))</f>
        <v/>
      </c>
    </row>
    <row r="13" spans="1:29">
      <c r="A13" s="36"/>
      <c r="B13" s="24"/>
      <c r="C13" s="25"/>
      <c r="D13" s="25"/>
      <c r="E13" s="25"/>
      <c r="F13" s="24"/>
      <c r="G13" s="25"/>
      <c r="H13" s="25"/>
      <c r="I13" s="25"/>
      <c r="J13" s="25"/>
      <c r="K13" s="25"/>
      <c r="L13" s="25"/>
      <c r="M13" s="25"/>
      <c r="N13" s="25" t="str">
        <f t="shared" si="0"/>
        <v/>
      </c>
      <c r="O13" s="25"/>
      <c r="P13" s="25"/>
      <c r="Q13" s="25"/>
      <c r="R13" s="25"/>
      <c r="S13" s="25"/>
      <c r="T13" s="25"/>
      <c r="U13" s="25"/>
      <c r="V13" s="25"/>
      <c r="W13" s="24"/>
      <c r="X13" s="24"/>
      <c r="Y13" s="25"/>
      <c r="Z13" s="25" t="str">
        <f>IF(B13="","",IFERROR(INDEX(الزبائن!$AZ$6:$AZ$505,MATCH(B13,الزبائن!$A$6:$A$505,0)),"source key not found"))</f>
        <v/>
      </c>
      <c r="AA13" s="25" t="str">
        <f>IF(B13="","",IFERROR(INDEX(الزبائن!$BA$6:$BA$505,MATCH(B13,الزبائن!$A$6:$A$505,0)),"source key not found"))</f>
        <v/>
      </c>
      <c r="AB13" s="25" t="str">
        <f>IF(AND(A13="",C13="",D13="",H13="",K13="",L13=""),"",IF(C13="skip","SKIP",IF(OR(A13="",C13="",D13="",H13="",K13="",L13="",S13="",COUNTIF($A$6:$A$505,A13)&gt;1,AND(B13&lt;&gt;"",COUNTIF(الزبائن!$A$6:$A$505,B13)=0),(COUNTIFS('أرقام التواصل'!$A$6:$A$505,"proposed_name",'أرقام التواصل'!$B$6:$B$505,A13,'أرقام التواصل'!$I$6:$I$505,"TRUE")+COUNTIFS('أرقام التواصل'!$A$6:$A$505,"proposed_name",'أرقام التواصل'!$B$6:$B$505,A13,'أرقام التواصل'!$C$6:$C$505,1))=0,AND(U13="TRUE",V13="")),"REVIEW","READY")))</f>
        <v/>
      </c>
      <c r="AC13" s="27" t="str">
        <f>IF(AB13="","",IF(AB13="READY","",IF(AB13="SKIP","Skipped by candidate_import_action",TRIM(IF(A13="","missing proposed_name_key; ","")&amp;IF(AND(A13&lt;&gt;"",COUNTIF($A$6:$A$505,A13)&gt;1),"duplicate proposed_name_key; ","")&amp;IF(C13="","missing candidate_import_action; ","")&amp;IF(D13="","missing move_reason; ","")&amp;IF(H13="","missing branch_id; ","")&amp;IF(K13="","missing first_name; ","")&amp;IF(L13="","missing last_name; ","")&amp;IF(S13="","missing status; ","")&amp;IF(AND(B13&lt;&gt;"",COUNTIF(الزبائن!$A$6:$A$505,B13)=0),"source key not found; ","")&amp;IF((COUNTIFS('أرقام التواصل'!$A$6:$A$505,"proposed_name",'أرقام التواصل'!$B$6:$B$505,A13,'أرقام التواصل'!$I$6:$I$505,"TRUE")+COUNTIFS('أرقام التواصل'!$A$6:$A$505,"proposed_name",'أرقام التواصل'!$B$6:$B$505,A13,'أرقام التواصل'!$C$6:$C$505,1))=0,"missing primary contact in أرقام التواصل; ","")&amp;IF(AND(U13="TRUE",V13=""),"duplicate_type required when duplicate_flag TRUE; ","")))))</f>
        <v/>
      </c>
    </row>
    <row r="14" spans="1:29">
      <c r="A14" s="36"/>
      <c r="B14" s="24"/>
      <c r="C14" s="25"/>
      <c r="D14" s="25"/>
      <c r="E14" s="25"/>
      <c r="F14" s="24"/>
      <c r="G14" s="25"/>
      <c r="H14" s="25"/>
      <c r="I14" s="25"/>
      <c r="J14" s="25"/>
      <c r="K14" s="25"/>
      <c r="L14" s="25"/>
      <c r="M14" s="25"/>
      <c r="N14" s="25" t="str">
        <f t="shared" si="0"/>
        <v/>
      </c>
      <c r="O14" s="25"/>
      <c r="P14" s="25"/>
      <c r="Q14" s="25"/>
      <c r="R14" s="25"/>
      <c r="S14" s="25"/>
      <c r="T14" s="25"/>
      <c r="U14" s="25"/>
      <c r="V14" s="25"/>
      <c r="W14" s="24"/>
      <c r="X14" s="24"/>
      <c r="Y14" s="25"/>
      <c r="Z14" s="25" t="str">
        <f>IF(B14="","",IFERROR(INDEX(الزبائن!$AZ$6:$AZ$505,MATCH(B14,الزبائن!$A$6:$A$505,0)),"source key not found"))</f>
        <v/>
      </c>
      <c r="AA14" s="25" t="str">
        <f>IF(B14="","",IFERROR(INDEX(الزبائن!$BA$6:$BA$505,MATCH(B14,الزبائن!$A$6:$A$505,0)),"source key not found"))</f>
        <v/>
      </c>
      <c r="AB14" s="25" t="str">
        <f>IF(AND(A14="",C14="",D14="",H14="",K14="",L14=""),"",IF(C14="skip","SKIP",IF(OR(A14="",C14="",D14="",H14="",K14="",L14="",S14="",COUNTIF($A$6:$A$505,A14)&gt;1,AND(B14&lt;&gt;"",COUNTIF(الزبائن!$A$6:$A$505,B14)=0),(COUNTIFS('أرقام التواصل'!$A$6:$A$505,"proposed_name",'أرقام التواصل'!$B$6:$B$505,A14,'أرقام التواصل'!$I$6:$I$505,"TRUE")+COUNTIFS('أرقام التواصل'!$A$6:$A$505,"proposed_name",'أرقام التواصل'!$B$6:$B$505,A14,'أرقام التواصل'!$C$6:$C$505,1))=0,AND(U14="TRUE",V14="")),"REVIEW","READY")))</f>
        <v/>
      </c>
      <c r="AC14" s="27" t="str">
        <f>IF(AB14="","",IF(AB14="READY","",IF(AB14="SKIP","Skipped by candidate_import_action",TRIM(IF(A14="","missing proposed_name_key; ","")&amp;IF(AND(A14&lt;&gt;"",COUNTIF($A$6:$A$505,A14)&gt;1),"duplicate proposed_name_key; ","")&amp;IF(C14="","missing candidate_import_action; ","")&amp;IF(D14="","missing move_reason; ","")&amp;IF(H14="","missing branch_id; ","")&amp;IF(K14="","missing first_name; ","")&amp;IF(L14="","missing last_name; ","")&amp;IF(S14="","missing status; ","")&amp;IF(AND(B14&lt;&gt;"",COUNTIF(الزبائن!$A$6:$A$505,B14)=0),"source key not found; ","")&amp;IF((COUNTIFS('أرقام التواصل'!$A$6:$A$505,"proposed_name",'أرقام التواصل'!$B$6:$B$505,A14,'أرقام التواصل'!$I$6:$I$505,"TRUE")+COUNTIFS('أرقام التواصل'!$A$6:$A$505,"proposed_name",'أرقام التواصل'!$B$6:$B$505,A14,'أرقام التواصل'!$C$6:$C$505,1))=0,"missing primary contact in أرقام التواصل; ","")&amp;IF(AND(U14="TRUE",V14=""),"duplicate_type required when duplicate_flag TRUE; ","")))))</f>
        <v/>
      </c>
    </row>
    <row r="15" spans="1:29">
      <c r="A15" s="36"/>
      <c r="B15" s="24"/>
      <c r="C15" s="25"/>
      <c r="D15" s="25"/>
      <c r="E15" s="25"/>
      <c r="F15" s="24"/>
      <c r="G15" s="25"/>
      <c r="H15" s="25"/>
      <c r="I15" s="25"/>
      <c r="J15" s="25"/>
      <c r="K15" s="25"/>
      <c r="L15" s="25"/>
      <c r="M15" s="25"/>
      <c r="N15" s="25" t="str">
        <f t="shared" si="0"/>
        <v/>
      </c>
      <c r="O15" s="25"/>
      <c r="P15" s="25"/>
      <c r="Q15" s="25"/>
      <c r="R15" s="25"/>
      <c r="S15" s="25"/>
      <c r="T15" s="25"/>
      <c r="U15" s="25"/>
      <c r="V15" s="25"/>
      <c r="W15" s="24"/>
      <c r="X15" s="24"/>
      <c r="Y15" s="25"/>
      <c r="Z15" s="25" t="str">
        <f>IF(B15="","",IFERROR(INDEX(الزبائن!$AZ$6:$AZ$505,MATCH(B15,الزبائن!$A$6:$A$505,0)),"source key not found"))</f>
        <v/>
      </c>
      <c r="AA15" s="25" t="str">
        <f>IF(B15="","",IFERROR(INDEX(الزبائن!$BA$6:$BA$505,MATCH(B15,الزبائن!$A$6:$A$505,0)),"source key not found"))</f>
        <v/>
      </c>
      <c r="AB15" s="25" t="str">
        <f>IF(AND(A15="",C15="",D15="",H15="",K15="",L15=""),"",IF(C15="skip","SKIP",IF(OR(A15="",C15="",D15="",H15="",K15="",L15="",S15="",COUNTIF($A$6:$A$505,A15)&gt;1,AND(B15&lt;&gt;"",COUNTIF(الزبائن!$A$6:$A$505,B15)=0),(COUNTIFS('أرقام التواصل'!$A$6:$A$505,"proposed_name",'أرقام التواصل'!$B$6:$B$505,A15,'أرقام التواصل'!$I$6:$I$505,"TRUE")+COUNTIFS('أرقام التواصل'!$A$6:$A$505,"proposed_name",'أرقام التواصل'!$B$6:$B$505,A15,'أرقام التواصل'!$C$6:$C$505,1))=0,AND(U15="TRUE",V15="")),"REVIEW","READY")))</f>
        <v/>
      </c>
      <c r="AC15" s="27" t="str">
        <f>IF(AB15="","",IF(AB15="READY","",IF(AB15="SKIP","Skipped by candidate_import_action",TRIM(IF(A15="","missing proposed_name_key; ","")&amp;IF(AND(A15&lt;&gt;"",COUNTIF($A$6:$A$505,A15)&gt;1),"duplicate proposed_name_key; ","")&amp;IF(C15="","missing candidate_import_action; ","")&amp;IF(D15="","missing move_reason; ","")&amp;IF(H15="","missing branch_id; ","")&amp;IF(K15="","missing first_name; ","")&amp;IF(L15="","missing last_name; ","")&amp;IF(S15="","missing status; ","")&amp;IF(AND(B15&lt;&gt;"",COUNTIF(الزبائن!$A$6:$A$505,B15)=0),"source key not found; ","")&amp;IF((COUNTIFS('أرقام التواصل'!$A$6:$A$505,"proposed_name",'أرقام التواصل'!$B$6:$B$505,A15,'أرقام التواصل'!$I$6:$I$505,"TRUE")+COUNTIFS('أرقام التواصل'!$A$6:$A$505,"proposed_name",'أرقام التواصل'!$B$6:$B$505,A15,'أرقام التواصل'!$C$6:$C$505,1))=0,"missing primary contact in أرقام التواصل; ","")&amp;IF(AND(U15="TRUE",V15=""),"duplicate_type required when duplicate_flag TRUE; ","")))))</f>
        <v/>
      </c>
    </row>
    <row r="16" spans="1:29">
      <c r="A16" s="36"/>
      <c r="B16" s="24"/>
      <c r="C16" s="25"/>
      <c r="D16" s="25"/>
      <c r="E16" s="25"/>
      <c r="F16" s="24"/>
      <c r="G16" s="25"/>
      <c r="H16" s="25"/>
      <c r="I16" s="25"/>
      <c r="J16" s="25"/>
      <c r="K16" s="25"/>
      <c r="L16" s="25"/>
      <c r="M16" s="25"/>
      <c r="N16" s="25" t="str">
        <f t="shared" si="0"/>
        <v/>
      </c>
      <c r="O16" s="25"/>
      <c r="P16" s="25"/>
      <c r="Q16" s="25"/>
      <c r="R16" s="25"/>
      <c r="S16" s="25"/>
      <c r="T16" s="25"/>
      <c r="U16" s="25"/>
      <c r="V16" s="25"/>
      <c r="W16" s="24"/>
      <c r="X16" s="24"/>
      <c r="Y16" s="25"/>
      <c r="Z16" s="25" t="str">
        <f>IF(B16="","",IFERROR(INDEX(الزبائن!$AZ$6:$AZ$505,MATCH(B16,الزبائن!$A$6:$A$505,0)),"source key not found"))</f>
        <v/>
      </c>
      <c r="AA16" s="25" t="str">
        <f>IF(B16="","",IFERROR(INDEX(الزبائن!$BA$6:$BA$505,MATCH(B16,الزبائن!$A$6:$A$505,0)),"source key not found"))</f>
        <v/>
      </c>
      <c r="AB16" s="25" t="str">
        <f>IF(AND(A16="",C16="",D16="",H16="",K16="",L16=""),"",IF(C16="skip","SKIP",IF(OR(A16="",C16="",D16="",H16="",K16="",L16="",S16="",COUNTIF($A$6:$A$505,A16)&gt;1,AND(B16&lt;&gt;"",COUNTIF(الزبائن!$A$6:$A$505,B16)=0),(COUNTIFS('أرقام التواصل'!$A$6:$A$505,"proposed_name",'أرقام التواصل'!$B$6:$B$505,A16,'أرقام التواصل'!$I$6:$I$505,"TRUE")+COUNTIFS('أرقام التواصل'!$A$6:$A$505,"proposed_name",'أرقام التواصل'!$B$6:$B$505,A16,'أرقام التواصل'!$C$6:$C$505,1))=0,AND(U16="TRUE",V16="")),"REVIEW","READY")))</f>
        <v/>
      </c>
      <c r="AC16" s="27" t="str">
        <f>IF(AB16="","",IF(AB16="READY","",IF(AB16="SKIP","Skipped by candidate_import_action",TRIM(IF(A16="","missing proposed_name_key; ","")&amp;IF(AND(A16&lt;&gt;"",COUNTIF($A$6:$A$505,A16)&gt;1),"duplicate proposed_name_key; ","")&amp;IF(C16="","missing candidate_import_action; ","")&amp;IF(D16="","missing move_reason; ","")&amp;IF(H16="","missing branch_id; ","")&amp;IF(K16="","missing first_name; ","")&amp;IF(L16="","missing last_name; ","")&amp;IF(S16="","missing status; ","")&amp;IF(AND(B16&lt;&gt;"",COUNTIF(الزبائن!$A$6:$A$505,B16)=0),"source key not found; ","")&amp;IF((COUNTIFS('أرقام التواصل'!$A$6:$A$505,"proposed_name",'أرقام التواصل'!$B$6:$B$505,A16,'أرقام التواصل'!$I$6:$I$505,"TRUE")+COUNTIFS('أرقام التواصل'!$A$6:$A$505,"proposed_name",'أرقام التواصل'!$B$6:$B$505,A16,'أرقام التواصل'!$C$6:$C$505,1))=0,"missing primary contact in أرقام التواصل; ","")&amp;IF(AND(U16="TRUE",V16=""),"duplicate_type required when duplicate_flag TRUE; ","")))))</f>
        <v/>
      </c>
    </row>
    <row r="17" spans="1:29">
      <c r="A17" s="36"/>
      <c r="B17" s="24"/>
      <c r="C17" s="25"/>
      <c r="D17" s="25"/>
      <c r="E17" s="25"/>
      <c r="F17" s="24"/>
      <c r="G17" s="25"/>
      <c r="H17" s="25"/>
      <c r="I17" s="25"/>
      <c r="J17" s="25"/>
      <c r="K17" s="25"/>
      <c r="L17" s="25"/>
      <c r="M17" s="25"/>
      <c r="N17" s="25" t="str">
        <f t="shared" si="0"/>
        <v/>
      </c>
      <c r="O17" s="25"/>
      <c r="P17" s="25"/>
      <c r="Q17" s="25"/>
      <c r="R17" s="25"/>
      <c r="S17" s="25"/>
      <c r="T17" s="25"/>
      <c r="U17" s="25"/>
      <c r="V17" s="25"/>
      <c r="W17" s="24"/>
      <c r="X17" s="24"/>
      <c r="Y17" s="25"/>
      <c r="Z17" s="25" t="str">
        <f>IF(B17="","",IFERROR(INDEX(الزبائن!$AZ$6:$AZ$505,MATCH(B17,الزبائن!$A$6:$A$505,0)),"source key not found"))</f>
        <v/>
      </c>
      <c r="AA17" s="25" t="str">
        <f>IF(B17="","",IFERROR(INDEX(الزبائن!$BA$6:$BA$505,MATCH(B17,الزبائن!$A$6:$A$505,0)),"source key not found"))</f>
        <v/>
      </c>
      <c r="AB17" s="25" t="str">
        <f>IF(AND(A17="",C17="",D17="",H17="",K17="",L17=""),"",IF(C17="skip","SKIP",IF(OR(A17="",C17="",D17="",H17="",K17="",L17="",S17="",COUNTIF($A$6:$A$505,A17)&gt;1,AND(B17&lt;&gt;"",COUNTIF(الزبائن!$A$6:$A$505,B17)=0),(COUNTIFS('أرقام التواصل'!$A$6:$A$505,"proposed_name",'أرقام التواصل'!$B$6:$B$505,A17,'أرقام التواصل'!$I$6:$I$505,"TRUE")+COUNTIFS('أرقام التواصل'!$A$6:$A$505,"proposed_name",'أرقام التواصل'!$B$6:$B$505,A17,'أرقام التواصل'!$C$6:$C$505,1))=0,AND(U17="TRUE",V17="")),"REVIEW","READY")))</f>
        <v/>
      </c>
      <c r="AC17" s="27" t="str">
        <f>IF(AB17="","",IF(AB17="READY","",IF(AB17="SKIP","Skipped by candidate_import_action",TRIM(IF(A17="","missing proposed_name_key; ","")&amp;IF(AND(A17&lt;&gt;"",COUNTIF($A$6:$A$505,A17)&gt;1),"duplicate proposed_name_key; ","")&amp;IF(C17="","missing candidate_import_action; ","")&amp;IF(D17="","missing move_reason; ","")&amp;IF(H17="","missing branch_id; ","")&amp;IF(K17="","missing first_name; ","")&amp;IF(L17="","missing last_name; ","")&amp;IF(S17="","missing status; ","")&amp;IF(AND(B17&lt;&gt;"",COUNTIF(الزبائن!$A$6:$A$505,B17)=0),"source key not found; ","")&amp;IF((COUNTIFS('أرقام التواصل'!$A$6:$A$505,"proposed_name",'أرقام التواصل'!$B$6:$B$505,A17,'أرقام التواصل'!$I$6:$I$505,"TRUE")+COUNTIFS('أرقام التواصل'!$A$6:$A$505,"proposed_name",'أرقام التواصل'!$B$6:$B$505,A17,'أرقام التواصل'!$C$6:$C$505,1))=0,"missing primary contact in أرقام التواصل; ","")&amp;IF(AND(U17="TRUE",V17=""),"duplicate_type required when duplicate_flag TRUE; ","")))))</f>
        <v/>
      </c>
    </row>
    <row r="18" spans="1:29">
      <c r="A18" s="36"/>
      <c r="B18" s="24"/>
      <c r="C18" s="25"/>
      <c r="D18" s="25"/>
      <c r="E18" s="25"/>
      <c r="F18" s="24"/>
      <c r="G18" s="25"/>
      <c r="H18" s="25"/>
      <c r="I18" s="25"/>
      <c r="J18" s="25"/>
      <c r="K18" s="25"/>
      <c r="L18" s="25"/>
      <c r="M18" s="25"/>
      <c r="N18" s="25" t="str">
        <f t="shared" si="0"/>
        <v/>
      </c>
      <c r="O18" s="25"/>
      <c r="P18" s="25"/>
      <c r="Q18" s="25"/>
      <c r="R18" s="25"/>
      <c r="S18" s="25"/>
      <c r="T18" s="25"/>
      <c r="U18" s="25"/>
      <c r="V18" s="25"/>
      <c r="W18" s="24"/>
      <c r="X18" s="24"/>
      <c r="Y18" s="25"/>
      <c r="Z18" s="25" t="str">
        <f>IF(B18="","",IFERROR(INDEX(الزبائن!$AZ$6:$AZ$505,MATCH(B18,الزبائن!$A$6:$A$505,0)),"source key not found"))</f>
        <v/>
      </c>
      <c r="AA18" s="25" t="str">
        <f>IF(B18="","",IFERROR(INDEX(الزبائن!$BA$6:$BA$505,MATCH(B18,الزبائن!$A$6:$A$505,0)),"source key not found"))</f>
        <v/>
      </c>
      <c r="AB18" s="25" t="str">
        <f>IF(AND(A18="",C18="",D18="",H18="",K18="",L18=""),"",IF(C18="skip","SKIP",IF(OR(A18="",C18="",D18="",H18="",K18="",L18="",S18="",COUNTIF($A$6:$A$505,A18)&gt;1,AND(B18&lt;&gt;"",COUNTIF(الزبائن!$A$6:$A$505,B18)=0),(COUNTIFS('أرقام التواصل'!$A$6:$A$505,"proposed_name",'أرقام التواصل'!$B$6:$B$505,A18,'أرقام التواصل'!$I$6:$I$505,"TRUE")+COUNTIFS('أرقام التواصل'!$A$6:$A$505,"proposed_name",'أرقام التواصل'!$B$6:$B$505,A18,'أرقام التواصل'!$C$6:$C$505,1))=0,AND(U18="TRUE",V18="")),"REVIEW","READY")))</f>
        <v/>
      </c>
      <c r="AC18" s="27" t="str">
        <f>IF(AB18="","",IF(AB18="READY","",IF(AB18="SKIP","Skipped by candidate_import_action",TRIM(IF(A18="","missing proposed_name_key; ","")&amp;IF(AND(A18&lt;&gt;"",COUNTIF($A$6:$A$505,A18)&gt;1),"duplicate proposed_name_key; ","")&amp;IF(C18="","missing candidate_import_action; ","")&amp;IF(D18="","missing move_reason; ","")&amp;IF(H18="","missing branch_id; ","")&amp;IF(K18="","missing first_name; ","")&amp;IF(L18="","missing last_name; ","")&amp;IF(S18="","missing status; ","")&amp;IF(AND(B18&lt;&gt;"",COUNTIF(الزبائن!$A$6:$A$505,B18)=0),"source key not found; ","")&amp;IF((COUNTIFS('أرقام التواصل'!$A$6:$A$505,"proposed_name",'أرقام التواصل'!$B$6:$B$505,A18,'أرقام التواصل'!$I$6:$I$505,"TRUE")+COUNTIFS('أرقام التواصل'!$A$6:$A$505,"proposed_name",'أرقام التواصل'!$B$6:$B$505,A18,'أرقام التواصل'!$C$6:$C$505,1))=0,"missing primary contact in أرقام التواصل; ","")&amp;IF(AND(U18="TRUE",V18=""),"duplicate_type required when duplicate_flag TRUE; ","")))))</f>
        <v/>
      </c>
    </row>
    <row r="19" spans="1:29">
      <c r="A19" s="36"/>
      <c r="B19" s="24"/>
      <c r="C19" s="25"/>
      <c r="D19" s="25"/>
      <c r="E19" s="25"/>
      <c r="F19" s="24"/>
      <c r="G19" s="25"/>
      <c r="H19" s="25"/>
      <c r="I19" s="25"/>
      <c r="J19" s="25"/>
      <c r="K19" s="25"/>
      <c r="L19" s="25"/>
      <c r="M19" s="25"/>
      <c r="N19" s="25" t="str">
        <f t="shared" si="0"/>
        <v/>
      </c>
      <c r="O19" s="25"/>
      <c r="P19" s="25"/>
      <c r="Q19" s="25"/>
      <c r="R19" s="25"/>
      <c r="S19" s="25"/>
      <c r="T19" s="25"/>
      <c r="U19" s="25"/>
      <c r="V19" s="25"/>
      <c r="W19" s="24"/>
      <c r="X19" s="24"/>
      <c r="Y19" s="25"/>
      <c r="Z19" s="25" t="str">
        <f>IF(B19="","",IFERROR(INDEX(الزبائن!$AZ$6:$AZ$505,MATCH(B19,الزبائن!$A$6:$A$505,0)),"source key not found"))</f>
        <v/>
      </c>
      <c r="AA19" s="25" t="str">
        <f>IF(B19="","",IFERROR(INDEX(الزبائن!$BA$6:$BA$505,MATCH(B19,الزبائن!$A$6:$A$505,0)),"source key not found"))</f>
        <v/>
      </c>
      <c r="AB19" s="25" t="str">
        <f>IF(AND(A19="",C19="",D19="",H19="",K19="",L19=""),"",IF(C19="skip","SKIP",IF(OR(A19="",C19="",D19="",H19="",K19="",L19="",S19="",COUNTIF($A$6:$A$505,A19)&gt;1,AND(B19&lt;&gt;"",COUNTIF(الزبائن!$A$6:$A$505,B19)=0),(COUNTIFS('أرقام التواصل'!$A$6:$A$505,"proposed_name",'أرقام التواصل'!$B$6:$B$505,A19,'أرقام التواصل'!$I$6:$I$505,"TRUE")+COUNTIFS('أرقام التواصل'!$A$6:$A$505,"proposed_name",'أرقام التواصل'!$B$6:$B$505,A19,'أرقام التواصل'!$C$6:$C$505,1))=0,AND(U19="TRUE",V19="")),"REVIEW","READY")))</f>
        <v/>
      </c>
      <c r="AC19" s="27" t="str">
        <f>IF(AB19="","",IF(AB19="READY","",IF(AB19="SKIP","Skipped by candidate_import_action",TRIM(IF(A19="","missing proposed_name_key; ","")&amp;IF(AND(A19&lt;&gt;"",COUNTIF($A$6:$A$505,A19)&gt;1),"duplicate proposed_name_key; ","")&amp;IF(C19="","missing candidate_import_action; ","")&amp;IF(D19="","missing move_reason; ","")&amp;IF(H19="","missing branch_id; ","")&amp;IF(K19="","missing first_name; ","")&amp;IF(L19="","missing last_name; ","")&amp;IF(S19="","missing status; ","")&amp;IF(AND(B19&lt;&gt;"",COUNTIF(الزبائن!$A$6:$A$505,B19)=0),"source key not found; ","")&amp;IF((COUNTIFS('أرقام التواصل'!$A$6:$A$505,"proposed_name",'أرقام التواصل'!$B$6:$B$505,A19,'أرقام التواصل'!$I$6:$I$505,"TRUE")+COUNTIFS('أرقام التواصل'!$A$6:$A$505,"proposed_name",'أرقام التواصل'!$B$6:$B$505,A19,'أرقام التواصل'!$C$6:$C$505,1))=0,"missing primary contact in أرقام التواصل; ","")&amp;IF(AND(U19="TRUE",V19=""),"duplicate_type required when duplicate_flag TRUE; ","")))))</f>
        <v/>
      </c>
    </row>
    <row r="20" spans="1:29">
      <c r="A20" s="36"/>
      <c r="B20" s="24"/>
      <c r="C20" s="25"/>
      <c r="D20" s="25"/>
      <c r="E20" s="25"/>
      <c r="F20" s="24"/>
      <c r="G20" s="25"/>
      <c r="H20" s="25"/>
      <c r="I20" s="25"/>
      <c r="J20" s="25"/>
      <c r="K20" s="25"/>
      <c r="L20" s="25"/>
      <c r="M20" s="25"/>
      <c r="N20" s="25" t="str">
        <f t="shared" si="0"/>
        <v/>
      </c>
      <c r="O20" s="25"/>
      <c r="P20" s="25"/>
      <c r="Q20" s="25"/>
      <c r="R20" s="25"/>
      <c r="S20" s="25"/>
      <c r="T20" s="25"/>
      <c r="U20" s="25"/>
      <c r="V20" s="25"/>
      <c r="W20" s="24"/>
      <c r="X20" s="24"/>
      <c r="Y20" s="25"/>
      <c r="Z20" s="25" t="str">
        <f>IF(B20="","",IFERROR(INDEX(الزبائن!$AZ$6:$AZ$505,MATCH(B20,الزبائن!$A$6:$A$505,0)),"source key not found"))</f>
        <v/>
      </c>
      <c r="AA20" s="25" t="str">
        <f>IF(B20="","",IFERROR(INDEX(الزبائن!$BA$6:$BA$505,MATCH(B20,الزبائن!$A$6:$A$505,0)),"source key not found"))</f>
        <v/>
      </c>
      <c r="AB20" s="25" t="str">
        <f>IF(AND(A20="",C20="",D20="",H20="",K20="",L20=""),"",IF(C20="skip","SKIP",IF(OR(A20="",C20="",D20="",H20="",K20="",L20="",S20="",COUNTIF($A$6:$A$505,A20)&gt;1,AND(B20&lt;&gt;"",COUNTIF(الزبائن!$A$6:$A$505,B20)=0),(COUNTIFS('أرقام التواصل'!$A$6:$A$505,"proposed_name",'أرقام التواصل'!$B$6:$B$505,A20,'أرقام التواصل'!$I$6:$I$505,"TRUE")+COUNTIFS('أرقام التواصل'!$A$6:$A$505,"proposed_name",'أرقام التواصل'!$B$6:$B$505,A20,'أرقام التواصل'!$C$6:$C$505,1))=0,AND(U20="TRUE",V20="")),"REVIEW","READY")))</f>
        <v/>
      </c>
      <c r="AC20" s="27" t="str">
        <f>IF(AB20="","",IF(AB20="READY","",IF(AB20="SKIP","Skipped by candidate_import_action",TRIM(IF(A20="","missing proposed_name_key; ","")&amp;IF(AND(A20&lt;&gt;"",COUNTIF($A$6:$A$505,A20)&gt;1),"duplicate proposed_name_key; ","")&amp;IF(C20="","missing candidate_import_action; ","")&amp;IF(D20="","missing move_reason; ","")&amp;IF(H20="","missing branch_id; ","")&amp;IF(K20="","missing first_name; ","")&amp;IF(L20="","missing last_name; ","")&amp;IF(S20="","missing status; ","")&amp;IF(AND(B20&lt;&gt;"",COUNTIF(الزبائن!$A$6:$A$505,B20)=0),"source key not found; ","")&amp;IF((COUNTIFS('أرقام التواصل'!$A$6:$A$505,"proposed_name",'أرقام التواصل'!$B$6:$B$505,A20,'أرقام التواصل'!$I$6:$I$505,"TRUE")+COUNTIFS('أرقام التواصل'!$A$6:$A$505,"proposed_name",'أرقام التواصل'!$B$6:$B$505,A20,'أرقام التواصل'!$C$6:$C$505,1))=0,"missing primary contact in أرقام التواصل; ","")&amp;IF(AND(U20="TRUE",V20=""),"duplicate_type required when duplicate_flag TRUE; ","")))))</f>
        <v/>
      </c>
    </row>
    <row r="21" spans="1:29">
      <c r="A21" s="36"/>
      <c r="B21" s="24"/>
      <c r="C21" s="25"/>
      <c r="D21" s="25"/>
      <c r="E21" s="25"/>
      <c r="F21" s="24"/>
      <c r="G21" s="25"/>
      <c r="H21" s="25"/>
      <c r="I21" s="25"/>
      <c r="J21" s="25"/>
      <c r="K21" s="25"/>
      <c r="L21" s="25"/>
      <c r="M21" s="25"/>
      <c r="N21" s="25" t="str">
        <f t="shared" si="0"/>
        <v/>
      </c>
      <c r="O21" s="25"/>
      <c r="P21" s="25"/>
      <c r="Q21" s="25"/>
      <c r="R21" s="25"/>
      <c r="S21" s="25"/>
      <c r="T21" s="25"/>
      <c r="U21" s="25"/>
      <c r="V21" s="25"/>
      <c r="W21" s="24"/>
      <c r="X21" s="24"/>
      <c r="Y21" s="25"/>
      <c r="Z21" s="25" t="str">
        <f>IF(B21="","",IFERROR(INDEX(الزبائن!$AZ$6:$AZ$505,MATCH(B21,الزبائن!$A$6:$A$505,0)),"source key not found"))</f>
        <v/>
      </c>
      <c r="AA21" s="25" t="str">
        <f>IF(B21="","",IFERROR(INDEX(الزبائن!$BA$6:$BA$505,MATCH(B21,الزبائن!$A$6:$A$505,0)),"source key not found"))</f>
        <v/>
      </c>
      <c r="AB21" s="25" t="str">
        <f>IF(AND(A21="",C21="",D21="",H21="",K21="",L21=""),"",IF(C21="skip","SKIP",IF(OR(A21="",C21="",D21="",H21="",K21="",L21="",S21="",COUNTIF($A$6:$A$505,A21)&gt;1,AND(B21&lt;&gt;"",COUNTIF(الزبائن!$A$6:$A$505,B21)=0),(COUNTIFS('أرقام التواصل'!$A$6:$A$505,"proposed_name",'أرقام التواصل'!$B$6:$B$505,A21,'أرقام التواصل'!$I$6:$I$505,"TRUE")+COUNTIFS('أرقام التواصل'!$A$6:$A$505,"proposed_name",'أرقام التواصل'!$B$6:$B$505,A21,'أرقام التواصل'!$C$6:$C$505,1))=0,AND(U21="TRUE",V21="")),"REVIEW","READY")))</f>
        <v/>
      </c>
      <c r="AC21" s="27" t="str">
        <f>IF(AB21="","",IF(AB21="READY","",IF(AB21="SKIP","Skipped by candidate_import_action",TRIM(IF(A21="","missing proposed_name_key; ","")&amp;IF(AND(A21&lt;&gt;"",COUNTIF($A$6:$A$505,A21)&gt;1),"duplicate proposed_name_key; ","")&amp;IF(C21="","missing candidate_import_action; ","")&amp;IF(D21="","missing move_reason; ","")&amp;IF(H21="","missing branch_id; ","")&amp;IF(K21="","missing first_name; ","")&amp;IF(L21="","missing last_name; ","")&amp;IF(S21="","missing status; ","")&amp;IF(AND(B21&lt;&gt;"",COUNTIF(الزبائن!$A$6:$A$505,B21)=0),"source key not found; ","")&amp;IF((COUNTIFS('أرقام التواصل'!$A$6:$A$505,"proposed_name",'أرقام التواصل'!$B$6:$B$505,A21,'أرقام التواصل'!$I$6:$I$505,"TRUE")+COUNTIFS('أرقام التواصل'!$A$6:$A$505,"proposed_name",'أرقام التواصل'!$B$6:$B$505,A21,'أرقام التواصل'!$C$6:$C$505,1))=0,"missing primary contact in أرقام التواصل; ","")&amp;IF(AND(U21="TRUE",V21=""),"duplicate_type required when duplicate_flag TRUE; ","")))))</f>
        <v/>
      </c>
    </row>
    <row r="22" spans="1:29">
      <c r="A22" s="36"/>
      <c r="B22" s="24"/>
      <c r="C22" s="25"/>
      <c r="D22" s="25"/>
      <c r="E22" s="25"/>
      <c r="F22" s="24"/>
      <c r="G22" s="25"/>
      <c r="H22" s="25"/>
      <c r="I22" s="25"/>
      <c r="J22" s="25"/>
      <c r="K22" s="25"/>
      <c r="L22" s="25"/>
      <c r="M22" s="25"/>
      <c r="N22" s="25" t="str">
        <f t="shared" si="0"/>
        <v/>
      </c>
      <c r="O22" s="25"/>
      <c r="P22" s="25"/>
      <c r="Q22" s="25"/>
      <c r="R22" s="25"/>
      <c r="S22" s="25"/>
      <c r="T22" s="25"/>
      <c r="U22" s="25"/>
      <c r="V22" s="25"/>
      <c r="W22" s="24"/>
      <c r="X22" s="24"/>
      <c r="Y22" s="25"/>
      <c r="Z22" s="25" t="str">
        <f>IF(B22="","",IFERROR(INDEX(الزبائن!$AZ$6:$AZ$505,MATCH(B22,الزبائن!$A$6:$A$505,0)),"source key not found"))</f>
        <v/>
      </c>
      <c r="AA22" s="25" t="str">
        <f>IF(B22="","",IFERROR(INDEX(الزبائن!$BA$6:$BA$505,MATCH(B22,الزبائن!$A$6:$A$505,0)),"source key not found"))</f>
        <v/>
      </c>
      <c r="AB22" s="25" t="str">
        <f>IF(AND(A22="",C22="",D22="",H22="",K22="",L22=""),"",IF(C22="skip","SKIP",IF(OR(A22="",C22="",D22="",H22="",K22="",L22="",S22="",COUNTIF($A$6:$A$505,A22)&gt;1,AND(B22&lt;&gt;"",COUNTIF(الزبائن!$A$6:$A$505,B22)=0),(COUNTIFS('أرقام التواصل'!$A$6:$A$505,"proposed_name",'أرقام التواصل'!$B$6:$B$505,A22,'أرقام التواصل'!$I$6:$I$505,"TRUE")+COUNTIFS('أرقام التواصل'!$A$6:$A$505,"proposed_name",'أرقام التواصل'!$B$6:$B$505,A22,'أرقام التواصل'!$C$6:$C$505,1))=0,AND(U22="TRUE",V22="")),"REVIEW","READY")))</f>
        <v/>
      </c>
      <c r="AC22" s="27" t="str">
        <f>IF(AB22="","",IF(AB22="READY","",IF(AB22="SKIP","Skipped by candidate_import_action",TRIM(IF(A22="","missing proposed_name_key; ","")&amp;IF(AND(A22&lt;&gt;"",COUNTIF($A$6:$A$505,A22)&gt;1),"duplicate proposed_name_key; ","")&amp;IF(C22="","missing candidate_import_action; ","")&amp;IF(D22="","missing move_reason; ","")&amp;IF(H22="","missing branch_id; ","")&amp;IF(K22="","missing first_name; ","")&amp;IF(L22="","missing last_name; ","")&amp;IF(S22="","missing status; ","")&amp;IF(AND(B22&lt;&gt;"",COUNTIF(الزبائن!$A$6:$A$505,B22)=0),"source key not found; ","")&amp;IF((COUNTIFS('أرقام التواصل'!$A$6:$A$505,"proposed_name",'أرقام التواصل'!$B$6:$B$505,A22,'أرقام التواصل'!$I$6:$I$505,"TRUE")+COUNTIFS('أرقام التواصل'!$A$6:$A$505,"proposed_name",'أرقام التواصل'!$B$6:$B$505,A22,'أرقام التواصل'!$C$6:$C$505,1))=0,"missing primary contact in أرقام التواصل; ","")&amp;IF(AND(U22="TRUE",V22=""),"duplicate_type required when duplicate_flag TRUE; ","")))))</f>
        <v/>
      </c>
    </row>
    <row r="23" spans="1:29">
      <c r="A23" s="36"/>
      <c r="B23" s="24"/>
      <c r="C23" s="25"/>
      <c r="D23" s="25"/>
      <c r="E23" s="25"/>
      <c r="F23" s="24"/>
      <c r="G23" s="25"/>
      <c r="H23" s="25"/>
      <c r="I23" s="25"/>
      <c r="J23" s="25"/>
      <c r="K23" s="25"/>
      <c r="L23" s="25"/>
      <c r="M23" s="25"/>
      <c r="N23" s="25" t="str">
        <f t="shared" si="0"/>
        <v/>
      </c>
      <c r="O23" s="25"/>
      <c r="P23" s="25"/>
      <c r="Q23" s="25"/>
      <c r="R23" s="25"/>
      <c r="S23" s="25"/>
      <c r="T23" s="25"/>
      <c r="U23" s="25"/>
      <c r="V23" s="25"/>
      <c r="W23" s="24"/>
      <c r="X23" s="24"/>
      <c r="Y23" s="25"/>
      <c r="Z23" s="25" t="str">
        <f>IF(B23="","",IFERROR(INDEX(الزبائن!$AZ$6:$AZ$505,MATCH(B23,الزبائن!$A$6:$A$505,0)),"source key not found"))</f>
        <v/>
      </c>
      <c r="AA23" s="25" t="str">
        <f>IF(B23="","",IFERROR(INDEX(الزبائن!$BA$6:$BA$505,MATCH(B23,الزبائن!$A$6:$A$505,0)),"source key not found"))</f>
        <v/>
      </c>
      <c r="AB23" s="25" t="str">
        <f>IF(AND(A23="",C23="",D23="",H23="",K23="",L23=""),"",IF(C23="skip","SKIP",IF(OR(A23="",C23="",D23="",H23="",K23="",L23="",S23="",COUNTIF($A$6:$A$505,A23)&gt;1,AND(B23&lt;&gt;"",COUNTIF(الزبائن!$A$6:$A$505,B23)=0),(COUNTIFS('أرقام التواصل'!$A$6:$A$505,"proposed_name",'أرقام التواصل'!$B$6:$B$505,A23,'أرقام التواصل'!$I$6:$I$505,"TRUE")+COUNTIFS('أرقام التواصل'!$A$6:$A$505,"proposed_name",'أرقام التواصل'!$B$6:$B$505,A23,'أرقام التواصل'!$C$6:$C$505,1))=0,AND(U23="TRUE",V23="")),"REVIEW","READY")))</f>
        <v/>
      </c>
      <c r="AC23" s="27" t="str">
        <f>IF(AB23="","",IF(AB23="READY","",IF(AB23="SKIP","Skipped by candidate_import_action",TRIM(IF(A23="","missing proposed_name_key; ","")&amp;IF(AND(A23&lt;&gt;"",COUNTIF($A$6:$A$505,A23)&gt;1),"duplicate proposed_name_key; ","")&amp;IF(C23="","missing candidate_import_action; ","")&amp;IF(D23="","missing move_reason; ","")&amp;IF(H23="","missing branch_id; ","")&amp;IF(K23="","missing first_name; ","")&amp;IF(L23="","missing last_name; ","")&amp;IF(S23="","missing status; ","")&amp;IF(AND(B23&lt;&gt;"",COUNTIF(الزبائن!$A$6:$A$505,B23)=0),"source key not found; ","")&amp;IF((COUNTIFS('أرقام التواصل'!$A$6:$A$505,"proposed_name",'أرقام التواصل'!$B$6:$B$505,A23,'أرقام التواصل'!$I$6:$I$505,"TRUE")+COUNTIFS('أرقام التواصل'!$A$6:$A$505,"proposed_name",'أرقام التواصل'!$B$6:$B$505,A23,'أرقام التواصل'!$C$6:$C$505,1))=0,"missing primary contact in أرقام التواصل; ","")&amp;IF(AND(U23="TRUE",V23=""),"duplicate_type required when duplicate_flag TRUE; ","")))))</f>
        <v/>
      </c>
    </row>
    <row r="24" spans="1:29">
      <c r="A24" s="36"/>
      <c r="B24" s="24"/>
      <c r="C24" s="25"/>
      <c r="D24" s="25"/>
      <c r="E24" s="25"/>
      <c r="F24" s="24"/>
      <c r="G24" s="25"/>
      <c r="H24" s="25"/>
      <c r="I24" s="25"/>
      <c r="J24" s="25"/>
      <c r="K24" s="25"/>
      <c r="L24" s="25"/>
      <c r="M24" s="25"/>
      <c r="N24" s="25" t="str">
        <f t="shared" si="0"/>
        <v/>
      </c>
      <c r="O24" s="25"/>
      <c r="P24" s="25"/>
      <c r="Q24" s="25"/>
      <c r="R24" s="25"/>
      <c r="S24" s="25"/>
      <c r="T24" s="25"/>
      <c r="U24" s="25"/>
      <c r="V24" s="25"/>
      <c r="W24" s="24"/>
      <c r="X24" s="24"/>
      <c r="Y24" s="25"/>
      <c r="Z24" s="25" t="str">
        <f>IF(B24="","",IFERROR(INDEX(الزبائن!$AZ$6:$AZ$505,MATCH(B24,الزبائن!$A$6:$A$505,0)),"source key not found"))</f>
        <v/>
      </c>
      <c r="AA24" s="25" t="str">
        <f>IF(B24="","",IFERROR(INDEX(الزبائن!$BA$6:$BA$505,MATCH(B24,الزبائن!$A$6:$A$505,0)),"source key not found"))</f>
        <v/>
      </c>
      <c r="AB24" s="25" t="str">
        <f>IF(AND(A24="",C24="",D24="",H24="",K24="",L24=""),"",IF(C24="skip","SKIP",IF(OR(A24="",C24="",D24="",H24="",K24="",L24="",S24="",COUNTIF($A$6:$A$505,A24)&gt;1,AND(B24&lt;&gt;"",COUNTIF(الزبائن!$A$6:$A$505,B24)=0),(COUNTIFS('أرقام التواصل'!$A$6:$A$505,"proposed_name",'أرقام التواصل'!$B$6:$B$505,A24,'أرقام التواصل'!$I$6:$I$505,"TRUE")+COUNTIFS('أرقام التواصل'!$A$6:$A$505,"proposed_name",'أرقام التواصل'!$B$6:$B$505,A24,'أرقام التواصل'!$C$6:$C$505,1))=0,AND(U24="TRUE",V24="")),"REVIEW","READY")))</f>
        <v/>
      </c>
      <c r="AC24" s="27" t="str">
        <f>IF(AB24="","",IF(AB24="READY","",IF(AB24="SKIP","Skipped by candidate_import_action",TRIM(IF(A24="","missing proposed_name_key; ","")&amp;IF(AND(A24&lt;&gt;"",COUNTIF($A$6:$A$505,A24)&gt;1),"duplicate proposed_name_key; ","")&amp;IF(C24="","missing candidate_import_action; ","")&amp;IF(D24="","missing move_reason; ","")&amp;IF(H24="","missing branch_id; ","")&amp;IF(K24="","missing first_name; ","")&amp;IF(L24="","missing last_name; ","")&amp;IF(S24="","missing status; ","")&amp;IF(AND(B24&lt;&gt;"",COUNTIF(الزبائن!$A$6:$A$505,B24)=0),"source key not found; ","")&amp;IF((COUNTIFS('أرقام التواصل'!$A$6:$A$505,"proposed_name",'أرقام التواصل'!$B$6:$B$505,A24,'أرقام التواصل'!$I$6:$I$505,"TRUE")+COUNTIFS('أرقام التواصل'!$A$6:$A$505,"proposed_name",'أرقام التواصل'!$B$6:$B$505,A24,'أرقام التواصل'!$C$6:$C$505,1))=0,"missing primary contact in أرقام التواصل; ","")&amp;IF(AND(U24="TRUE",V24=""),"duplicate_type required when duplicate_flag TRUE; ","")))))</f>
        <v/>
      </c>
    </row>
    <row r="25" spans="1:29">
      <c r="A25" s="36"/>
      <c r="B25" s="24"/>
      <c r="C25" s="25"/>
      <c r="D25" s="25"/>
      <c r="E25" s="25"/>
      <c r="F25" s="24"/>
      <c r="G25" s="25"/>
      <c r="H25" s="25"/>
      <c r="I25" s="25"/>
      <c r="J25" s="25"/>
      <c r="K25" s="25"/>
      <c r="L25" s="25"/>
      <c r="M25" s="25"/>
      <c r="N25" s="25" t="str">
        <f t="shared" si="0"/>
        <v/>
      </c>
      <c r="O25" s="25"/>
      <c r="P25" s="25"/>
      <c r="Q25" s="25"/>
      <c r="R25" s="25"/>
      <c r="S25" s="25"/>
      <c r="T25" s="25"/>
      <c r="U25" s="25"/>
      <c r="V25" s="25"/>
      <c r="W25" s="24"/>
      <c r="X25" s="24"/>
      <c r="Y25" s="25"/>
      <c r="Z25" s="25" t="str">
        <f>IF(B25="","",IFERROR(INDEX(الزبائن!$AZ$6:$AZ$505,MATCH(B25,الزبائن!$A$6:$A$505,0)),"source key not found"))</f>
        <v/>
      </c>
      <c r="AA25" s="25" t="str">
        <f>IF(B25="","",IFERROR(INDEX(الزبائن!$BA$6:$BA$505,MATCH(B25,الزبائن!$A$6:$A$505,0)),"source key not found"))</f>
        <v/>
      </c>
      <c r="AB25" s="25" t="str">
        <f>IF(AND(A25="",C25="",D25="",H25="",K25="",L25=""),"",IF(C25="skip","SKIP",IF(OR(A25="",C25="",D25="",H25="",K25="",L25="",S25="",COUNTIF($A$6:$A$505,A25)&gt;1,AND(B25&lt;&gt;"",COUNTIF(الزبائن!$A$6:$A$505,B25)=0),(COUNTIFS('أرقام التواصل'!$A$6:$A$505,"proposed_name",'أرقام التواصل'!$B$6:$B$505,A25,'أرقام التواصل'!$I$6:$I$505,"TRUE")+COUNTIFS('أرقام التواصل'!$A$6:$A$505,"proposed_name",'أرقام التواصل'!$B$6:$B$505,A25,'أرقام التواصل'!$C$6:$C$505,1))=0,AND(U25="TRUE",V25="")),"REVIEW","READY")))</f>
        <v/>
      </c>
      <c r="AC25" s="27" t="str">
        <f>IF(AB25="","",IF(AB25="READY","",IF(AB25="SKIP","Skipped by candidate_import_action",TRIM(IF(A25="","missing proposed_name_key; ","")&amp;IF(AND(A25&lt;&gt;"",COUNTIF($A$6:$A$505,A25)&gt;1),"duplicate proposed_name_key; ","")&amp;IF(C25="","missing candidate_import_action; ","")&amp;IF(D25="","missing move_reason; ","")&amp;IF(H25="","missing branch_id; ","")&amp;IF(K25="","missing first_name; ","")&amp;IF(L25="","missing last_name; ","")&amp;IF(S25="","missing status; ","")&amp;IF(AND(B25&lt;&gt;"",COUNTIF(الزبائن!$A$6:$A$505,B25)=0),"source key not found; ","")&amp;IF((COUNTIFS('أرقام التواصل'!$A$6:$A$505,"proposed_name",'أرقام التواصل'!$B$6:$B$505,A25,'أرقام التواصل'!$I$6:$I$505,"TRUE")+COUNTIFS('أرقام التواصل'!$A$6:$A$505,"proposed_name",'أرقام التواصل'!$B$6:$B$505,A25,'أرقام التواصل'!$C$6:$C$505,1))=0,"missing primary contact in أرقام التواصل; ","")&amp;IF(AND(U25="TRUE",V25=""),"duplicate_type required when duplicate_flag TRUE; ","")))))</f>
        <v/>
      </c>
    </row>
    <row r="26" spans="1:29">
      <c r="A26" s="36"/>
      <c r="B26" s="24"/>
      <c r="C26" s="25"/>
      <c r="D26" s="25"/>
      <c r="E26" s="25"/>
      <c r="F26" s="24"/>
      <c r="G26" s="25"/>
      <c r="H26" s="25"/>
      <c r="I26" s="25"/>
      <c r="J26" s="25"/>
      <c r="K26" s="25"/>
      <c r="L26" s="25"/>
      <c r="M26" s="25"/>
      <c r="N26" s="25" t="str">
        <f t="shared" si="0"/>
        <v/>
      </c>
      <c r="O26" s="25"/>
      <c r="P26" s="25"/>
      <c r="Q26" s="25"/>
      <c r="R26" s="25"/>
      <c r="S26" s="25"/>
      <c r="T26" s="25"/>
      <c r="U26" s="25"/>
      <c r="V26" s="25"/>
      <c r="W26" s="24"/>
      <c r="X26" s="24"/>
      <c r="Y26" s="25"/>
      <c r="Z26" s="25" t="str">
        <f>IF(B26="","",IFERROR(INDEX(الزبائن!$AZ$6:$AZ$505,MATCH(B26,الزبائن!$A$6:$A$505,0)),"source key not found"))</f>
        <v/>
      </c>
      <c r="AA26" s="25" t="str">
        <f>IF(B26="","",IFERROR(INDEX(الزبائن!$BA$6:$BA$505,MATCH(B26,الزبائن!$A$6:$A$505,0)),"source key not found"))</f>
        <v/>
      </c>
      <c r="AB26" s="25" t="str">
        <f>IF(AND(A26="",C26="",D26="",H26="",K26="",L26=""),"",IF(C26="skip","SKIP",IF(OR(A26="",C26="",D26="",H26="",K26="",L26="",S26="",COUNTIF($A$6:$A$505,A26)&gt;1,AND(B26&lt;&gt;"",COUNTIF(الزبائن!$A$6:$A$505,B26)=0),(COUNTIFS('أرقام التواصل'!$A$6:$A$505,"proposed_name",'أرقام التواصل'!$B$6:$B$505,A26,'أرقام التواصل'!$I$6:$I$505,"TRUE")+COUNTIFS('أرقام التواصل'!$A$6:$A$505,"proposed_name",'أرقام التواصل'!$B$6:$B$505,A26,'أرقام التواصل'!$C$6:$C$505,1))=0,AND(U26="TRUE",V26="")),"REVIEW","READY")))</f>
        <v/>
      </c>
      <c r="AC26" s="27" t="str">
        <f>IF(AB26="","",IF(AB26="READY","",IF(AB26="SKIP","Skipped by candidate_import_action",TRIM(IF(A26="","missing proposed_name_key; ","")&amp;IF(AND(A26&lt;&gt;"",COUNTIF($A$6:$A$505,A26)&gt;1),"duplicate proposed_name_key; ","")&amp;IF(C26="","missing candidate_import_action; ","")&amp;IF(D26="","missing move_reason; ","")&amp;IF(H26="","missing branch_id; ","")&amp;IF(K26="","missing first_name; ","")&amp;IF(L26="","missing last_name; ","")&amp;IF(S26="","missing status; ","")&amp;IF(AND(B26&lt;&gt;"",COUNTIF(الزبائن!$A$6:$A$505,B26)=0),"source key not found; ","")&amp;IF((COUNTIFS('أرقام التواصل'!$A$6:$A$505,"proposed_name",'أرقام التواصل'!$B$6:$B$505,A26,'أرقام التواصل'!$I$6:$I$505,"TRUE")+COUNTIFS('أرقام التواصل'!$A$6:$A$505,"proposed_name",'أرقام التواصل'!$B$6:$B$505,A26,'أرقام التواصل'!$C$6:$C$505,1))=0,"missing primary contact in أرقام التواصل; ","")&amp;IF(AND(U26="TRUE",V26=""),"duplicate_type required when duplicate_flag TRUE; ","")))))</f>
        <v/>
      </c>
    </row>
    <row r="27" spans="1:29">
      <c r="A27" s="36"/>
      <c r="B27" s="24"/>
      <c r="C27" s="25"/>
      <c r="D27" s="25"/>
      <c r="E27" s="25"/>
      <c r="F27" s="24"/>
      <c r="G27" s="25"/>
      <c r="H27" s="25"/>
      <c r="I27" s="25"/>
      <c r="J27" s="25"/>
      <c r="K27" s="25"/>
      <c r="L27" s="25"/>
      <c r="M27" s="25"/>
      <c r="N27" s="25" t="str">
        <f t="shared" si="0"/>
        <v/>
      </c>
      <c r="O27" s="25"/>
      <c r="P27" s="25"/>
      <c r="Q27" s="25"/>
      <c r="R27" s="25"/>
      <c r="S27" s="25"/>
      <c r="T27" s="25"/>
      <c r="U27" s="25"/>
      <c r="V27" s="25"/>
      <c r="W27" s="24"/>
      <c r="X27" s="24"/>
      <c r="Y27" s="25"/>
      <c r="Z27" s="25" t="str">
        <f>IF(B27="","",IFERROR(INDEX(الزبائن!$AZ$6:$AZ$505,MATCH(B27,الزبائن!$A$6:$A$505,0)),"source key not found"))</f>
        <v/>
      </c>
      <c r="AA27" s="25" t="str">
        <f>IF(B27="","",IFERROR(INDEX(الزبائن!$BA$6:$BA$505,MATCH(B27,الزبائن!$A$6:$A$505,0)),"source key not found"))</f>
        <v/>
      </c>
      <c r="AB27" s="25" t="str">
        <f>IF(AND(A27="",C27="",D27="",H27="",K27="",L27=""),"",IF(C27="skip","SKIP",IF(OR(A27="",C27="",D27="",H27="",K27="",L27="",S27="",COUNTIF($A$6:$A$505,A27)&gt;1,AND(B27&lt;&gt;"",COUNTIF(الزبائن!$A$6:$A$505,B27)=0),(COUNTIFS('أرقام التواصل'!$A$6:$A$505,"proposed_name",'أرقام التواصل'!$B$6:$B$505,A27,'أرقام التواصل'!$I$6:$I$505,"TRUE")+COUNTIFS('أرقام التواصل'!$A$6:$A$505,"proposed_name",'أرقام التواصل'!$B$6:$B$505,A27,'أرقام التواصل'!$C$6:$C$505,1))=0,AND(U27="TRUE",V27="")),"REVIEW","READY")))</f>
        <v/>
      </c>
      <c r="AC27" s="27" t="str">
        <f>IF(AB27="","",IF(AB27="READY","",IF(AB27="SKIP","Skipped by candidate_import_action",TRIM(IF(A27="","missing proposed_name_key; ","")&amp;IF(AND(A27&lt;&gt;"",COUNTIF($A$6:$A$505,A27)&gt;1),"duplicate proposed_name_key; ","")&amp;IF(C27="","missing candidate_import_action; ","")&amp;IF(D27="","missing move_reason; ","")&amp;IF(H27="","missing branch_id; ","")&amp;IF(K27="","missing first_name; ","")&amp;IF(L27="","missing last_name; ","")&amp;IF(S27="","missing status; ","")&amp;IF(AND(B27&lt;&gt;"",COUNTIF(الزبائن!$A$6:$A$505,B27)=0),"source key not found; ","")&amp;IF((COUNTIFS('أرقام التواصل'!$A$6:$A$505,"proposed_name",'أرقام التواصل'!$B$6:$B$505,A27,'أرقام التواصل'!$I$6:$I$505,"TRUE")+COUNTIFS('أرقام التواصل'!$A$6:$A$505,"proposed_name",'أرقام التواصل'!$B$6:$B$505,A27,'أرقام التواصل'!$C$6:$C$505,1))=0,"missing primary contact in أرقام التواصل; ","")&amp;IF(AND(U27="TRUE",V27=""),"duplicate_type required when duplicate_flag TRUE; ","")))))</f>
        <v/>
      </c>
    </row>
    <row r="28" spans="1:29">
      <c r="A28" s="36"/>
      <c r="B28" s="24"/>
      <c r="C28" s="25"/>
      <c r="D28" s="25"/>
      <c r="E28" s="25"/>
      <c r="F28" s="24"/>
      <c r="G28" s="25"/>
      <c r="H28" s="25"/>
      <c r="I28" s="25"/>
      <c r="J28" s="25"/>
      <c r="K28" s="25"/>
      <c r="L28" s="25"/>
      <c r="M28" s="25"/>
      <c r="N28" s="25" t="str">
        <f t="shared" si="0"/>
        <v/>
      </c>
      <c r="O28" s="25"/>
      <c r="P28" s="25"/>
      <c r="Q28" s="25"/>
      <c r="R28" s="25"/>
      <c r="S28" s="25"/>
      <c r="T28" s="25"/>
      <c r="U28" s="25"/>
      <c r="V28" s="25"/>
      <c r="W28" s="24"/>
      <c r="X28" s="24"/>
      <c r="Y28" s="25"/>
      <c r="Z28" s="25" t="str">
        <f>IF(B28="","",IFERROR(INDEX(الزبائن!$AZ$6:$AZ$505,MATCH(B28,الزبائن!$A$6:$A$505,0)),"source key not found"))</f>
        <v/>
      </c>
      <c r="AA28" s="25" t="str">
        <f>IF(B28="","",IFERROR(INDEX(الزبائن!$BA$6:$BA$505,MATCH(B28,الزبائن!$A$6:$A$505,0)),"source key not found"))</f>
        <v/>
      </c>
      <c r="AB28" s="25" t="str">
        <f>IF(AND(A28="",C28="",D28="",H28="",K28="",L28=""),"",IF(C28="skip","SKIP",IF(OR(A28="",C28="",D28="",H28="",K28="",L28="",S28="",COUNTIF($A$6:$A$505,A28)&gt;1,AND(B28&lt;&gt;"",COUNTIF(الزبائن!$A$6:$A$505,B28)=0),(COUNTIFS('أرقام التواصل'!$A$6:$A$505,"proposed_name",'أرقام التواصل'!$B$6:$B$505,A28,'أرقام التواصل'!$I$6:$I$505,"TRUE")+COUNTIFS('أرقام التواصل'!$A$6:$A$505,"proposed_name",'أرقام التواصل'!$B$6:$B$505,A28,'أرقام التواصل'!$C$6:$C$505,1))=0,AND(U28="TRUE",V28="")),"REVIEW","READY")))</f>
        <v/>
      </c>
      <c r="AC28" s="27" t="str">
        <f>IF(AB28="","",IF(AB28="READY","",IF(AB28="SKIP","Skipped by candidate_import_action",TRIM(IF(A28="","missing proposed_name_key; ","")&amp;IF(AND(A28&lt;&gt;"",COUNTIF($A$6:$A$505,A28)&gt;1),"duplicate proposed_name_key; ","")&amp;IF(C28="","missing candidate_import_action; ","")&amp;IF(D28="","missing move_reason; ","")&amp;IF(H28="","missing branch_id; ","")&amp;IF(K28="","missing first_name; ","")&amp;IF(L28="","missing last_name; ","")&amp;IF(S28="","missing status; ","")&amp;IF(AND(B28&lt;&gt;"",COUNTIF(الزبائن!$A$6:$A$505,B28)=0),"source key not found; ","")&amp;IF((COUNTIFS('أرقام التواصل'!$A$6:$A$505,"proposed_name",'أرقام التواصل'!$B$6:$B$505,A28,'أرقام التواصل'!$I$6:$I$505,"TRUE")+COUNTIFS('أرقام التواصل'!$A$6:$A$505,"proposed_name",'أرقام التواصل'!$B$6:$B$505,A28,'أرقام التواصل'!$C$6:$C$505,1))=0,"missing primary contact in أرقام التواصل; ","")&amp;IF(AND(U28="TRUE",V28=""),"duplicate_type required when duplicate_flag TRUE; ","")))))</f>
        <v/>
      </c>
    </row>
    <row r="29" spans="1:29">
      <c r="A29" s="36"/>
      <c r="B29" s="24"/>
      <c r="C29" s="25"/>
      <c r="D29" s="25"/>
      <c r="E29" s="25"/>
      <c r="F29" s="24"/>
      <c r="G29" s="25"/>
      <c r="H29" s="25"/>
      <c r="I29" s="25"/>
      <c r="J29" s="25"/>
      <c r="K29" s="25"/>
      <c r="L29" s="25"/>
      <c r="M29" s="25"/>
      <c r="N29" s="25" t="str">
        <f t="shared" si="0"/>
        <v/>
      </c>
      <c r="O29" s="25"/>
      <c r="P29" s="25"/>
      <c r="Q29" s="25"/>
      <c r="R29" s="25"/>
      <c r="S29" s="25"/>
      <c r="T29" s="25"/>
      <c r="U29" s="25"/>
      <c r="V29" s="25"/>
      <c r="W29" s="24"/>
      <c r="X29" s="24"/>
      <c r="Y29" s="25"/>
      <c r="Z29" s="25" t="str">
        <f>IF(B29="","",IFERROR(INDEX(الزبائن!$AZ$6:$AZ$505,MATCH(B29,الزبائن!$A$6:$A$505,0)),"source key not found"))</f>
        <v/>
      </c>
      <c r="AA29" s="25" t="str">
        <f>IF(B29="","",IFERROR(INDEX(الزبائن!$BA$6:$BA$505,MATCH(B29,الزبائن!$A$6:$A$505,0)),"source key not found"))</f>
        <v/>
      </c>
      <c r="AB29" s="25" t="str">
        <f>IF(AND(A29="",C29="",D29="",H29="",K29="",L29=""),"",IF(C29="skip","SKIP",IF(OR(A29="",C29="",D29="",H29="",K29="",L29="",S29="",COUNTIF($A$6:$A$505,A29)&gt;1,AND(B29&lt;&gt;"",COUNTIF(الزبائن!$A$6:$A$505,B29)=0),(COUNTIFS('أرقام التواصل'!$A$6:$A$505,"proposed_name",'أرقام التواصل'!$B$6:$B$505,A29,'أرقام التواصل'!$I$6:$I$505,"TRUE")+COUNTIFS('أرقام التواصل'!$A$6:$A$505,"proposed_name",'أرقام التواصل'!$B$6:$B$505,A29,'أرقام التواصل'!$C$6:$C$505,1))=0,AND(U29="TRUE",V29="")),"REVIEW","READY")))</f>
        <v/>
      </c>
      <c r="AC29" s="27" t="str">
        <f>IF(AB29="","",IF(AB29="READY","",IF(AB29="SKIP","Skipped by candidate_import_action",TRIM(IF(A29="","missing proposed_name_key; ","")&amp;IF(AND(A29&lt;&gt;"",COUNTIF($A$6:$A$505,A29)&gt;1),"duplicate proposed_name_key; ","")&amp;IF(C29="","missing candidate_import_action; ","")&amp;IF(D29="","missing move_reason; ","")&amp;IF(H29="","missing branch_id; ","")&amp;IF(K29="","missing first_name; ","")&amp;IF(L29="","missing last_name; ","")&amp;IF(S29="","missing status; ","")&amp;IF(AND(B29&lt;&gt;"",COUNTIF(الزبائن!$A$6:$A$505,B29)=0),"source key not found; ","")&amp;IF((COUNTIFS('أرقام التواصل'!$A$6:$A$505,"proposed_name",'أرقام التواصل'!$B$6:$B$505,A29,'أرقام التواصل'!$I$6:$I$505,"TRUE")+COUNTIFS('أرقام التواصل'!$A$6:$A$505,"proposed_name",'أرقام التواصل'!$B$6:$B$505,A29,'أرقام التواصل'!$C$6:$C$505,1))=0,"missing primary contact in أرقام التواصل; ","")&amp;IF(AND(U29="TRUE",V29=""),"duplicate_type required when duplicate_flag TRUE; ","")))))</f>
        <v/>
      </c>
    </row>
    <row r="30" spans="1:29">
      <c r="A30" s="36"/>
      <c r="B30" s="24"/>
      <c r="C30" s="25"/>
      <c r="D30" s="25"/>
      <c r="E30" s="25"/>
      <c r="F30" s="24"/>
      <c r="G30" s="25"/>
      <c r="H30" s="25"/>
      <c r="I30" s="25"/>
      <c r="J30" s="25"/>
      <c r="K30" s="25"/>
      <c r="L30" s="25"/>
      <c r="M30" s="25"/>
      <c r="N30" s="25" t="str">
        <f t="shared" si="0"/>
        <v/>
      </c>
      <c r="O30" s="25"/>
      <c r="P30" s="25"/>
      <c r="Q30" s="25"/>
      <c r="R30" s="25"/>
      <c r="S30" s="25"/>
      <c r="T30" s="25"/>
      <c r="U30" s="25"/>
      <c r="V30" s="25"/>
      <c r="W30" s="24"/>
      <c r="X30" s="24"/>
      <c r="Y30" s="25"/>
      <c r="Z30" s="25" t="str">
        <f>IF(B30="","",IFERROR(INDEX(الزبائن!$AZ$6:$AZ$505,MATCH(B30,الزبائن!$A$6:$A$505,0)),"source key not found"))</f>
        <v/>
      </c>
      <c r="AA30" s="25" t="str">
        <f>IF(B30="","",IFERROR(INDEX(الزبائن!$BA$6:$BA$505,MATCH(B30,الزبائن!$A$6:$A$505,0)),"source key not found"))</f>
        <v/>
      </c>
      <c r="AB30" s="25" t="str">
        <f>IF(AND(A30="",C30="",D30="",H30="",K30="",L30=""),"",IF(C30="skip","SKIP",IF(OR(A30="",C30="",D30="",H30="",K30="",L30="",S30="",COUNTIF($A$6:$A$505,A30)&gt;1,AND(B30&lt;&gt;"",COUNTIF(الزبائن!$A$6:$A$505,B30)=0),(COUNTIFS('أرقام التواصل'!$A$6:$A$505,"proposed_name",'أرقام التواصل'!$B$6:$B$505,A30,'أرقام التواصل'!$I$6:$I$505,"TRUE")+COUNTIFS('أرقام التواصل'!$A$6:$A$505,"proposed_name",'أرقام التواصل'!$B$6:$B$505,A30,'أرقام التواصل'!$C$6:$C$505,1))=0,AND(U30="TRUE",V30="")),"REVIEW","READY")))</f>
        <v/>
      </c>
      <c r="AC30" s="27" t="str">
        <f>IF(AB30="","",IF(AB30="READY","",IF(AB30="SKIP","Skipped by candidate_import_action",TRIM(IF(A30="","missing proposed_name_key; ","")&amp;IF(AND(A30&lt;&gt;"",COUNTIF($A$6:$A$505,A30)&gt;1),"duplicate proposed_name_key; ","")&amp;IF(C30="","missing candidate_import_action; ","")&amp;IF(D30="","missing move_reason; ","")&amp;IF(H30="","missing branch_id; ","")&amp;IF(K30="","missing first_name; ","")&amp;IF(L30="","missing last_name; ","")&amp;IF(S30="","missing status; ","")&amp;IF(AND(B30&lt;&gt;"",COUNTIF(الزبائن!$A$6:$A$505,B30)=0),"source key not found; ","")&amp;IF((COUNTIFS('أرقام التواصل'!$A$6:$A$505,"proposed_name",'أرقام التواصل'!$B$6:$B$505,A30,'أرقام التواصل'!$I$6:$I$505,"TRUE")+COUNTIFS('أرقام التواصل'!$A$6:$A$505,"proposed_name",'أرقام التواصل'!$B$6:$B$505,A30,'أرقام التواصل'!$C$6:$C$505,1))=0,"missing primary contact in أرقام التواصل; ","")&amp;IF(AND(U30="TRUE",V30=""),"duplicate_type required when duplicate_flag TRUE; ","")))))</f>
        <v/>
      </c>
    </row>
    <row r="31" spans="1:29">
      <c r="A31" s="36"/>
      <c r="B31" s="24"/>
      <c r="C31" s="25"/>
      <c r="D31" s="25"/>
      <c r="E31" s="25"/>
      <c r="F31" s="24"/>
      <c r="G31" s="25"/>
      <c r="H31" s="25"/>
      <c r="I31" s="25"/>
      <c r="J31" s="25"/>
      <c r="K31" s="25"/>
      <c r="L31" s="25"/>
      <c r="M31" s="25"/>
      <c r="N31" s="25" t="str">
        <f t="shared" si="0"/>
        <v/>
      </c>
      <c r="O31" s="25"/>
      <c r="P31" s="25"/>
      <c r="Q31" s="25"/>
      <c r="R31" s="25"/>
      <c r="S31" s="25"/>
      <c r="T31" s="25"/>
      <c r="U31" s="25"/>
      <c r="V31" s="25"/>
      <c r="W31" s="24"/>
      <c r="X31" s="24"/>
      <c r="Y31" s="25"/>
      <c r="Z31" s="25" t="str">
        <f>IF(B31="","",IFERROR(INDEX(الزبائن!$AZ$6:$AZ$505,MATCH(B31,الزبائن!$A$6:$A$505,0)),"source key not found"))</f>
        <v/>
      </c>
      <c r="AA31" s="25" t="str">
        <f>IF(B31="","",IFERROR(INDEX(الزبائن!$BA$6:$BA$505,MATCH(B31,الزبائن!$A$6:$A$505,0)),"source key not found"))</f>
        <v/>
      </c>
      <c r="AB31" s="25" t="str">
        <f>IF(AND(A31="",C31="",D31="",H31="",K31="",L31=""),"",IF(C31="skip","SKIP",IF(OR(A31="",C31="",D31="",H31="",K31="",L31="",S31="",COUNTIF($A$6:$A$505,A31)&gt;1,AND(B31&lt;&gt;"",COUNTIF(الزبائن!$A$6:$A$505,B31)=0),(COUNTIFS('أرقام التواصل'!$A$6:$A$505,"proposed_name",'أرقام التواصل'!$B$6:$B$505,A31,'أرقام التواصل'!$I$6:$I$505,"TRUE")+COUNTIFS('أرقام التواصل'!$A$6:$A$505,"proposed_name",'أرقام التواصل'!$B$6:$B$505,A31,'أرقام التواصل'!$C$6:$C$505,1))=0,AND(U31="TRUE",V31="")),"REVIEW","READY")))</f>
        <v/>
      </c>
      <c r="AC31" s="27" t="str">
        <f>IF(AB31="","",IF(AB31="READY","",IF(AB31="SKIP","Skipped by candidate_import_action",TRIM(IF(A31="","missing proposed_name_key; ","")&amp;IF(AND(A31&lt;&gt;"",COUNTIF($A$6:$A$505,A31)&gt;1),"duplicate proposed_name_key; ","")&amp;IF(C31="","missing candidate_import_action; ","")&amp;IF(D31="","missing move_reason; ","")&amp;IF(H31="","missing branch_id; ","")&amp;IF(K31="","missing first_name; ","")&amp;IF(L31="","missing last_name; ","")&amp;IF(S31="","missing status; ","")&amp;IF(AND(B31&lt;&gt;"",COUNTIF(الزبائن!$A$6:$A$505,B31)=0),"source key not found; ","")&amp;IF((COUNTIFS('أرقام التواصل'!$A$6:$A$505,"proposed_name",'أرقام التواصل'!$B$6:$B$505,A31,'أرقام التواصل'!$I$6:$I$505,"TRUE")+COUNTIFS('أرقام التواصل'!$A$6:$A$505,"proposed_name",'أرقام التواصل'!$B$6:$B$505,A31,'أرقام التواصل'!$C$6:$C$505,1))=0,"missing primary contact in أرقام التواصل; ","")&amp;IF(AND(U31="TRUE",V31=""),"duplicate_type required when duplicate_flag TRUE; ","")))))</f>
        <v/>
      </c>
    </row>
    <row r="32" spans="1:29">
      <c r="A32" s="36"/>
      <c r="B32" s="24"/>
      <c r="C32" s="25"/>
      <c r="D32" s="25"/>
      <c r="E32" s="25"/>
      <c r="F32" s="24"/>
      <c r="G32" s="25"/>
      <c r="H32" s="25"/>
      <c r="I32" s="25"/>
      <c r="J32" s="25"/>
      <c r="K32" s="25"/>
      <c r="L32" s="25"/>
      <c r="M32" s="25"/>
      <c r="N32" s="25" t="str">
        <f t="shared" si="0"/>
        <v/>
      </c>
      <c r="O32" s="25"/>
      <c r="P32" s="25"/>
      <c r="Q32" s="25"/>
      <c r="R32" s="25"/>
      <c r="S32" s="25"/>
      <c r="T32" s="25"/>
      <c r="U32" s="25"/>
      <c r="V32" s="25"/>
      <c r="W32" s="24"/>
      <c r="X32" s="24"/>
      <c r="Y32" s="25"/>
      <c r="Z32" s="25" t="str">
        <f>IF(B32="","",IFERROR(INDEX(الزبائن!$AZ$6:$AZ$505,MATCH(B32,الزبائن!$A$6:$A$505,0)),"source key not found"))</f>
        <v/>
      </c>
      <c r="AA32" s="25" t="str">
        <f>IF(B32="","",IFERROR(INDEX(الزبائن!$BA$6:$BA$505,MATCH(B32,الزبائن!$A$6:$A$505,0)),"source key not found"))</f>
        <v/>
      </c>
      <c r="AB32" s="25" t="str">
        <f>IF(AND(A32="",C32="",D32="",H32="",K32="",L32=""),"",IF(C32="skip","SKIP",IF(OR(A32="",C32="",D32="",H32="",K32="",L32="",S32="",COUNTIF($A$6:$A$505,A32)&gt;1,AND(B32&lt;&gt;"",COUNTIF(الزبائن!$A$6:$A$505,B32)=0),(COUNTIFS('أرقام التواصل'!$A$6:$A$505,"proposed_name",'أرقام التواصل'!$B$6:$B$505,A32,'أرقام التواصل'!$I$6:$I$505,"TRUE")+COUNTIFS('أرقام التواصل'!$A$6:$A$505,"proposed_name",'أرقام التواصل'!$B$6:$B$505,A32,'أرقام التواصل'!$C$6:$C$505,1))=0,AND(U32="TRUE",V32="")),"REVIEW","READY")))</f>
        <v/>
      </c>
      <c r="AC32" s="27" t="str">
        <f>IF(AB32="","",IF(AB32="READY","",IF(AB32="SKIP","Skipped by candidate_import_action",TRIM(IF(A32="","missing proposed_name_key; ","")&amp;IF(AND(A32&lt;&gt;"",COUNTIF($A$6:$A$505,A32)&gt;1),"duplicate proposed_name_key; ","")&amp;IF(C32="","missing candidate_import_action; ","")&amp;IF(D32="","missing move_reason; ","")&amp;IF(H32="","missing branch_id; ","")&amp;IF(K32="","missing first_name; ","")&amp;IF(L32="","missing last_name; ","")&amp;IF(S32="","missing status; ","")&amp;IF(AND(B32&lt;&gt;"",COUNTIF(الزبائن!$A$6:$A$505,B32)=0),"source key not found; ","")&amp;IF((COUNTIFS('أرقام التواصل'!$A$6:$A$505,"proposed_name",'أرقام التواصل'!$B$6:$B$505,A32,'أرقام التواصل'!$I$6:$I$505,"TRUE")+COUNTIFS('أرقام التواصل'!$A$6:$A$505,"proposed_name",'أرقام التواصل'!$B$6:$B$505,A32,'أرقام التواصل'!$C$6:$C$505,1))=0,"missing primary contact in أرقام التواصل; ","")&amp;IF(AND(U32="TRUE",V32=""),"duplicate_type required when duplicate_flag TRUE; ","")))))</f>
        <v/>
      </c>
    </row>
    <row r="33" spans="1:29">
      <c r="A33" s="36"/>
      <c r="B33" s="24"/>
      <c r="C33" s="25"/>
      <c r="D33" s="25"/>
      <c r="E33" s="25"/>
      <c r="F33" s="24"/>
      <c r="G33" s="25"/>
      <c r="H33" s="25"/>
      <c r="I33" s="25"/>
      <c r="J33" s="25"/>
      <c r="K33" s="25"/>
      <c r="L33" s="25"/>
      <c r="M33" s="25"/>
      <c r="N33" s="25" t="str">
        <f t="shared" si="0"/>
        <v/>
      </c>
      <c r="O33" s="25"/>
      <c r="P33" s="25"/>
      <c r="Q33" s="25"/>
      <c r="R33" s="25"/>
      <c r="S33" s="25"/>
      <c r="T33" s="25"/>
      <c r="U33" s="25"/>
      <c r="V33" s="25"/>
      <c r="W33" s="24"/>
      <c r="X33" s="24"/>
      <c r="Y33" s="25"/>
      <c r="Z33" s="25" t="str">
        <f>IF(B33="","",IFERROR(INDEX(الزبائن!$AZ$6:$AZ$505,MATCH(B33,الزبائن!$A$6:$A$505,0)),"source key not found"))</f>
        <v/>
      </c>
      <c r="AA33" s="25" t="str">
        <f>IF(B33="","",IFERROR(INDEX(الزبائن!$BA$6:$BA$505,MATCH(B33,الزبائن!$A$6:$A$505,0)),"source key not found"))</f>
        <v/>
      </c>
      <c r="AB33" s="25" t="str">
        <f>IF(AND(A33="",C33="",D33="",H33="",K33="",L33=""),"",IF(C33="skip","SKIP",IF(OR(A33="",C33="",D33="",H33="",K33="",L33="",S33="",COUNTIF($A$6:$A$505,A33)&gt;1,AND(B33&lt;&gt;"",COUNTIF(الزبائن!$A$6:$A$505,B33)=0),(COUNTIFS('أرقام التواصل'!$A$6:$A$505,"proposed_name",'أرقام التواصل'!$B$6:$B$505,A33,'أرقام التواصل'!$I$6:$I$505,"TRUE")+COUNTIFS('أرقام التواصل'!$A$6:$A$505,"proposed_name",'أرقام التواصل'!$B$6:$B$505,A33,'أرقام التواصل'!$C$6:$C$505,1))=0,AND(U33="TRUE",V33="")),"REVIEW","READY")))</f>
        <v/>
      </c>
      <c r="AC33" s="27" t="str">
        <f>IF(AB33="","",IF(AB33="READY","",IF(AB33="SKIP","Skipped by candidate_import_action",TRIM(IF(A33="","missing proposed_name_key; ","")&amp;IF(AND(A33&lt;&gt;"",COUNTIF($A$6:$A$505,A33)&gt;1),"duplicate proposed_name_key; ","")&amp;IF(C33="","missing candidate_import_action; ","")&amp;IF(D33="","missing move_reason; ","")&amp;IF(H33="","missing branch_id; ","")&amp;IF(K33="","missing first_name; ","")&amp;IF(L33="","missing last_name; ","")&amp;IF(S33="","missing status; ","")&amp;IF(AND(B33&lt;&gt;"",COUNTIF(الزبائن!$A$6:$A$505,B33)=0),"source key not found; ","")&amp;IF((COUNTIFS('أرقام التواصل'!$A$6:$A$505,"proposed_name",'أرقام التواصل'!$B$6:$B$505,A33,'أرقام التواصل'!$I$6:$I$505,"TRUE")+COUNTIFS('أرقام التواصل'!$A$6:$A$505,"proposed_name",'أرقام التواصل'!$B$6:$B$505,A33,'أرقام التواصل'!$C$6:$C$505,1))=0,"missing primary contact in أرقام التواصل; ","")&amp;IF(AND(U33="TRUE",V33=""),"duplicate_type required when duplicate_flag TRUE; ","")))))</f>
        <v/>
      </c>
    </row>
    <row r="34" spans="1:29">
      <c r="A34" s="36"/>
      <c r="B34" s="24"/>
      <c r="C34" s="25"/>
      <c r="D34" s="25"/>
      <c r="E34" s="25"/>
      <c r="F34" s="24"/>
      <c r="G34" s="25"/>
      <c r="H34" s="25"/>
      <c r="I34" s="25"/>
      <c r="J34" s="25"/>
      <c r="K34" s="25"/>
      <c r="L34" s="25"/>
      <c r="M34" s="25"/>
      <c r="N34" s="25" t="str">
        <f t="shared" si="0"/>
        <v/>
      </c>
      <c r="O34" s="25"/>
      <c r="P34" s="25"/>
      <c r="Q34" s="25"/>
      <c r="R34" s="25"/>
      <c r="S34" s="25"/>
      <c r="T34" s="25"/>
      <c r="U34" s="25"/>
      <c r="V34" s="25"/>
      <c r="W34" s="24"/>
      <c r="X34" s="24"/>
      <c r="Y34" s="25"/>
      <c r="Z34" s="25" t="str">
        <f>IF(B34="","",IFERROR(INDEX(الزبائن!$AZ$6:$AZ$505,MATCH(B34,الزبائن!$A$6:$A$505,0)),"source key not found"))</f>
        <v/>
      </c>
      <c r="AA34" s="25" t="str">
        <f>IF(B34="","",IFERROR(INDEX(الزبائن!$BA$6:$BA$505,MATCH(B34,الزبائن!$A$6:$A$505,0)),"source key not found"))</f>
        <v/>
      </c>
      <c r="AB34" s="25" t="str">
        <f>IF(AND(A34="",C34="",D34="",H34="",K34="",L34=""),"",IF(C34="skip","SKIP",IF(OR(A34="",C34="",D34="",H34="",K34="",L34="",S34="",COUNTIF($A$6:$A$505,A34)&gt;1,AND(B34&lt;&gt;"",COUNTIF(الزبائن!$A$6:$A$505,B34)=0),(COUNTIFS('أرقام التواصل'!$A$6:$A$505,"proposed_name",'أرقام التواصل'!$B$6:$B$505,A34,'أرقام التواصل'!$I$6:$I$505,"TRUE")+COUNTIFS('أرقام التواصل'!$A$6:$A$505,"proposed_name",'أرقام التواصل'!$B$6:$B$505,A34,'أرقام التواصل'!$C$6:$C$505,1))=0,AND(U34="TRUE",V34="")),"REVIEW","READY")))</f>
        <v/>
      </c>
      <c r="AC34" s="27" t="str">
        <f>IF(AB34="","",IF(AB34="READY","",IF(AB34="SKIP","Skipped by candidate_import_action",TRIM(IF(A34="","missing proposed_name_key; ","")&amp;IF(AND(A34&lt;&gt;"",COUNTIF($A$6:$A$505,A34)&gt;1),"duplicate proposed_name_key; ","")&amp;IF(C34="","missing candidate_import_action; ","")&amp;IF(D34="","missing move_reason; ","")&amp;IF(H34="","missing branch_id; ","")&amp;IF(K34="","missing first_name; ","")&amp;IF(L34="","missing last_name; ","")&amp;IF(S34="","missing status; ","")&amp;IF(AND(B34&lt;&gt;"",COUNTIF(الزبائن!$A$6:$A$505,B34)=0),"source key not found; ","")&amp;IF((COUNTIFS('أرقام التواصل'!$A$6:$A$505,"proposed_name",'أرقام التواصل'!$B$6:$B$505,A34,'أرقام التواصل'!$I$6:$I$505,"TRUE")+COUNTIFS('أرقام التواصل'!$A$6:$A$505,"proposed_name",'أرقام التواصل'!$B$6:$B$505,A34,'أرقام التواصل'!$C$6:$C$505,1))=0,"missing primary contact in أرقام التواصل; ","")&amp;IF(AND(U34="TRUE",V34=""),"duplicate_type required when duplicate_flag TRUE; ","")))))</f>
        <v/>
      </c>
    </row>
    <row r="35" spans="1:29">
      <c r="A35" s="36"/>
      <c r="B35" s="24"/>
      <c r="C35" s="25"/>
      <c r="D35" s="25"/>
      <c r="E35" s="25"/>
      <c r="F35" s="24"/>
      <c r="G35" s="25"/>
      <c r="H35" s="25"/>
      <c r="I35" s="25"/>
      <c r="J35" s="25"/>
      <c r="K35" s="25"/>
      <c r="L35" s="25"/>
      <c r="M35" s="25"/>
      <c r="N35" s="25" t="str">
        <f t="shared" si="0"/>
        <v/>
      </c>
      <c r="O35" s="25"/>
      <c r="P35" s="25"/>
      <c r="Q35" s="25"/>
      <c r="R35" s="25"/>
      <c r="S35" s="25"/>
      <c r="T35" s="25"/>
      <c r="U35" s="25"/>
      <c r="V35" s="25"/>
      <c r="W35" s="24"/>
      <c r="X35" s="24"/>
      <c r="Y35" s="25"/>
      <c r="Z35" s="25" t="str">
        <f>IF(B35="","",IFERROR(INDEX(الزبائن!$AZ$6:$AZ$505,MATCH(B35,الزبائن!$A$6:$A$505,0)),"source key not found"))</f>
        <v/>
      </c>
      <c r="AA35" s="25" t="str">
        <f>IF(B35="","",IFERROR(INDEX(الزبائن!$BA$6:$BA$505,MATCH(B35,الزبائن!$A$6:$A$505,0)),"source key not found"))</f>
        <v/>
      </c>
      <c r="AB35" s="25" t="str">
        <f>IF(AND(A35="",C35="",D35="",H35="",K35="",L35=""),"",IF(C35="skip","SKIP",IF(OR(A35="",C35="",D35="",H35="",K35="",L35="",S35="",COUNTIF($A$6:$A$505,A35)&gt;1,AND(B35&lt;&gt;"",COUNTIF(الزبائن!$A$6:$A$505,B35)=0),(COUNTIFS('أرقام التواصل'!$A$6:$A$505,"proposed_name",'أرقام التواصل'!$B$6:$B$505,A35,'أرقام التواصل'!$I$6:$I$505,"TRUE")+COUNTIFS('أرقام التواصل'!$A$6:$A$505,"proposed_name",'أرقام التواصل'!$B$6:$B$505,A35,'أرقام التواصل'!$C$6:$C$505,1))=0,AND(U35="TRUE",V35="")),"REVIEW","READY")))</f>
        <v/>
      </c>
      <c r="AC35" s="27" t="str">
        <f>IF(AB35="","",IF(AB35="READY","",IF(AB35="SKIP","Skipped by candidate_import_action",TRIM(IF(A35="","missing proposed_name_key; ","")&amp;IF(AND(A35&lt;&gt;"",COUNTIF($A$6:$A$505,A35)&gt;1),"duplicate proposed_name_key; ","")&amp;IF(C35="","missing candidate_import_action; ","")&amp;IF(D35="","missing move_reason; ","")&amp;IF(H35="","missing branch_id; ","")&amp;IF(K35="","missing first_name; ","")&amp;IF(L35="","missing last_name; ","")&amp;IF(S35="","missing status; ","")&amp;IF(AND(B35&lt;&gt;"",COUNTIF(الزبائن!$A$6:$A$505,B35)=0),"source key not found; ","")&amp;IF((COUNTIFS('أرقام التواصل'!$A$6:$A$505,"proposed_name",'أرقام التواصل'!$B$6:$B$505,A35,'أرقام التواصل'!$I$6:$I$505,"TRUE")+COUNTIFS('أرقام التواصل'!$A$6:$A$505,"proposed_name",'أرقام التواصل'!$B$6:$B$505,A35,'أرقام التواصل'!$C$6:$C$505,1))=0,"missing primary contact in أرقام التواصل; ","")&amp;IF(AND(U35="TRUE",V35=""),"duplicate_type required when duplicate_flag TRUE; ","")))))</f>
        <v/>
      </c>
    </row>
    <row r="36" spans="1:29">
      <c r="A36" s="36"/>
      <c r="B36" s="24"/>
      <c r="C36" s="25"/>
      <c r="D36" s="25"/>
      <c r="E36" s="25"/>
      <c r="F36" s="24"/>
      <c r="G36" s="25"/>
      <c r="H36" s="25"/>
      <c r="I36" s="25"/>
      <c r="J36" s="25"/>
      <c r="K36" s="25"/>
      <c r="L36" s="25"/>
      <c r="M36" s="25"/>
      <c r="N36" s="25" t="str">
        <f t="shared" si="0"/>
        <v/>
      </c>
      <c r="O36" s="25"/>
      <c r="P36" s="25"/>
      <c r="Q36" s="25"/>
      <c r="R36" s="25"/>
      <c r="S36" s="25"/>
      <c r="T36" s="25"/>
      <c r="U36" s="25"/>
      <c r="V36" s="25"/>
      <c r="W36" s="24"/>
      <c r="X36" s="24"/>
      <c r="Y36" s="25"/>
      <c r="Z36" s="25" t="str">
        <f>IF(B36="","",IFERROR(INDEX(الزبائن!$AZ$6:$AZ$505,MATCH(B36,الزبائن!$A$6:$A$505,0)),"source key not found"))</f>
        <v/>
      </c>
      <c r="AA36" s="25" t="str">
        <f>IF(B36="","",IFERROR(INDEX(الزبائن!$BA$6:$BA$505,MATCH(B36,الزبائن!$A$6:$A$505,0)),"source key not found"))</f>
        <v/>
      </c>
      <c r="AB36" s="25" t="str">
        <f>IF(AND(A36="",C36="",D36="",H36="",K36="",L36=""),"",IF(C36="skip","SKIP",IF(OR(A36="",C36="",D36="",H36="",K36="",L36="",S36="",COUNTIF($A$6:$A$505,A36)&gt;1,AND(B36&lt;&gt;"",COUNTIF(الزبائن!$A$6:$A$505,B36)=0),(COUNTIFS('أرقام التواصل'!$A$6:$A$505,"proposed_name",'أرقام التواصل'!$B$6:$B$505,A36,'أرقام التواصل'!$I$6:$I$505,"TRUE")+COUNTIFS('أرقام التواصل'!$A$6:$A$505,"proposed_name",'أرقام التواصل'!$B$6:$B$505,A36,'أرقام التواصل'!$C$6:$C$505,1))=0,AND(U36="TRUE",V36="")),"REVIEW","READY")))</f>
        <v/>
      </c>
      <c r="AC36" s="27" t="str">
        <f>IF(AB36="","",IF(AB36="READY","",IF(AB36="SKIP","Skipped by candidate_import_action",TRIM(IF(A36="","missing proposed_name_key; ","")&amp;IF(AND(A36&lt;&gt;"",COUNTIF($A$6:$A$505,A36)&gt;1),"duplicate proposed_name_key; ","")&amp;IF(C36="","missing candidate_import_action; ","")&amp;IF(D36="","missing move_reason; ","")&amp;IF(H36="","missing branch_id; ","")&amp;IF(K36="","missing first_name; ","")&amp;IF(L36="","missing last_name; ","")&amp;IF(S36="","missing status; ","")&amp;IF(AND(B36&lt;&gt;"",COUNTIF(الزبائن!$A$6:$A$505,B36)=0),"source key not found; ","")&amp;IF((COUNTIFS('أرقام التواصل'!$A$6:$A$505,"proposed_name",'أرقام التواصل'!$B$6:$B$505,A36,'أرقام التواصل'!$I$6:$I$505,"TRUE")+COUNTIFS('أرقام التواصل'!$A$6:$A$505,"proposed_name",'أرقام التواصل'!$B$6:$B$505,A36,'أرقام التواصل'!$C$6:$C$505,1))=0,"missing primary contact in أرقام التواصل; ","")&amp;IF(AND(U36="TRUE",V36=""),"duplicate_type required when duplicate_flag TRUE; ","")))))</f>
        <v/>
      </c>
    </row>
    <row r="37" spans="1:29">
      <c r="A37" s="36"/>
      <c r="B37" s="24"/>
      <c r="C37" s="25"/>
      <c r="D37" s="25"/>
      <c r="E37" s="25"/>
      <c r="F37" s="24"/>
      <c r="G37" s="25"/>
      <c r="H37" s="25"/>
      <c r="I37" s="25"/>
      <c r="J37" s="25"/>
      <c r="K37" s="25"/>
      <c r="L37" s="25"/>
      <c r="M37" s="25"/>
      <c r="N37" s="25" t="str">
        <f t="shared" si="0"/>
        <v/>
      </c>
      <c r="O37" s="25"/>
      <c r="P37" s="25"/>
      <c r="Q37" s="25"/>
      <c r="R37" s="25"/>
      <c r="S37" s="25"/>
      <c r="T37" s="25"/>
      <c r="U37" s="25"/>
      <c r="V37" s="25"/>
      <c r="W37" s="24"/>
      <c r="X37" s="24"/>
      <c r="Y37" s="25"/>
      <c r="Z37" s="25" t="str">
        <f>IF(B37="","",IFERROR(INDEX(الزبائن!$AZ$6:$AZ$505,MATCH(B37,الزبائن!$A$6:$A$505,0)),"source key not found"))</f>
        <v/>
      </c>
      <c r="AA37" s="25" t="str">
        <f>IF(B37="","",IFERROR(INDEX(الزبائن!$BA$6:$BA$505,MATCH(B37,الزبائن!$A$6:$A$505,0)),"source key not found"))</f>
        <v/>
      </c>
      <c r="AB37" s="25" t="str">
        <f>IF(AND(A37="",C37="",D37="",H37="",K37="",L37=""),"",IF(C37="skip","SKIP",IF(OR(A37="",C37="",D37="",H37="",K37="",L37="",S37="",COUNTIF($A$6:$A$505,A37)&gt;1,AND(B37&lt;&gt;"",COUNTIF(الزبائن!$A$6:$A$505,B37)=0),(COUNTIFS('أرقام التواصل'!$A$6:$A$505,"proposed_name",'أرقام التواصل'!$B$6:$B$505,A37,'أرقام التواصل'!$I$6:$I$505,"TRUE")+COUNTIFS('أرقام التواصل'!$A$6:$A$505,"proposed_name",'أرقام التواصل'!$B$6:$B$505,A37,'أرقام التواصل'!$C$6:$C$505,1))=0,AND(U37="TRUE",V37="")),"REVIEW","READY")))</f>
        <v/>
      </c>
      <c r="AC37" s="27" t="str">
        <f>IF(AB37="","",IF(AB37="READY","",IF(AB37="SKIP","Skipped by candidate_import_action",TRIM(IF(A37="","missing proposed_name_key; ","")&amp;IF(AND(A37&lt;&gt;"",COUNTIF($A$6:$A$505,A37)&gt;1),"duplicate proposed_name_key; ","")&amp;IF(C37="","missing candidate_import_action; ","")&amp;IF(D37="","missing move_reason; ","")&amp;IF(H37="","missing branch_id; ","")&amp;IF(K37="","missing first_name; ","")&amp;IF(L37="","missing last_name; ","")&amp;IF(S37="","missing status; ","")&amp;IF(AND(B37&lt;&gt;"",COUNTIF(الزبائن!$A$6:$A$505,B37)=0),"source key not found; ","")&amp;IF((COUNTIFS('أرقام التواصل'!$A$6:$A$505,"proposed_name",'أرقام التواصل'!$B$6:$B$505,A37,'أرقام التواصل'!$I$6:$I$505,"TRUE")+COUNTIFS('أرقام التواصل'!$A$6:$A$505,"proposed_name",'أرقام التواصل'!$B$6:$B$505,A37,'أرقام التواصل'!$C$6:$C$505,1))=0,"missing primary contact in أرقام التواصل; ","")&amp;IF(AND(U37="TRUE",V37=""),"duplicate_type required when duplicate_flag TRUE; ","")))))</f>
        <v/>
      </c>
    </row>
    <row r="38" spans="1:29">
      <c r="A38" s="36"/>
      <c r="B38" s="24"/>
      <c r="C38" s="25"/>
      <c r="D38" s="25"/>
      <c r="E38" s="25"/>
      <c r="F38" s="24"/>
      <c r="G38" s="25"/>
      <c r="H38" s="25"/>
      <c r="I38" s="25"/>
      <c r="J38" s="25"/>
      <c r="K38" s="25"/>
      <c r="L38" s="25"/>
      <c r="M38" s="25"/>
      <c r="N38" s="25" t="str">
        <f t="shared" si="0"/>
        <v/>
      </c>
      <c r="O38" s="25"/>
      <c r="P38" s="25"/>
      <c r="Q38" s="25"/>
      <c r="R38" s="25"/>
      <c r="S38" s="25"/>
      <c r="T38" s="25"/>
      <c r="U38" s="25"/>
      <c r="V38" s="25"/>
      <c r="W38" s="24"/>
      <c r="X38" s="24"/>
      <c r="Y38" s="25"/>
      <c r="Z38" s="25" t="str">
        <f>IF(B38="","",IFERROR(INDEX(الزبائن!$AZ$6:$AZ$505,MATCH(B38,الزبائن!$A$6:$A$505,0)),"source key not found"))</f>
        <v/>
      </c>
      <c r="AA38" s="25" t="str">
        <f>IF(B38="","",IFERROR(INDEX(الزبائن!$BA$6:$BA$505,MATCH(B38,الزبائن!$A$6:$A$505,0)),"source key not found"))</f>
        <v/>
      </c>
      <c r="AB38" s="25" t="str">
        <f>IF(AND(A38="",C38="",D38="",H38="",K38="",L38=""),"",IF(C38="skip","SKIP",IF(OR(A38="",C38="",D38="",H38="",K38="",L38="",S38="",COUNTIF($A$6:$A$505,A38)&gt;1,AND(B38&lt;&gt;"",COUNTIF(الزبائن!$A$6:$A$505,B38)=0),(COUNTIFS('أرقام التواصل'!$A$6:$A$505,"proposed_name",'أرقام التواصل'!$B$6:$B$505,A38,'أرقام التواصل'!$I$6:$I$505,"TRUE")+COUNTIFS('أرقام التواصل'!$A$6:$A$505,"proposed_name",'أرقام التواصل'!$B$6:$B$505,A38,'أرقام التواصل'!$C$6:$C$505,1))=0,AND(U38="TRUE",V38="")),"REVIEW","READY")))</f>
        <v/>
      </c>
      <c r="AC38" s="27" t="str">
        <f>IF(AB38="","",IF(AB38="READY","",IF(AB38="SKIP","Skipped by candidate_import_action",TRIM(IF(A38="","missing proposed_name_key; ","")&amp;IF(AND(A38&lt;&gt;"",COUNTIF($A$6:$A$505,A38)&gt;1),"duplicate proposed_name_key; ","")&amp;IF(C38="","missing candidate_import_action; ","")&amp;IF(D38="","missing move_reason; ","")&amp;IF(H38="","missing branch_id; ","")&amp;IF(K38="","missing first_name; ","")&amp;IF(L38="","missing last_name; ","")&amp;IF(S38="","missing status; ","")&amp;IF(AND(B38&lt;&gt;"",COUNTIF(الزبائن!$A$6:$A$505,B38)=0),"source key not found; ","")&amp;IF((COUNTIFS('أرقام التواصل'!$A$6:$A$505,"proposed_name",'أرقام التواصل'!$B$6:$B$505,A38,'أرقام التواصل'!$I$6:$I$505,"TRUE")+COUNTIFS('أرقام التواصل'!$A$6:$A$505,"proposed_name",'أرقام التواصل'!$B$6:$B$505,A38,'أرقام التواصل'!$C$6:$C$505,1))=0,"missing primary contact in أرقام التواصل; ","")&amp;IF(AND(U38="TRUE",V38=""),"duplicate_type required when duplicate_flag TRUE; ","")))))</f>
        <v/>
      </c>
    </row>
    <row r="39" spans="1:29">
      <c r="A39" s="36"/>
      <c r="B39" s="24"/>
      <c r="C39" s="25"/>
      <c r="D39" s="25"/>
      <c r="E39" s="25"/>
      <c r="F39" s="24"/>
      <c r="G39" s="25"/>
      <c r="H39" s="25"/>
      <c r="I39" s="25"/>
      <c r="J39" s="25"/>
      <c r="K39" s="25"/>
      <c r="L39" s="25"/>
      <c r="M39" s="25"/>
      <c r="N39" s="25" t="str">
        <f t="shared" si="0"/>
        <v/>
      </c>
      <c r="O39" s="25"/>
      <c r="P39" s="25"/>
      <c r="Q39" s="25"/>
      <c r="R39" s="25"/>
      <c r="S39" s="25"/>
      <c r="T39" s="25"/>
      <c r="U39" s="25"/>
      <c r="V39" s="25"/>
      <c r="W39" s="24"/>
      <c r="X39" s="24"/>
      <c r="Y39" s="25"/>
      <c r="Z39" s="25" t="str">
        <f>IF(B39="","",IFERROR(INDEX(الزبائن!$AZ$6:$AZ$505,MATCH(B39,الزبائن!$A$6:$A$505,0)),"source key not found"))</f>
        <v/>
      </c>
      <c r="AA39" s="25" t="str">
        <f>IF(B39="","",IFERROR(INDEX(الزبائن!$BA$6:$BA$505,MATCH(B39,الزبائن!$A$6:$A$505,0)),"source key not found"))</f>
        <v/>
      </c>
      <c r="AB39" s="25" t="str">
        <f>IF(AND(A39="",C39="",D39="",H39="",K39="",L39=""),"",IF(C39="skip","SKIP",IF(OR(A39="",C39="",D39="",H39="",K39="",L39="",S39="",COUNTIF($A$6:$A$505,A39)&gt;1,AND(B39&lt;&gt;"",COUNTIF(الزبائن!$A$6:$A$505,B39)=0),(COUNTIFS('أرقام التواصل'!$A$6:$A$505,"proposed_name",'أرقام التواصل'!$B$6:$B$505,A39,'أرقام التواصل'!$I$6:$I$505,"TRUE")+COUNTIFS('أرقام التواصل'!$A$6:$A$505,"proposed_name",'أرقام التواصل'!$B$6:$B$505,A39,'أرقام التواصل'!$C$6:$C$505,1))=0,AND(U39="TRUE",V39="")),"REVIEW","READY")))</f>
        <v/>
      </c>
      <c r="AC39" s="27" t="str">
        <f>IF(AB39="","",IF(AB39="READY","",IF(AB39="SKIP","Skipped by candidate_import_action",TRIM(IF(A39="","missing proposed_name_key; ","")&amp;IF(AND(A39&lt;&gt;"",COUNTIF($A$6:$A$505,A39)&gt;1),"duplicate proposed_name_key; ","")&amp;IF(C39="","missing candidate_import_action; ","")&amp;IF(D39="","missing move_reason; ","")&amp;IF(H39="","missing branch_id; ","")&amp;IF(K39="","missing first_name; ","")&amp;IF(L39="","missing last_name; ","")&amp;IF(S39="","missing status; ","")&amp;IF(AND(B39&lt;&gt;"",COUNTIF(الزبائن!$A$6:$A$505,B39)=0),"source key not found; ","")&amp;IF((COUNTIFS('أرقام التواصل'!$A$6:$A$505,"proposed_name",'أرقام التواصل'!$B$6:$B$505,A39,'أرقام التواصل'!$I$6:$I$505,"TRUE")+COUNTIFS('أرقام التواصل'!$A$6:$A$505,"proposed_name",'أرقام التواصل'!$B$6:$B$505,A39,'أرقام التواصل'!$C$6:$C$505,1))=0,"missing primary contact in أرقام التواصل; ","")&amp;IF(AND(U39="TRUE",V39=""),"duplicate_type required when duplicate_flag TRUE; ","")))))</f>
        <v/>
      </c>
    </row>
    <row r="40" spans="1:29">
      <c r="A40" s="36"/>
      <c r="B40" s="24"/>
      <c r="C40" s="25"/>
      <c r="D40" s="25"/>
      <c r="E40" s="25"/>
      <c r="F40" s="24"/>
      <c r="G40" s="25"/>
      <c r="H40" s="25"/>
      <c r="I40" s="25"/>
      <c r="J40" s="25"/>
      <c r="K40" s="25"/>
      <c r="L40" s="25"/>
      <c r="M40" s="25"/>
      <c r="N40" s="25" t="str">
        <f t="shared" si="0"/>
        <v/>
      </c>
      <c r="O40" s="25"/>
      <c r="P40" s="25"/>
      <c r="Q40" s="25"/>
      <c r="R40" s="25"/>
      <c r="S40" s="25"/>
      <c r="T40" s="25"/>
      <c r="U40" s="25"/>
      <c r="V40" s="25"/>
      <c r="W40" s="24"/>
      <c r="X40" s="24"/>
      <c r="Y40" s="25"/>
      <c r="Z40" s="25" t="str">
        <f>IF(B40="","",IFERROR(INDEX(الزبائن!$AZ$6:$AZ$505,MATCH(B40,الزبائن!$A$6:$A$505,0)),"source key not found"))</f>
        <v/>
      </c>
      <c r="AA40" s="25" t="str">
        <f>IF(B40="","",IFERROR(INDEX(الزبائن!$BA$6:$BA$505,MATCH(B40,الزبائن!$A$6:$A$505,0)),"source key not found"))</f>
        <v/>
      </c>
      <c r="AB40" s="25" t="str">
        <f>IF(AND(A40="",C40="",D40="",H40="",K40="",L40=""),"",IF(C40="skip","SKIP",IF(OR(A40="",C40="",D40="",H40="",K40="",L40="",S40="",COUNTIF($A$6:$A$505,A40)&gt;1,AND(B40&lt;&gt;"",COUNTIF(الزبائن!$A$6:$A$505,B40)=0),(COUNTIFS('أرقام التواصل'!$A$6:$A$505,"proposed_name",'أرقام التواصل'!$B$6:$B$505,A40,'أرقام التواصل'!$I$6:$I$505,"TRUE")+COUNTIFS('أرقام التواصل'!$A$6:$A$505,"proposed_name",'أرقام التواصل'!$B$6:$B$505,A40,'أرقام التواصل'!$C$6:$C$505,1))=0,AND(U40="TRUE",V40="")),"REVIEW","READY")))</f>
        <v/>
      </c>
      <c r="AC40" s="27" t="str">
        <f>IF(AB40="","",IF(AB40="READY","",IF(AB40="SKIP","Skipped by candidate_import_action",TRIM(IF(A40="","missing proposed_name_key; ","")&amp;IF(AND(A40&lt;&gt;"",COUNTIF($A$6:$A$505,A40)&gt;1),"duplicate proposed_name_key; ","")&amp;IF(C40="","missing candidate_import_action; ","")&amp;IF(D40="","missing move_reason; ","")&amp;IF(H40="","missing branch_id; ","")&amp;IF(K40="","missing first_name; ","")&amp;IF(L40="","missing last_name; ","")&amp;IF(S40="","missing status; ","")&amp;IF(AND(B40&lt;&gt;"",COUNTIF(الزبائن!$A$6:$A$505,B40)=0),"source key not found; ","")&amp;IF((COUNTIFS('أرقام التواصل'!$A$6:$A$505,"proposed_name",'أرقام التواصل'!$B$6:$B$505,A40,'أرقام التواصل'!$I$6:$I$505,"TRUE")+COUNTIFS('أرقام التواصل'!$A$6:$A$505,"proposed_name",'أرقام التواصل'!$B$6:$B$505,A40,'أرقام التواصل'!$C$6:$C$505,1))=0,"missing primary contact in أرقام التواصل; ","")&amp;IF(AND(U40="TRUE",V40=""),"duplicate_type required when duplicate_flag TRUE; ","")))))</f>
        <v/>
      </c>
    </row>
    <row r="41" spans="1:29">
      <c r="A41" s="36"/>
      <c r="B41" s="24"/>
      <c r="C41" s="25"/>
      <c r="D41" s="25"/>
      <c r="E41" s="25"/>
      <c r="F41" s="24"/>
      <c r="G41" s="25"/>
      <c r="H41" s="25"/>
      <c r="I41" s="25"/>
      <c r="J41" s="25"/>
      <c r="K41" s="25"/>
      <c r="L41" s="25"/>
      <c r="M41" s="25"/>
      <c r="N41" s="25" t="str">
        <f t="shared" si="0"/>
        <v/>
      </c>
      <c r="O41" s="25"/>
      <c r="P41" s="25"/>
      <c r="Q41" s="25"/>
      <c r="R41" s="25"/>
      <c r="S41" s="25"/>
      <c r="T41" s="25"/>
      <c r="U41" s="25"/>
      <c r="V41" s="25"/>
      <c r="W41" s="24"/>
      <c r="X41" s="24"/>
      <c r="Y41" s="25"/>
      <c r="Z41" s="25" t="str">
        <f>IF(B41="","",IFERROR(INDEX(الزبائن!$AZ$6:$AZ$505,MATCH(B41,الزبائن!$A$6:$A$505,0)),"source key not found"))</f>
        <v/>
      </c>
      <c r="AA41" s="25" t="str">
        <f>IF(B41="","",IFERROR(INDEX(الزبائن!$BA$6:$BA$505,MATCH(B41,الزبائن!$A$6:$A$505,0)),"source key not found"))</f>
        <v/>
      </c>
      <c r="AB41" s="25" t="str">
        <f>IF(AND(A41="",C41="",D41="",H41="",K41="",L41=""),"",IF(C41="skip","SKIP",IF(OR(A41="",C41="",D41="",H41="",K41="",L41="",S41="",COUNTIF($A$6:$A$505,A41)&gt;1,AND(B41&lt;&gt;"",COUNTIF(الزبائن!$A$6:$A$505,B41)=0),(COUNTIFS('أرقام التواصل'!$A$6:$A$505,"proposed_name",'أرقام التواصل'!$B$6:$B$505,A41,'أرقام التواصل'!$I$6:$I$505,"TRUE")+COUNTIFS('أرقام التواصل'!$A$6:$A$505,"proposed_name",'أرقام التواصل'!$B$6:$B$505,A41,'أرقام التواصل'!$C$6:$C$505,1))=0,AND(U41="TRUE",V41="")),"REVIEW","READY")))</f>
        <v/>
      </c>
      <c r="AC41" s="27" t="str">
        <f>IF(AB41="","",IF(AB41="READY","",IF(AB41="SKIP","Skipped by candidate_import_action",TRIM(IF(A41="","missing proposed_name_key; ","")&amp;IF(AND(A41&lt;&gt;"",COUNTIF($A$6:$A$505,A41)&gt;1),"duplicate proposed_name_key; ","")&amp;IF(C41="","missing candidate_import_action; ","")&amp;IF(D41="","missing move_reason; ","")&amp;IF(H41="","missing branch_id; ","")&amp;IF(K41="","missing first_name; ","")&amp;IF(L41="","missing last_name; ","")&amp;IF(S41="","missing status; ","")&amp;IF(AND(B41&lt;&gt;"",COUNTIF(الزبائن!$A$6:$A$505,B41)=0),"source key not found; ","")&amp;IF((COUNTIFS('أرقام التواصل'!$A$6:$A$505,"proposed_name",'أرقام التواصل'!$B$6:$B$505,A41,'أرقام التواصل'!$I$6:$I$505,"TRUE")+COUNTIFS('أرقام التواصل'!$A$6:$A$505,"proposed_name",'أرقام التواصل'!$B$6:$B$505,A41,'أرقام التواصل'!$C$6:$C$505,1))=0,"missing primary contact in أرقام التواصل; ","")&amp;IF(AND(U41="TRUE",V41=""),"duplicate_type required when duplicate_flag TRUE; ","")))))</f>
        <v/>
      </c>
    </row>
    <row r="42" spans="1:29">
      <c r="A42" s="36"/>
      <c r="B42" s="24"/>
      <c r="C42" s="25"/>
      <c r="D42" s="25"/>
      <c r="E42" s="25"/>
      <c r="F42" s="24"/>
      <c r="G42" s="25"/>
      <c r="H42" s="25"/>
      <c r="I42" s="25"/>
      <c r="J42" s="25"/>
      <c r="K42" s="25"/>
      <c r="L42" s="25"/>
      <c r="M42" s="25"/>
      <c r="N42" s="25" t="str">
        <f t="shared" si="0"/>
        <v/>
      </c>
      <c r="O42" s="25"/>
      <c r="P42" s="25"/>
      <c r="Q42" s="25"/>
      <c r="R42" s="25"/>
      <c r="S42" s="25"/>
      <c r="T42" s="25"/>
      <c r="U42" s="25"/>
      <c r="V42" s="25"/>
      <c r="W42" s="24"/>
      <c r="X42" s="24"/>
      <c r="Y42" s="25"/>
      <c r="Z42" s="25" t="str">
        <f>IF(B42="","",IFERROR(INDEX(الزبائن!$AZ$6:$AZ$505,MATCH(B42,الزبائن!$A$6:$A$505,0)),"source key not found"))</f>
        <v/>
      </c>
      <c r="AA42" s="25" t="str">
        <f>IF(B42="","",IFERROR(INDEX(الزبائن!$BA$6:$BA$505,MATCH(B42,الزبائن!$A$6:$A$505,0)),"source key not found"))</f>
        <v/>
      </c>
      <c r="AB42" s="25" t="str">
        <f>IF(AND(A42="",C42="",D42="",H42="",K42="",L42=""),"",IF(C42="skip","SKIP",IF(OR(A42="",C42="",D42="",H42="",K42="",L42="",S42="",COUNTIF($A$6:$A$505,A42)&gt;1,AND(B42&lt;&gt;"",COUNTIF(الزبائن!$A$6:$A$505,B42)=0),(COUNTIFS('أرقام التواصل'!$A$6:$A$505,"proposed_name",'أرقام التواصل'!$B$6:$B$505,A42,'أرقام التواصل'!$I$6:$I$505,"TRUE")+COUNTIFS('أرقام التواصل'!$A$6:$A$505,"proposed_name",'أرقام التواصل'!$B$6:$B$505,A42,'أرقام التواصل'!$C$6:$C$505,1))=0,AND(U42="TRUE",V42="")),"REVIEW","READY")))</f>
        <v/>
      </c>
      <c r="AC42" s="27" t="str">
        <f>IF(AB42="","",IF(AB42="READY","",IF(AB42="SKIP","Skipped by candidate_import_action",TRIM(IF(A42="","missing proposed_name_key; ","")&amp;IF(AND(A42&lt;&gt;"",COUNTIF($A$6:$A$505,A42)&gt;1),"duplicate proposed_name_key; ","")&amp;IF(C42="","missing candidate_import_action; ","")&amp;IF(D42="","missing move_reason; ","")&amp;IF(H42="","missing branch_id; ","")&amp;IF(K42="","missing first_name; ","")&amp;IF(L42="","missing last_name; ","")&amp;IF(S42="","missing status; ","")&amp;IF(AND(B42&lt;&gt;"",COUNTIF(الزبائن!$A$6:$A$505,B42)=0),"source key not found; ","")&amp;IF((COUNTIFS('أرقام التواصل'!$A$6:$A$505,"proposed_name",'أرقام التواصل'!$B$6:$B$505,A42,'أرقام التواصل'!$I$6:$I$505,"TRUE")+COUNTIFS('أرقام التواصل'!$A$6:$A$505,"proposed_name",'أرقام التواصل'!$B$6:$B$505,A42,'أرقام التواصل'!$C$6:$C$505,1))=0,"missing primary contact in أرقام التواصل; ","")&amp;IF(AND(U42="TRUE",V42=""),"duplicate_type required when duplicate_flag TRUE; ","")))))</f>
        <v/>
      </c>
    </row>
    <row r="43" spans="1:29">
      <c r="A43" s="36"/>
      <c r="B43" s="24"/>
      <c r="C43" s="25"/>
      <c r="D43" s="25"/>
      <c r="E43" s="25"/>
      <c r="F43" s="24"/>
      <c r="G43" s="25"/>
      <c r="H43" s="25"/>
      <c r="I43" s="25"/>
      <c r="J43" s="25"/>
      <c r="K43" s="25"/>
      <c r="L43" s="25"/>
      <c r="M43" s="25"/>
      <c r="N43" s="25" t="str">
        <f t="shared" si="0"/>
        <v/>
      </c>
      <c r="O43" s="25"/>
      <c r="P43" s="25"/>
      <c r="Q43" s="25"/>
      <c r="R43" s="25"/>
      <c r="S43" s="25"/>
      <c r="T43" s="25"/>
      <c r="U43" s="25"/>
      <c r="V43" s="25"/>
      <c r="W43" s="24"/>
      <c r="X43" s="24"/>
      <c r="Y43" s="25"/>
      <c r="Z43" s="25" t="str">
        <f>IF(B43="","",IFERROR(INDEX(الزبائن!$AZ$6:$AZ$505,MATCH(B43,الزبائن!$A$6:$A$505,0)),"source key not found"))</f>
        <v/>
      </c>
      <c r="AA43" s="25" t="str">
        <f>IF(B43="","",IFERROR(INDEX(الزبائن!$BA$6:$BA$505,MATCH(B43,الزبائن!$A$6:$A$505,0)),"source key not found"))</f>
        <v/>
      </c>
      <c r="AB43" s="25" t="str">
        <f>IF(AND(A43="",C43="",D43="",H43="",K43="",L43=""),"",IF(C43="skip","SKIP",IF(OR(A43="",C43="",D43="",H43="",K43="",L43="",S43="",COUNTIF($A$6:$A$505,A43)&gt;1,AND(B43&lt;&gt;"",COUNTIF(الزبائن!$A$6:$A$505,B43)=0),(COUNTIFS('أرقام التواصل'!$A$6:$A$505,"proposed_name",'أرقام التواصل'!$B$6:$B$505,A43,'أرقام التواصل'!$I$6:$I$505,"TRUE")+COUNTIFS('أرقام التواصل'!$A$6:$A$505,"proposed_name",'أرقام التواصل'!$B$6:$B$505,A43,'أرقام التواصل'!$C$6:$C$505,1))=0,AND(U43="TRUE",V43="")),"REVIEW","READY")))</f>
        <v/>
      </c>
      <c r="AC43" s="27" t="str">
        <f>IF(AB43="","",IF(AB43="READY","",IF(AB43="SKIP","Skipped by candidate_import_action",TRIM(IF(A43="","missing proposed_name_key; ","")&amp;IF(AND(A43&lt;&gt;"",COUNTIF($A$6:$A$505,A43)&gt;1),"duplicate proposed_name_key; ","")&amp;IF(C43="","missing candidate_import_action; ","")&amp;IF(D43="","missing move_reason; ","")&amp;IF(H43="","missing branch_id; ","")&amp;IF(K43="","missing first_name; ","")&amp;IF(L43="","missing last_name; ","")&amp;IF(S43="","missing status; ","")&amp;IF(AND(B43&lt;&gt;"",COUNTIF(الزبائن!$A$6:$A$505,B43)=0),"source key not found; ","")&amp;IF((COUNTIFS('أرقام التواصل'!$A$6:$A$505,"proposed_name",'أرقام التواصل'!$B$6:$B$505,A43,'أرقام التواصل'!$I$6:$I$505,"TRUE")+COUNTIFS('أرقام التواصل'!$A$6:$A$505,"proposed_name",'أرقام التواصل'!$B$6:$B$505,A43,'أرقام التواصل'!$C$6:$C$505,1))=0,"missing primary contact in أرقام التواصل; ","")&amp;IF(AND(U43="TRUE",V43=""),"duplicate_type required when duplicate_flag TRUE; ","")))))</f>
        <v/>
      </c>
    </row>
    <row r="44" spans="1:29">
      <c r="A44" s="36"/>
      <c r="B44" s="24"/>
      <c r="C44" s="25"/>
      <c r="D44" s="25"/>
      <c r="E44" s="25"/>
      <c r="F44" s="24"/>
      <c r="G44" s="25"/>
      <c r="H44" s="25"/>
      <c r="I44" s="25"/>
      <c r="J44" s="25"/>
      <c r="K44" s="25"/>
      <c r="L44" s="25"/>
      <c r="M44" s="25"/>
      <c r="N44" s="25" t="str">
        <f t="shared" si="0"/>
        <v/>
      </c>
      <c r="O44" s="25"/>
      <c r="P44" s="25"/>
      <c r="Q44" s="25"/>
      <c r="R44" s="25"/>
      <c r="S44" s="25"/>
      <c r="T44" s="25"/>
      <c r="U44" s="25"/>
      <c r="V44" s="25"/>
      <c r="W44" s="24"/>
      <c r="X44" s="24"/>
      <c r="Y44" s="25"/>
      <c r="Z44" s="25" t="str">
        <f>IF(B44="","",IFERROR(INDEX(الزبائن!$AZ$6:$AZ$505,MATCH(B44,الزبائن!$A$6:$A$505,0)),"source key not found"))</f>
        <v/>
      </c>
      <c r="AA44" s="25" t="str">
        <f>IF(B44="","",IFERROR(INDEX(الزبائن!$BA$6:$BA$505,MATCH(B44,الزبائن!$A$6:$A$505,0)),"source key not found"))</f>
        <v/>
      </c>
      <c r="AB44" s="25" t="str">
        <f>IF(AND(A44="",C44="",D44="",H44="",K44="",L44=""),"",IF(C44="skip","SKIP",IF(OR(A44="",C44="",D44="",H44="",K44="",L44="",S44="",COUNTIF($A$6:$A$505,A44)&gt;1,AND(B44&lt;&gt;"",COUNTIF(الزبائن!$A$6:$A$505,B44)=0),(COUNTIFS('أرقام التواصل'!$A$6:$A$505,"proposed_name",'أرقام التواصل'!$B$6:$B$505,A44,'أرقام التواصل'!$I$6:$I$505,"TRUE")+COUNTIFS('أرقام التواصل'!$A$6:$A$505,"proposed_name",'أرقام التواصل'!$B$6:$B$505,A44,'أرقام التواصل'!$C$6:$C$505,1))=0,AND(U44="TRUE",V44="")),"REVIEW","READY")))</f>
        <v/>
      </c>
      <c r="AC44" s="27" t="str">
        <f>IF(AB44="","",IF(AB44="READY","",IF(AB44="SKIP","Skipped by candidate_import_action",TRIM(IF(A44="","missing proposed_name_key; ","")&amp;IF(AND(A44&lt;&gt;"",COUNTIF($A$6:$A$505,A44)&gt;1),"duplicate proposed_name_key; ","")&amp;IF(C44="","missing candidate_import_action; ","")&amp;IF(D44="","missing move_reason; ","")&amp;IF(H44="","missing branch_id; ","")&amp;IF(K44="","missing first_name; ","")&amp;IF(L44="","missing last_name; ","")&amp;IF(S44="","missing status; ","")&amp;IF(AND(B44&lt;&gt;"",COUNTIF(الزبائن!$A$6:$A$505,B44)=0),"source key not found; ","")&amp;IF((COUNTIFS('أرقام التواصل'!$A$6:$A$505,"proposed_name",'أرقام التواصل'!$B$6:$B$505,A44,'أرقام التواصل'!$I$6:$I$505,"TRUE")+COUNTIFS('أرقام التواصل'!$A$6:$A$505,"proposed_name",'أرقام التواصل'!$B$6:$B$505,A44,'أرقام التواصل'!$C$6:$C$505,1))=0,"missing primary contact in أرقام التواصل; ","")&amp;IF(AND(U44="TRUE",V44=""),"duplicate_type required when duplicate_flag TRUE; ","")))))</f>
        <v/>
      </c>
    </row>
    <row r="45" spans="1:29">
      <c r="A45" s="36"/>
      <c r="B45" s="24"/>
      <c r="C45" s="25"/>
      <c r="D45" s="25"/>
      <c r="E45" s="25"/>
      <c r="F45" s="24"/>
      <c r="G45" s="25"/>
      <c r="H45" s="25"/>
      <c r="I45" s="25"/>
      <c r="J45" s="25"/>
      <c r="K45" s="25"/>
      <c r="L45" s="25"/>
      <c r="M45" s="25"/>
      <c r="N45" s="25" t="str">
        <f t="shared" si="0"/>
        <v/>
      </c>
      <c r="O45" s="25"/>
      <c r="P45" s="25"/>
      <c r="Q45" s="25"/>
      <c r="R45" s="25"/>
      <c r="S45" s="25"/>
      <c r="T45" s="25"/>
      <c r="U45" s="25"/>
      <c r="V45" s="25"/>
      <c r="W45" s="24"/>
      <c r="X45" s="24"/>
      <c r="Y45" s="25"/>
      <c r="Z45" s="25" t="str">
        <f>IF(B45="","",IFERROR(INDEX(الزبائن!$AZ$6:$AZ$505,MATCH(B45,الزبائن!$A$6:$A$505,0)),"source key not found"))</f>
        <v/>
      </c>
      <c r="AA45" s="25" t="str">
        <f>IF(B45="","",IFERROR(INDEX(الزبائن!$BA$6:$BA$505,MATCH(B45,الزبائن!$A$6:$A$505,0)),"source key not found"))</f>
        <v/>
      </c>
      <c r="AB45" s="25" t="str">
        <f>IF(AND(A45="",C45="",D45="",H45="",K45="",L45=""),"",IF(C45="skip","SKIP",IF(OR(A45="",C45="",D45="",H45="",K45="",L45="",S45="",COUNTIF($A$6:$A$505,A45)&gt;1,AND(B45&lt;&gt;"",COUNTIF(الزبائن!$A$6:$A$505,B45)=0),(COUNTIFS('أرقام التواصل'!$A$6:$A$505,"proposed_name",'أرقام التواصل'!$B$6:$B$505,A45,'أرقام التواصل'!$I$6:$I$505,"TRUE")+COUNTIFS('أرقام التواصل'!$A$6:$A$505,"proposed_name",'أرقام التواصل'!$B$6:$B$505,A45,'أرقام التواصل'!$C$6:$C$505,1))=0,AND(U45="TRUE",V45="")),"REVIEW","READY")))</f>
        <v/>
      </c>
      <c r="AC45" s="27" t="str">
        <f>IF(AB45="","",IF(AB45="READY","",IF(AB45="SKIP","Skipped by candidate_import_action",TRIM(IF(A45="","missing proposed_name_key; ","")&amp;IF(AND(A45&lt;&gt;"",COUNTIF($A$6:$A$505,A45)&gt;1),"duplicate proposed_name_key; ","")&amp;IF(C45="","missing candidate_import_action; ","")&amp;IF(D45="","missing move_reason; ","")&amp;IF(H45="","missing branch_id; ","")&amp;IF(K45="","missing first_name; ","")&amp;IF(L45="","missing last_name; ","")&amp;IF(S45="","missing status; ","")&amp;IF(AND(B45&lt;&gt;"",COUNTIF(الزبائن!$A$6:$A$505,B45)=0),"source key not found; ","")&amp;IF((COUNTIFS('أرقام التواصل'!$A$6:$A$505,"proposed_name",'أرقام التواصل'!$B$6:$B$505,A45,'أرقام التواصل'!$I$6:$I$505,"TRUE")+COUNTIFS('أرقام التواصل'!$A$6:$A$505,"proposed_name",'أرقام التواصل'!$B$6:$B$505,A45,'أرقام التواصل'!$C$6:$C$505,1))=0,"missing primary contact in أرقام التواصل; ","")&amp;IF(AND(U45="TRUE",V45=""),"duplicate_type required when duplicate_flag TRUE; ","")))))</f>
        <v/>
      </c>
    </row>
    <row r="46" spans="1:29">
      <c r="A46" s="36"/>
      <c r="B46" s="24"/>
      <c r="C46" s="25"/>
      <c r="D46" s="25"/>
      <c r="E46" s="25"/>
      <c r="F46" s="24"/>
      <c r="G46" s="25"/>
      <c r="H46" s="25"/>
      <c r="I46" s="25"/>
      <c r="J46" s="25"/>
      <c r="K46" s="25"/>
      <c r="L46" s="25"/>
      <c r="M46" s="25"/>
      <c r="N46" s="25" t="str">
        <f t="shared" si="0"/>
        <v/>
      </c>
      <c r="O46" s="25"/>
      <c r="P46" s="25"/>
      <c r="Q46" s="25"/>
      <c r="R46" s="25"/>
      <c r="S46" s="25"/>
      <c r="T46" s="25"/>
      <c r="U46" s="25"/>
      <c r="V46" s="25"/>
      <c r="W46" s="24"/>
      <c r="X46" s="24"/>
      <c r="Y46" s="25"/>
      <c r="Z46" s="25" t="str">
        <f>IF(B46="","",IFERROR(INDEX(الزبائن!$AZ$6:$AZ$505,MATCH(B46,الزبائن!$A$6:$A$505,0)),"source key not found"))</f>
        <v/>
      </c>
      <c r="AA46" s="25" t="str">
        <f>IF(B46="","",IFERROR(INDEX(الزبائن!$BA$6:$BA$505,MATCH(B46,الزبائن!$A$6:$A$505,0)),"source key not found"))</f>
        <v/>
      </c>
      <c r="AB46" s="25" t="str">
        <f>IF(AND(A46="",C46="",D46="",H46="",K46="",L46=""),"",IF(C46="skip","SKIP",IF(OR(A46="",C46="",D46="",H46="",K46="",L46="",S46="",COUNTIF($A$6:$A$505,A46)&gt;1,AND(B46&lt;&gt;"",COUNTIF(الزبائن!$A$6:$A$505,B46)=0),(COUNTIFS('أرقام التواصل'!$A$6:$A$505,"proposed_name",'أرقام التواصل'!$B$6:$B$505,A46,'أرقام التواصل'!$I$6:$I$505,"TRUE")+COUNTIFS('أرقام التواصل'!$A$6:$A$505,"proposed_name",'أرقام التواصل'!$B$6:$B$505,A46,'أرقام التواصل'!$C$6:$C$505,1))=0,AND(U46="TRUE",V46="")),"REVIEW","READY")))</f>
        <v/>
      </c>
      <c r="AC46" s="27" t="str">
        <f>IF(AB46="","",IF(AB46="READY","",IF(AB46="SKIP","Skipped by candidate_import_action",TRIM(IF(A46="","missing proposed_name_key; ","")&amp;IF(AND(A46&lt;&gt;"",COUNTIF($A$6:$A$505,A46)&gt;1),"duplicate proposed_name_key; ","")&amp;IF(C46="","missing candidate_import_action; ","")&amp;IF(D46="","missing move_reason; ","")&amp;IF(H46="","missing branch_id; ","")&amp;IF(K46="","missing first_name; ","")&amp;IF(L46="","missing last_name; ","")&amp;IF(S46="","missing status; ","")&amp;IF(AND(B46&lt;&gt;"",COUNTIF(الزبائن!$A$6:$A$505,B46)=0),"source key not found; ","")&amp;IF((COUNTIFS('أرقام التواصل'!$A$6:$A$505,"proposed_name",'أرقام التواصل'!$B$6:$B$505,A46,'أرقام التواصل'!$I$6:$I$505,"TRUE")+COUNTIFS('أرقام التواصل'!$A$6:$A$505,"proposed_name",'أرقام التواصل'!$B$6:$B$505,A46,'أرقام التواصل'!$C$6:$C$505,1))=0,"missing primary contact in أرقام التواصل; ","")&amp;IF(AND(U46="TRUE",V46=""),"duplicate_type required when duplicate_flag TRUE; ","")))))</f>
        <v/>
      </c>
    </row>
    <row r="47" spans="1:29">
      <c r="A47" s="36"/>
      <c r="B47" s="24"/>
      <c r="C47" s="25"/>
      <c r="D47" s="25"/>
      <c r="E47" s="25"/>
      <c r="F47" s="24"/>
      <c r="G47" s="25"/>
      <c r="H47" s="25"/>
      <c r="I47" s="25"/>
      <c r="J47" s="25"/>
      <c r="K47" s="25"/>
      <c r="L47" s="25"/>
      <c r="M47" s="25"/>
      <c r="N47" s="25" t="str">
        <f t="shared" si="0"/>
        <v/>
      </c>
      <c r="O47" s="25"/>
      <c r="P47" s="25"/>
      <c r="Q47" s="25"/>
      <c r="R47" s="25"/>
      <c r="S47" s="25"/>
      <c r="T47" s="25"/>
      <c r="U47" s="25"/>
      <c r="V47" s="25"/>
      <c r="W47" s="24"/>
      <c r="X47" s="24"/>
      <c r="Y47" s="25"/>
      <c r="Z47" s="25" t="str">
        <f>IF(B47="","",IFERROR(INDEX(الزبائن!$AZ$6:$AZ$505,MATCH(B47,الزبائن!$A$6:$A$505,0)),"source key not found"))</f>
        <v/>
      </c>
      <c r="AA47" s="25" t="str">
        <f>IF(B47="","",IFERROR(INDEX(الزبائن!$BA$6:$BA$505,MATCH(B47,الزبائن!$A$6:$A$505,0)),"source key not found"))</f>
        <v/>
      </c>
      <c r="AB47" s="25" t="str">
        <f>IF(AND(A47="",C47="",D47="",H47="",K47="",L47=""),"",IF(C47="skip","SKIP",IF(OR(A47="",C47="",D47="",H47="",K47="",L47="",S47="",COUNTIF($A$6:$A$505,A47)&gt;1,AND(B47&lt;&gt;"",COUNTIF(الزبائن!$A$6:$A$505,B47)=0),(COUNTIFS('أرقام التواصل'!$A$6:$A$505,"proposed_name",'أرقام التواصل'!$B$6:$B$505,A47,'أرقام التواصل'!$I$6:$I$505,"TRUE")+COUNTIFS('أرقام التواصل'!$A$6:$A$505,"proposed_name",'أرقام التواصل'!$B$6:$B$505,A47,'أرقام التواصل'!$C$6:$C$505,1))=0,AND(U47="TRUE",V47="")),"REVIEW","READY")))</f>
        <v/>
      </c>
      <c r="AC47" s="27" t="str">
        <f>IF(AB47="","",IF(AB47="READY","",IF(AB47="SKIP","Skipped by candidate_import_action",TRIM(IF(A47="","missing proposed_name_key; ","")&amp;IF(AND(A47&lt;&gt;"",COUNTIF($A$6:$A$505,A47)&gt;1),"duplicate proposed_name_key; ","")&amp;IF(C47="","missing candidate_import_action; ","")&amp;IF(D47="","missing move_reason; ","")&amp;IF(H47="","missing branch_id; ","")&amp;IF(K47="","missing first_name; ","")&amp;IF(L47="","missing last_name; ","")&amp;IF(S47="","missing status; ","")&amp;IF(AND(B47&lt;&gt;"",COUNTIF(الزبائن!$A$6:$A$505,B47)=0),"source key not found; ","")&amp;IF((COUNTIFS('أرقام التواصل'!$A$6:$A$505,"proposed_name",'أرقام التواصل'!$B$6:$B$505,A47,'أرقام التواصل'!$I$6:$I$505,"TRUE")+COUNTIFS('أرقام التواصل'!$A$6:$A$505,"proposed_name",'أرقام التواصل'!$B$6:$B$505,A47,'أرقام التواصل'!$C$6:$C$505,1))=0,"missing primary contact in أرقام التواصل; ","")&amp;IF(AND(U47="TRUE",V47=""),"duplicate_type required when duplicate_flag TRUE; ","")))))</f>
        <v/>
      </c>
    </row>
    <row r="48" spans="1:29">
      <c r="A48" s="36"/>
      <c r="B48" s="24"/>
      <c r="C48" s="25"/>
      <c r="D48" s="25"/>
      <c r="E48" s="25"/>
      <c r="F48" s="24"/>
      <c r="G48" s="25"/>
      <c r="H48" s="25"/>
      <c r="I48" s="25"/>
      <c r="J48" s="25"/>
      <c r="K48" s="25"/>
      <c r="L48" s="25"/>
      <c r="M48" s="25"/>
      <c r="N48" s="25" t="str">
        <f t="shared" si="0"/>
        <v/>
      </c>
      <c r="O48" s="25"/>
      <c r="P48" s="25"/>
      <c r="Q48" s="25"/>
      <c r="R48" s="25"/>
      <c r="S48" s="25"/>
      <c r="T48" s="25"/>
      <c r="U48" s="25"/>
      <c r="V48" s="25"/>
      <c r="W48" s="24"/>
      <c r="X48" s="24"/>
      <c r="Y48" s="25"/>
      <c r="Z48" s="25" t="str">
        <f>IF(B48="","",IFERROR(INDEX(الزبائن!$AZ$6:$AZ$505,MATCH(B48,الزبائن!$A$6:$A$505,0)),"source key not found"))</f>
        <v/>
      </c>
      <c r="AA48" s="25" t="str">
        <f>IF(B48="","",IFERROR(INDEX(الزبائن!$BA$6:$BA$505,MATCH(B48,الزبائن!$A$6:$A$505,0)),"source key not found"))</f>
        <v/>
      </c>
      <c r="AB48" s="25" t="str">
        <f>IF(AND(A48="",C48="",D48="",H48="",K48="",L48=""),"",IF(C48="skip","SKIP",IF(OR(A48="",C48="",D48="",H48="",K48="",L48="",S48="",COUNTIF($A$6:$A$505,A48)&gt;1,AND(B48&lt;&gt;"",COUNTIF(الزبائن!$A$6:$A$505,B48)=0),(COUNTIFS('أرقام التواصل'!$A$6:$A$505,"proposed_name",'أرقام التواصل'!$B$6:$B$505,A48,'أرقام التواصل'!$I$6:$I$505,"TRUE")+COUNTIFS('أرقام التواصل'!$A$6:$A$505,"proposed_name",'أرقام التواصل'!$B$6:$B$505,A48,'أرقام التواصل'!$C$6:$C$505,1))=0,AND(U48="TRUE",V48="")),"REVIEW","READY")))</f>
        <v/>
      </c>
      <c r="AC48" s="27" t="str">
        <f>IF(AB48="","",IF(AB48="READY","",IF(AB48="SKIP","Skipped by candidate_import_action",TRIM(IF(A48="","missing proposed_name_key; ","")&amp;IF(AND(A48&lt;&gt;"",COUNTIF($A$6:$A$505,A48)&gt;1),"duplicate proposed_name_key; ","")&amp;IF(C48="","missing candidate_import_action; ","")&amp;IF(D48="","missing move_reason; ","")&amp;IF(H48="","missing branch_id; ","")&amp;IF(K48="","missing first_name; ","")&amp;IF(L48="","missing last_name; ","")&amp;IF(S48="","missing status; ","")&amp;IF(AND(B48&lt;&gt;"",COUNTIF(الزبائن!$A$6:$A$505,B48)=0),"source key not found; ","")&amp;IF((COUNTIFS('أرقام التواصل'!$A$6:$A$505,"proposed_name",'أرقام التواصل'!$B$6:$B$505,A48,'أرقام التواصل'!$I$6:$I$505,"TRUE")+COUNTIFS('أرقام التواصل'!$A$6:$A$505,"proposed_name",'أرقام التواصل'!$B$6:$B$505,A48,'أرقام التواصل'!$C$6:$C$505,1))=0,"missing primary contact in أرقام التواصل; ","")&amp;IF(AND(U48="TRUE",V48=""),"duplicate_type required when duplicate_flag TRUE; ","")))))</f>
        <v/>
      </c>
    </row>
    <row r="49" spans="1:29">
      <c r="A49" s="36"/>
      <c r="B49" s="24"/>
      <c r="C49" s="25"/>
      <c r="D49" s="25"/>
      <c r="E49" s="25"/>
      <c r="F49" s="24"/>
      <c r="G49" s="25"/>
      <c r="H49" s="25"/>
      <c r="I49" s="25"/>
      <c r="J49" s="25"/>
      <c r="K49" s="25"/>
      <c r="L49" s="25"/>
      <c r="M49" s="25"/>
      <c r="N49" s="25" t="str">
        <f t="shared" si="0"/>
        <v/>
      </c>
      <c r="O49" s="25"/>
      <c r="P49" s="25"/>
      <c r="Q49" s="25"/>
      <c r="R49" s="25"/>
      <c r="S49" s="25"/>
      <c r="T49" s="25"/>
      <c r="U49" s="25"/>
      <c r="V49" s="25"/>
      <c r="W49" s="24"/>
      <c r="X49" s="24"/>
      <c r="Y49" s="25"/>
      <c r="Z49" s="25" t="str">
        <f>IF(B49="","",IFERROR(INDEX(الزبائن!$AZ$6:$AZ$505,MATCH(B49,الزبائن!$A$6:$A$505,0)),"source key not found"))</f>
        <v/>
      </c>
      <c r="AA49" s="25" t="str">
        <f>IF(B49="","",IFERROR(INDEX(الزبائن!$BA$6:$BA$505,MATCH(B49,الزبائن!$A$6:$A$505,0)),"source key not found"))</f>
        <v/>
      </c>
      <c r="AB49" s="25" t="str">
        <f>IF(AND(A49="",C49="",D49="",H49="",K49="",L49=""),"",IF(C49="skip","SKIP",IF(OR(A49="",C49="",D49="",H49="",K49="",L49="",S49="",COUNTIF($A$6:$A$505,A49)&gt;1,AND(B49&lt;&gt;"",COUNTIF(الزبائن!$A$6:$A$505,B49)=0),(COUNTIFS('أرقام التواصل'!$A$6:$A$505,"proposed_name",'أرقام التواصل'!$B$6:$B$505,A49,'أرقام التواصل'!$I$6:$I$505,"TRUE")+COUNTIFS('أرقام التواصل'!$A$6:$A$505,"proposed_name",'أرقام التواصل'!$B$6:$B$505,A49,'أرقام التواصل'!$C$6:$C$505,1))=0,AND(U49="TRUE",V49="")),"REVIEW","READY")))</f>
        <v/>
      </c>
      <c r="AC49" s="27" t="str">
        <f>IF(AB49="","",IF(AB49="READY","",IF(AB49="SKIP","Skipped by candidate_import_action",TRIM(IF(A49="","missing proposed_name_key; ","")&amp;IF(AND(A49&lt;&gt;"",COUNTIF($A$6:$A$505,A49)&gt;1),"duplicate proposed_name_key; ","")&amp;IF(C49="","missing candidate_import_action; ","")&amp;IF(D49="","missing move_reason; ","")&amp;IF(H49="","missing branch_id; ","")&amp;IF(K49="","missing first_name; ","")&amp;IF(L49="","missing last_name; ","")&amp;IF(S49="","missing status; ","")&amp;IF(AND(B49&lt;&gt;"",COUNTIF(الزبائن!$A$6:$A$505,B49)=0),"source key not found; ","")&amp;IF((COUNTIFS('أرقام التواصل'!$A$6:$A$505,"proposed_name",'أرقام التواصل'!$B$6:$B$505,A49,'أرقام التواصل'!$I$6:$I$505,"TRUE")+COUNTIFS('أرقام التواصل'!$A$6:$A$505,"proposed_name",'أرقام التواصل'!$B$6:$B$505,A49,'أرقام التواصل'!$C$6:$C$505,1))=0,"missing primary contact in أرقام التواصل; ","")&amp;IF(AND(U49="TRUE",V49=""),"duplicate_type required when duplicate_flag TRUE; ","")))))</f>
        <v/>
      </c>
    </row>
    <row r="50" spans="1:29">
      <c r="A50" s="36"/>
      <c r="B50" s="24"/>
      <c r="C50" s="25"/>
      <c r="D50" s="25"/>
      <c r="E50" s="25"/>
      <c r="F50" s="24"/>
      <c r="G50" s="25"/>
      <c r="H50" s="25"/>
      <c r="I50" s="25"/>
      <c r="J50" s="25"/>
      <c r="K50" s="25"/>
      <c r="L50" s="25"/>
      <c r="M50" s="25"/>
      <c r="N50" s="25" t="str">
        <f t="shared" si="0"/>
        <v/>
      </c>
      <c r="O50" s="25"/>
      <c r="P50" s="25"/>
      <c r="Q50" s="25"/>
      <c r="R50" s="25"/>
      <c r="S50" s="25"/>
      <c r="T50" s="25"/>
      <c r="U50" s="25"/>
      <c r="V50" s="25"/>
      <c r="W50" s="24"/>
      <c r="X50" s="24"/>
      <c r="Y50" s="25"/>
      <c r="Z50" s="25" t="str">
        <f>IF(B50="","",IFERROR(INDEX(الزبائن!$AZ$6:$AZ$505,MATCH(B50,الزبائن!$A$6:$A$505,0)),"source key not found"))</f>
        <v/>
      </c>
      <c r="AA50" s="25" t="str">
        <f>IF(B50="","",IFERROR(INDEX(الزبائن!$BA$6:$BA$505,MATCH(B50,الزبائن!$A$6:$A$505,0)),"source key not found"))</f>
        <v/>
      </c>
      <c r="AB50" s="25" t="str">
        <f>IF(AND(A50="",C50="",D50="",H50="",K50="",L50=""),"",IF(C50="skip","SKIP",IF(OR(A50="",C50="",D50="",H50="",K50="",L50="",S50="",COUNTIF($A$6:$A$505,A50)&gt;1,AND(B50&lt;&gt;"",COUNTIF(الزبائن!$A$6:$A$505,B50)=0),(COUNTIFS('أرقام التواصل'!$A$6:$A$505,"proposed_name",'أرقام التواصل'!$B$6:$B$505,A50,'أرقام التواصل'!$I$6:$I$505,"TRUE")+COUNTIFS('أرقام التواصل'!$A$6:$A$505,"proposed_name",'أرقام التواصل'!$B$6:$B$505,A50,'أرقام التواصل'!$C$6:$C$505,1))=0,AND(U50="TRUE",V50="")),"REVIEW","READY")))</f>
        <v/>
      </c>
      <c r="AC50" s="27" t="str">
        <f>IF(AB50="","",IF(AB50="READY","",IF(AB50="SKIP","Skipped by candidate_import_action",TRIM(IF(A50="","missing proposed_name_key; ","")&amp;IF(AND(A50&lt;&gt;"",COUNTIF($A$6:$A$505,A50)&gt;1),"duplicate proposed_name_key; ","")&amp;IF(C50="","missing candidate_import_action; ","")&amp;IF(D50="","missing move_reason; ","")&amp;IF(H50="","missing branch_id; ","")&amp;IF(K50="","missing first_name; ","")&amp;IF(L50="","missing last_name; ","")&amp;IF(S50="","missing status; ","")&amp;IF(AND(B50&lt;&gt;"",COUNTIF(الزبائن!$A$6:$A$505,B50)=0),"source key not found; ","")&amp;IF((COUNTIFS('أرقام التواصل'!$A$6:$A$505,"proposed_name",'أرقام التواصل'!$B$6:$B$505,A50,'أرقام التواصل'!$I$6:$I$505,"TRUE")+COUNTIFS('أرقام التواصل'!$A$6:$A$505,"proposed_name",'أرقام التواصل'!$B$6:$B$505,A50,'أرقام التواصل'!$C$6:$C$505,1))=0,"missing primary contact in أرقام التواصل; ","")&amp;IF(AND(U50="TRUE",V50=""),"duplicate_type required when duplicate_flag TRUE; ","")))))</f>
        <v/>
      </c>
    </row>
    <row r="51" spans="1:29">
      <c r="A51" s="36"/>
      <c r="B51" s="24"/>
      <c r="C51" s="25"/>
      <c r="D51" s="25"/>
      <c r="E51" s="25"/>
      <c r="F51" s="24"/>
      <c r="G51" s="25"/>
      <c r="H51" s="25"/>
      <c r="I51" s="25"/>
      <c r="J51" s="25"/>
      <c r="K51" s="25"/>
      <c r="L51" s="25"/>
      <c r="M51" s="25"/>
      <c r="N51" s="25" t="str">
        <f t="shared" si="0"/>
        <v/>
      </c>
      <c r="O51" s="25"/>
      <c r="P51" s="25"/>
      <c r="Q51" s="25"/>
      <c r="R51" s="25"/>
      <c r="S51" s="25"/>
      <c r="T51" s="25"/>
      <c r="U51" s="25"/>
      <c r="V51" s="25"/>
      <c r="W51" s="24"/>
      <c r="X51" s="24"/>
      <c r="Y51" s="25"/>
      <c r="Z51" s="25" t="str">
        <f>IF(B51="","",IFERROR(INDEX(الزبائن!$AZ$6:$AZ$505,MATCH(B51,الزبائن!$A$6:$A$505,0)),"source key not found"))</f>
        <v/>
      </c>
      <c r="AA51" s="25" t="str">
        <f>IF(B51="","",IFERROR(INDEX(الزبائن!$BA$6:$BA$505,MATCH(B51,الزبائن!$A$6:$A$505,0)),"source key not found"))</f>
        <v/>
      </c>
      <c r="AB51" s="25" t="str">
        <f>IF(AND(A51="",C51="",D51="",H51="",K51="",L51=""),"",IF(C51="skip","SKIP",IF(OR(A51="",C51="",D51="",H51="",K51="",L51="",S51="",COUNTIF($A$6:$A$505,A51)&gt;1,AND(B51&lt;&gt;"",COUNTIF(الزبائن!$A$6:$A$505,B51)=0),(COUNTIFS('أرقام التواصل'!$A$6:$A$505,"proposed_name",'أرقام التواصل'!$B$6:$B$505,A51,'أرقام التواصل'!$I$6:$I$505,"TRUE")+COUNTIFS('أرقام التواصل'!$A$6:$A$505,"proposed_name",'أرقام التواصل'!$B$6:$B$505,A51,'أرقام التواصل'!$C$6:$C$505,1))=0,AND(U51="TRUE",V51="")),"REVIEW","READY")))</f>
        <v/>
      </c>
      <c r="AC51" s="27" t="str">
        <f>IF(AB51="","",IF(AB51="READY","",IF(AB51="SKIP","Skipped by candidate_import_action",TRIM(IF(A51="","missing proposed_name_key; ","")&amp;IF(AND(A51&lt;&gt;"",COUNTIF($A$6:$A$505,A51)&gt;1),"duplicate proposed_name_key; ","")&amp;IF(C51="","missing candidate_import_action; ","")&amp;IF(D51="","missing move_reason; ","")&amp;IF(H51="","missing branch_id; ","")&amp;IF(K51="","missing first_name; ","")&amp;IF(L51="","missing last_name; ","")&amp;IF(S51="","missing status; ","")&amp;IF(AND(B51&lt;&gt;"",COUNTIF(الزبائن!$A$6:$A$505,B51)=0),"source key not found; ","")&amp;IF((COUNTIFS('أرقام التواصل'!$A$6:$A$505,"proposed_name",'أرقام التواصل'!$B$6:$B$505,A51,'أرقام التواصل'!$I$6:$I$505,"TRUE")+COUNTIFS('أرقام التواصل'!$A$6:$A$505,"proposed_name",'أرقام التواصل'!$B$6:$B$505,A51,'أرقام التواصل'!$C$6:$C$505,1))=0,"missing primary contact in أرقام التواصل; ","")&amp;IF(AND(U51="TRUE",V51=""),"duplicate_type required when duplicate_flag TRUE; ","")))))</f>
        <v/>
      </c>
    </row>
    <row r="52" spans="1:29">
      <c r="A52" s="36"/>
      <c r="B52" s="24"/>
      <c r="C52" s="25"/>
      <c r="D52" s="25"/>
      <c r="E52" s="25"/>
      <c r="F52" s="24"/>
      <c r="G52" s="25"/>
      <c r="H52" s="25"/>
      <c r="I52" s="25"/>
      <c r="J52" s="25"/>
      <c r="K52" s="25"/>
      <c r="L52" s="25"/>
      <c r="M52" s="25"/>
      <c r="N52" s="25" t="str">
        <f t="shared" si="0"/>
        <v/>
      </c>
      <c r="O52" s="25"/>
      <c r="P52" s="25"/>
      <c r="Q52" s="25"/>
      <c r="R52" s="25"/>
      <c r="S52" s="25"/>
      <c r="T52" s="25"/>
      <c r="U52" s="25"/>
      <c r="V52" s="25"/>
      <c r="W52" s="24"/>
      <c r="X52" s="24"/>
      <c r="Y52" s="25"/>
      <c r="Z52" s="25" t="str">
        <f>IF(B52="","",IFERROR(INDEX(الزبائن!$AZ$6:$AZ$505,MATCH(B52,الزبائن!$A$6:$A$505,0)),"source key not found"))</f>
        <v/>
      </c>
      <c r="AA52" s="25" t="str">
        <f>IF(B52="","",IFERROR(INDEX(الزبائن!$BA$6:$BA$505,MATCH(B52,الزبائن!$A$6:$A$505,0)),"source key not found"))</f>
        <v/>
      </c>
      <c r="AB52" s="25" t="str">
        <f>IF(AND(A52="",C52="",D52="",H52="",K52="",L52=""),"",IF(C52="skip","SKIP",IF(OR(A52="",C52="",D52="",H52="",K52="",L52="",S52="",COUNTIF($A$6:$A$505,A52)&gt;1,AND(B52&lt;&gt;"",COUNTIF(الزبائن!$A$6:$A$505,B52)=0),(COUNTIFS('أرقام التواصل'!$A$6:$A$505,"proposed_name",'أرقام التواصل'!$B$6:$B$505,A52,'أرقام التواصل'!$I$6:$I$505,"TRUE")+COUNTIFS('أرقام التواصل'!$A$6:$A$505,"proposed_name",'أرقام التواصل'!$B$6:$B$505,A52,'أرقام التواصل'!$C$6:$C$505,1))=0,AND(U52="TRUE",V52="")),"REVIEW","READY")))</f>
        <v/>
      </c>
      <c r="AC52" s="27" t="str">
        <f>IF(AB52="","",IF(AB52="READY","",IF(AB52="SKIP","Skipped by candidate_import_action",TRIM(IF(A52="","missing proposed_name_key; ","")&amp;IF(AND(A52&lt;&gt;"",COUNTIF($A$6:$A$505,A52)&gt;1),"duplicate proposed_name_key; ","")&amp;IF(C52="","missing candidate_import_action; ","")&amp;IF(D52="","missing move_reason; ","")&amp;IF(H52="","missing branch_id; ","")&amp;IF(K52="","missing first_name; ","")&amp;IF(L52="","missing last_name; ","")&amp;IF(S52="","missing status; ","")&amp;IF(AND(B52&lt;&gt;"",COUNTIF(الزبائن!$A$6:$A$505,B52)=0),"source key not found; ","")&amp;IF((COUNTIFS('أرقام التواصل'!$A$6:$A$505,"proposed_name",'أرقام التواصل'!$B$6:$B$505,A52,'أرقام التواصل'!$I$6:$I$505,"TRUE")+COUNTIFS('أرقام التواصل'!$A$6:$A$505,"proposed_name",'أرقام التواصل'!$B$6:$B$505,A52,'أرقام التواصل'!$C$6:$C$505,1))=0,"missing primary contact in أرقام التواصل; ","")&amp;IF(AND(U52="TRUE",V52=""),"duplicate_type required when duplicate_flag TRUE; ","")))))</f>
        <v/>
      </c>
    </row>
    <row r="53" spans="1:29">
      <c r="A53" s="36"/>
      <c r="B53" s="24"/>
      <c r="C53" s="25"/>
      <c r="D53" s="25"/>
      <c r="E53" s="25"/>
      <c r="F53" s="24"/>
      <c r="G53" s="25"/>
      <c r="H53" s="25"/>
      <c r="I53" s="25"/>
      <c r="J53" s="25"/>
      <c r="K53" s="25"/>
      <c r="L53" s="25"/>
      <c r="M53" s="25"/>
      <c r="N53" s="25" t="str">
        <f t="shared" si="0"/>
        <v/>
      </c>
      <c r="O53" s="25"/>
      <c r="P53" s="25"/>
      <c r="Q53" s="25"/>
      <c r="R53" s="25"/>
      <c r="S53" s="25"/>
      <c r="T53" s="25"/>
      <c r="U53" s="25"/>
      <c r="V53" s="25"/>
      <c r="W53" s="24"/>
      <c r="X53" s="24"/>
      <c r="Y53" s="25"/>
      <c r="Z53" s="25" t="str">
        <f>IF(B53="","",IFERROR(INDEX(الزبائن!$AZ$6:$AZ$505,MATCH(B53,الزبائن!$A$6:$A$505,0)),"source key not found"))</f>
        <v/>
      </c>
      <c r="AA53" s="25" t="str">
        <f>IF(B53="","",IFERROR(INDEX(الزبائن!$BA$6:$BA$505,MATCH(B53,الزبائن!$A$6:$A$505,0)),"source key not found"))</f>
        <v/>
      </c>
      <c r="AB53" s="25" t="str">
        <f>IF(AND(A53="",C53="",D53="",H53="",K53="",L53=""),"",IF(C53="skip","SKIP",IF(OR(A53="",C53="",D53="",H53="",K53="",L53="",S53="",COUNTIF($A$6:$A$505,A53)&gt;1,AND(B53&lt;&gt;"",COUNTIF(الزبائن!$A$6:$A$505,B53)=0),(COUNTIFS('أرقام التواصل'!$A$6:$A$505,"proposed_name",'أرقام التواصل'!$B$6:$B$505,A53,'أرقام التواصل'!$I$6:$I$505,"TRUE")+COUNTIFS('أرقام التواصل'!$A$6:$A$505,"proposed_name",'أرقام التواصل'!$B$6:$B$505,A53,'أرقام التواصل'!$C$6:$C$505,1))=0,AND(U53="TRUE",V53="")),"REVIEW","READY")))</f>
        <v/>
      </c>
      <c r="AC53" s="27" t="str">
        <f>IF(AB53="","",IF(AB53="READY","",IF(AB53="SKIP","Skipped by candidate_import_action",TRIM(IF(A53="","missing proposed_name_key; ","")&amp;IF(AND(A53&lt;&gt;"",COUNTIF($A$6:$A$505,A53)&gt;1),"duplicate proposed_name_key; ","")&amp;IF(C53="","missing candidate_import_action; ","")&amp;IF(D53="","missing move_reason; ","")&amp;IF(H53="","missing branch_id; ","")&amp;IF(K53="","missing first_name; ","")&amp;IF(L53="","missing last_name; ","")&amp;IF(S53="","missing status; ","")&amp;IF(AND(B53&lt;&gt;"",COUNTIF(الزبائن!$A$6:$A$505,B53)=0),"source key not found; ","")&amp;IF((COUNTIFS('أرقام التواصل'!$A$6:$A$505,"proposed_name",'أرقام التواصل'!$B$6:$B$505,A53,'أرقام التواصل'!$I$6:$I$505,"TRUE")+COUNTIFS('أرقام التواصل'!$A$6:$A$505,"proposed_name",'أرقام التواصل'!$B$6:$B$505,A53,'أرقام التواصل'!$C$6:$C$505,1))=0,"missing primary contact in أرقام التواصل; ","")&amp;IF(AND(U53="TRUE",V53=""),"duplicate_type required when duplicate_flag TRUE; ","")))))</f>
        <v/>
      </c>
    </row>
    <row r="54" spans="1:29">
      <c r="A54" s="36"/>
      <c r="B54" s="24"/>
      <c r="C54" s="25"/>
      <c r="D54" s="25"/>
      <c r="E54" s="25"/>
      <c r="F54" s="24"/>
      <c r="G54" s="25"/>
      <c r="H54" s="25"/>
      <c r="I54" s="25"/>
      <c r="J54" s="25"/>
      <c r="K54" s="25"/>
      <c r="L54" s="25"/>
      <c r="M54" s="25"/>
      <c r="N54" s="25" t="str">
        <f t="shared" si="0"/>
        <v/>
      </c>
      <c r="O54" s="25"/>
      <c r="P54" s="25"/>
      <c r="Q54" s="25"/>
      <c r="R54" s="25"/>
      <c r="S54" s="25"/>
      <c r="T54" s="25"/>
      <c r="U54" s="25"/>
      <c r="V54" s="25"/>
      <c r="W54" s="24"/>
      <c r="X54" s="24"/>
      <c r="Y54" s="25"/>
      <c r="Z54" s="25" t="str">
        <f>IF(B54="","",IFERROR(INDEX(الزبائن!$AZ$6:$AZ$505,MATCH(B54,الزبائن!$A$6:$A$505,0)),"source key not found"))</f>
        <v/>
      </c>
      <c r="AA54" s="25" t="str">
        <f>IF(B54="","",IFERROR(INDEX(الزبائن!$BA$6:$BA$505,MATCH(B54,الزبائن!$A$6:$A$505,0)),"source key not found"))</f>
        <v/>
      </c>
      <c r="AB54" s="25" t="str">
        <f>IF(AND(A54="",C54="",D54="",H54="",K54="",L54=""),"",IF(C54="skip","SKIP",IF(OR(A54="",C54="",D54="",H54="",K54="",L54="",S54="",COUNTIF($A$6:$A$505,A54)&gt;1,AND(B54&lt;&gt;"",COUNTIF(الزبائن!$A$6:$A$505,B54)=0),(COUNTIFS('أرقام التواصل'!$A$6:$A$505,"proposed_name",'أرقام التواصل'!$B$6:$B$505,A54,'أرقام التواصل'!$I$6:$I$505,"TRUE")+COUNTIFS('أرقام التواصل'!$A$6:$A$505,"proposed_name",'أرقام التواصل'!$B$6:$B$505,A54,'أرقام التواصل'!$C$6:$C$505,1))=0,AND(U54="TRUE",V54="")),"REVIEW","READY")))</f>
        <v/>
      </c>
      <c r="AC54" s="27" t="str">
        <f>IF(AB54="","",IF(AB54="READY","",IF(AB54="SKIP","Skipped by candidate_import_action",TRIM(IF(A54="","missing proposed_name_key; ","")&amp;IF(AND(A54&lt;&gt;"",COUNTIF($A$6:$A$505,A54)&gt;1),"duplicate proposed_name_key; ","")&amp;IF(C54="","missing candidate_import_action; ","")&amp;IF(D54="","missing move_reason; ","")&amp;IF(H54="","missing branch_id; ","")&amp;IF(K54="","missing first_name; ","")&amp;IF(L54="","missing last_name; ","")&amp;IF(S54="","missing status; ","")&amp;IF(AND(B54&lt;&gt;"",COUNTIF(الزبائن!$A$6:$A$505,B54)=0),"source key not found; ","")&amp;IF((COUNTIFS('أرقام التواصل'!$A$6:$A$505,"proposed_name",'أرقام التواصل'!$B$6:$B$505,A54,'أرقام التواصل'!$I$6:$I$505,"TRUE")+COUNTIFS('أرقام التواصل'!$A$6:$A$505,"proposed_name",'أرقام التواصل'!$B$6:$B$505,A54,'أرقام التواصل'!$C$6:$C$505,1))=0,"missing primary contact in أرقام التواصل; ","")&amp;IF(AND(U54="TRUE",V54=""),"duplicate_type required when duplicate_flag TRUE; ","")))))</f>
        <v/>
      </c>
    </row>
    <row r="55" spans="1:29">
      <c r="A55" s="36"/>
      <c r="B55" s="24"/>
      <c r="C55" s="25"/>
      <c r="D55" s="25"/>
      <c r="E55" s="25"/>
      <c r="F55" s="24"/>
      <c r="G55" s="25"/>
      <c r="H55" s="25"/>
      <c r="I55" s="25"/>
      <c r="J55" s="25"/>
      <c r="K55" s="25"/>
      <c r="L55" s="25"/>
      <c r="M55" s="25"/>
      <c r="N55" s="25" t="str">
        <f t="shared" si="0"/>
        <v/>
      </c>
      <c r="O55" s="25"/>
      <c r="P55" s="25"/>
      <c r="Q55" s="25"/>
      <c r="R55" s="25"/>
      <c r="S55" s="25"/>
      <c r="T55" s="25"/>
      <c r="U55" s="25"/>
      <c r="V55" s="25"/>
      <c r="W55" s="24"/>
      <c r="X55" s="24"/>
      <c r="Y55" s="25"/>
      <c r="Z55" s="25" t="str">
        <f>IF(B55="","",IFERROR(INDEX(الزبائن!$AZ$6:$AZ$505,MATCH(B55,الزبائن!$A$6:$A$505,0)),"source key not found"))</f>
        <v/>
      </c>
      <c r="AA55" s="25" t="str">
        <f>IF(B55="","",IFERROR(INDEX(الزبائن!$BA$6:$BA$505,MATCH(B55,الزبائن!$A$6:$A$505,0)),"source key not found"))</f>
        <v/>
      </c>
      <c r="AB55" s="25" t="str">
        <f>IF(AND(A55="",C55="",D55="",H55="",K55="",L55=""),"",IF(C55="skip","SKIP",IF(OR(A55="",C55="",D55="",H55="",K55="",L55="",S55="",COUNTIF($A$6:$A$505,A55)&gt;1,AND(B55&lt;&gt;"",COUNTIF(الزبائن!$A$6:$A$505,B55)=0),(COUNTIFS('أرقام التواصل'!$A$6:$A$505,"proposed_name",'أرقام التواصل'!$B$6:$B$505,A55,'أرقام التواصل'!$I$6:$I$505,"TRUE")+COUNTIFS('أرقام التواصل'!$A$6:$A$505,"proposed_name",'أرقام التواصل'!$B$6:$B$505,A55,'أرقام التواصل'!$C$6:$C$505,1))=0,AND(U55="TRUE",V55="")),"REVIEW","READY")))</f>
        <v/>
      </c>
      <c r="AC55" s="27" t="str">
        <f>IF(AB55="","",IF(AB55="READY","",IF(AB55="SKIP","Skipped by candidate_import_action",TRIM(IF(A55="","missing proposed_name_key; ","")&amp;IF(AND(A55&lt;&gt;"",COUNTIF($A$6:$A$505,A55)&gt;1),"duplicate proposed_name_key; ","")&amp;IF(C55="","missing candidate_import_action; ","")&amp;IF(D55="","missing move_reason; ","")&amp;IF(H55="","missing branch_id; ","")&amp;IF(K55="","missing first_name; ","")&amp;IF(L55="","missing last_name; ","")&amp;IF(S55="","missing status; ","")&amp;IF(AND(B55&lt;&gt;"",COUNTIF(الزبائن!$A$6:$A$505,B55)=0),"source key not found; ","")&amp;IF((COUNTIFS('أرقام التواصل'!$A$6:$A$505,"proposed_name",'أرقام التواصل'!$B$6:$B$505,A55,'أرقام التواصل'!$I$6:$I$505,"TRUE")+COUNTIFS('أرقام التواصل'!$A$6:$A$505,"proposed_name",'أرقام التواصل'!$B$6:$B$505,A55,'أرقام التواصل'!$C$6:$C$505,1))=0,"missing primary contact in أرقام التواصل; ","")&amp;IF(AND(U55="TRUE",V55=""),"duplicate_type required when duplicate_flag TRUE; ","")))))</f>
        <v/>
      </c>
    </row>
    <row r="56" spans="1:29">
      <c r="A56" s="36"/>
      <c r="B56" s="24"/>
      <c r="C56" s="25"/>
      <c r="D56" s="25"/>
      <c r="E56" s="25"/>
      <c r="F56" s="24"/>
      <c r="G56" s="25"/>
      <c r="H56" s="25"/>
      <c r="I56" s="25"/>
      <c r="J56" s="25"/>
      <c r="K56" s="25"/>
      <c r="L56" s="25"/>
      <c r="M56" s="25"/>
      <c r="N56" s="25" t="str">
        <f t="shared" si="0"/>
        <v/>
      </c>
      <c r="O56" s="25"/>
      <c r="P56" s="25"/>
      <c r="Q56" s="25"/>
      <c r="R56" s="25"/>
      <c r="S56" s="25"/>
      <c r="T56" s="25"/>
      <c r="U56" s="25"/>
      <c r="V56" s="25"/>
      <c r="W56" s="24"/>
      <c r="X56" s="24"/>
      <c r="Y56" s="25"/>
      <c r="Z56" s="25" t="str">
        <f>IF(B56="","",IFERROR(INDEX(الزبائن!$AZ$6:$AZ$505,MATCH(B56,الزبائن!$A$6:$A$505,0)),"source key not found"))</f>
        <v/>
      </c>
      <c r="AA56" s="25" t="str">
        <f>IF(B56="","",IFERROR(INDEX(الزبائن!$BA$6:$BA$505,MATCH(B56,الزبائن!$A$6:$A$505,0)),"source key not found"))</f>
        <v/>
      </c>
      <c r="AB56" s="25" t="str">
        <f>IF(AND(A56="",C56="",D56="",H56="",K56="",L56=""),"",IF(C56="skip","SKIP",IF(OR(A56="",C56="",D56="",H56="",K56="",L56="",S56="",COUNTIF($A$6:$A$505,A56)&gt;1,AND(B56&lt;&gt;"",COUNTIF(الزبائن!$A$6:$A$505,B56)=0),(COUNTIFS('أرقام التواصل'!$A$6:$A$505,"proposed_name",'أرقام التواصل'!$B$6:$B$505,A56,'أرقام التواصل'!$I$6:$I$505,"TRUE")+COUNTIFS('أرقام التواصل'!$A$6:$A$505,"proposed_name",'أرقام التواصل'!$B$6:$B$505,A56,'أرقام التواصل'!$C$6:$C$505,1))=0,AND(U56="TRUE",V56="")),"REVIEW","READY")))</f>
        <v/>
      </c>
      <c r="AC56" s="27" t="str">
        <f>IF(AB56="","",IF(AB56="READY","",IF(AB56="SKIP","Skipped by candidate_import_action",TRIM(IF(A56="","missing proposed_name_key; ","")&amp;IF(AND(A56&lt;&gt;"",COUNTIF($A$6:$A$505,A56)&gt;1),"duplicate proposed_name_key; ","")&amp;IF(C56="","missing candidate_import_action; ","")&amp;IF(D56="","missing move_reason; ","")&amp;IF(H56="","missing branch_id; ","")&amp;IF(K56="","missing first_name; ","")&amp;IF(L56="","missing last_name; ","")&amp;IF(S56="","missing status; ","")&amp;IF(AND(B56&lt;&gt;"",COUNTIF(الزبائن!$A$6:$A$505,B56)=0),"source key not found; ","")&amp;IF((COUNTIFS('أرقام التواصل'!$A$6:$A$505,"proposed_name",'أرقام التواصل'!$B$6:$B$505,A56,'أرقام التواصل'!$I$6:$I$505,"TRUE")+COUNTIFS('أرقام التواصل'!$A$6:$A$505,"proposed_name",'أرقام التواصل'!$B$6:$B$505,A56,'أرقام التواصل'!$C$6:$C$505,1))=0,"missing primary contact in أرقام التواصل; ","")&amp;IF(AND(U56="TRUE",V56=""),"duplicate_type required when duplicate_flag TRUE; ","")))))</f>
        <v/>
      </c>
    </row>
    <row r="57" spans="1:29">
      <c r="A57" s="36"/>
      <c r="B57" s="24"/>
      <c r="C57" s="25"/>
      <c r="D57" s="25"/>
      <c r="E57" s="25"/>
      <c r="F57" s="24"/>
      <c r="G57" s="25"/>
      <c r="H57" s="25"/>
      <c r="I57" s="25"/>
      <c r="J57" s="25"/>
      <c r="K57" s="25"/>
      <c r="L57" s="25"/>
      <c r="M57" s="25"/>
      <c r="N57" s="25" t="str">
        <f t="shared" si="0"/>
        <v/>
      </c>
      <c r="O57" s="25"/>
      <c r="P57" s="25"/>
      <c r="Q57" s="25"/>
      <c r="R57" s="25"/>
      <c r="S57" s="25"/>
      <c r="T57" s="25"/>
      <c r="U57" s="25"/>
      <c r="V57" s="25"/>
      <c r="W57" s="24"/>
      <c r="X57" s="24"/>
      <c r="Y57" s="25"/>
      <c r="Z57" s="25" t="str">
        <f>IF(B57="","",IFERROR(INDEX(الزبائن!$AZ$6:$AZ$505,MATCH(B57,الزبائن!$A$6:$A$505,0)),"source key not found"))</f>
        <v/>
      </c>
      <c r="AA57" s="25" t="str">
        <f>IF(B57="","",IFERROR(INDEX(الزبائن!$BA$6:$BA$505,MATCH(B57,الزبائن!$A$6:$A$505,0)),"source key not found"))</f>
        <v/>
      </c>
      <c r="AB57" s="25" t="str">
        <f>IF(AND(A57="",C57="",D57="",H57="",K57="",L57=""),"",IF(C57="skip","SKIP",IF(OR(A57="",C57="",D57="",H57="",K57="",L57="",S57="",COUNTIF($A$6:$A$505,A57)&gt;1,AND(B57&lt;&gt;"",COUNTIF(الزبائن!$A$6:$A$505,B57)=0),(COUNTIFS('أرقام التواصل'!$A$6:$A$505,"proposed_name",'أرقام التواصل'!$B$6:$B$505,A57,'أرقام التواصل'!$I$6:$I$505,"TRUE")+COUNTIFS('أرقام التواصل'!$A$6:$A$505,"proposed_name",'أرقام التواصل'!$B$6:$B$505,A57,'أرقام التواصل'!$C$6:$C$505,1))=0,AND(U57="TRUE",V57="")),"REVIEW","READY")))</f>
        <v/>
      </c>
      <c r="AC57" s="27" t="str">
        <f>IF(AB57="","",IF(AB57="READY","",IF(AB57="SKIP","Skipped by candidate_import_action",TRIM(IF(A57="","missing proposed_name_key; ","")&amp;IF(AND(A57&lt;&gt;"",COUNTIF($A$6:$A$505,A57)&gt;1),"duplicate proposed_name_key; ","")&amp;IF(C57="","missing candidate_import_action; ","")&amp;IF(D57="","missing move_reason; ","")&amp;IF(H57="","missing branch_id; ","")&amp;IF(K57="","missing first_name; ","")&amp;IF(L57="","missing last_name; ","")&amp;IF(S57="","missing status; ","")&amp;IF(AND(B57&lt;&gt;"",COUNTIF(الزبائن!$A$6:$A$505,B57)=0),"source key not found; ","")&amp;IF((COUNTIFS('أرقام التواصل'!$A$6:$A$505,"proposed_name",'أرقام التواصل'!$B$6:$B$505,A57,'أرقام التواصل'!$I$6:$I$505,"TRUE")+COUNTIFS('أرقام التواصل'!$A$6:$A$505,"proposed_name",'أرقام التواصل'!$B$6:$B$505,A57,'أرقام التواصل'!$C$6:$C$505,1))=0,"missing primary contact in أرقام التواصل; ","")&amp;IF(AND(U57="TRUE",V57=""),"duplicate_type required when duplicate_flag TRUE; ","")))))</f>
        <v/>
      </c>
    </row>
    <row r="58" spans="1:29">
      <c r="A58" s="36"/>
      <c r="B58" s="24"/>
      <c r="C58" s="25"/>
      <c r="D58" s="25"/>
      <c r="E58" s="25"/>
      <c r="F58" s="24"/>
      <c r="G58" s="25"/>
      <c r="H58" s="25"/>
      <c r="I58" s="25"/>
      <c r="J58" s="25"/>
      <c r="K58" s="25"/>
      <c r="L58" s="25"/>
      <c r="M58" s="25"/>
      <c r="N58" s="25" t="str">
        <f t="shared" si="0"/>
        <v/>
      </c>
      <c r="O58" s="25"/>
      <c r="P58" s="25"/>
      <c r="Q58" s="25"/>
      <c r="R58" s="25"/>
      <c r="S58" s="25"/>
      <c r="T58" s="25"/>
      <c r="U58" s="25"/>
      <c r="V58" s="25"/>
      <c r="W58" s="24"/>
      <c r="X58" s="24"/>
      <c r="Y58" s="25"/>
      <c r="Z58" s="25" t="str">
        <f>IF(B58="","",IFERROR(INDEX(الزبائن!$AZ$6:$AZ$505,MATCH(B58,الزبائن!$A$6:$A$505,0)),"source key not found"))</f>
        <v/>
      </c>
      <c r="AA58" s="25" t="str">
        <f>IF(B58="","",IFERROR(INDEX(الزبائن!$BA$6:$BA$505,MATCH(B58,الزبائن!$A$6:$A$505,0)),"source key not found"))</f>
        <v/>
      </c>
      <c r="AB58" s="25" t="str">
        <f>IF(AND(A58="",C58="",D58="",H58="",K58="",L58=""),"",IF(C58="skip","SKIP",IF(OR(A58="",C58="",D58="",H58="",K58="",L58="",S58="",COUNTIF($A$6:$A$505,A58)&gt;1,AND(B58&lt;&gt;"",COUNTIF(الزبائن!$A$6:$A$505,B58)=0),(COUNTIFS('أرقام التواصل'!$A$6:$A$505,"proposed_name",'أرقام التواصل'!$B$6:$B$505,A58,'أرقام التواصل'!$I$6:$I$505,"TRUE")+COUNTIFS('أرقام التواصل'!$A$6:$A$505,"proposed_name",'أرقام التواصل'!$B$6:$B$505,A58,'أرقام التواصل'!$C$6:$C$505,1))=0,AND(U58="TRUE",V58="")),"REVIEW","READY")))</f>
        <v/>
      </c>
      <c r="AC58" s="27" t="str">
        <f>IF(AB58="","",IF(AB58="READY","",IF(AB58="SKIP","Skipped by candidate_import_action",TRIM(IF(A58="","missing proposed_name_key; ","")&amp;IF(AND(A58&lt;&gt;"",COUNTIF($A$6:$A$505,A58)&gt;1),"duplicate proposed_name_key; ","")&amp;IF(C58="","missing candidate_import_action; ","")&amp;IF(D58="","missing move_reason; ","")&amp;IF(H58="","missing branch_id; ","")&amp;IF(K58="","missing first_name; ","")&amp;IF(L58="","missing last_name; ","")&amp;IF(S58="","missing status; ","")&amp;IF(AND(B58&lt;&gt;"",COUNTIF(الزبائن!$A$6:$A$505,B58)=0),"source key not found; ","")&amp;IF((COUNTIFS('أرقام التواصل'!$A$6:$A$505,"proposed_name",'أرقام التواصل'!$B$6:$B$505,A58,'أرقام التواصل'!$I$6:$I$505,"TRUE")+COUNTIFS('أرقام التواصل'!$A$6:$A$505,"proposed_name",'أرقام التواصل'!$B$6:$B$505,A58,'أرقام التواصل'!$C$6:$C$505,1))=0,"missing primary contact in أرقام التواصل; ","")&amp;IF(AND(U58="TRUE",V58=""),"duplicate_type required when duplicate_flag TRUE; ","")))))</f>
        <v/>
      </c>
    </row>
    <row r="59" spans="1:29">
      <c r="A59" s="36"/>
      <c r="B59" s="24"/>
      <c r="C59" s="25"/>
      <c r="D59" s="25"/>
      <c r="E59" s="25"/>
      <c r="F59" s="24"/>
      <c r="G59" s="25"/>
      <c r="H59" s="25"/>
      <c r="I59" s="25"/>
      <c r="J59" s="25"/>
      <c r="K59" s="25"/>
      <c r="L59" s="25"/>
      <c r="M59" s="25"/>
      <c r="N59" s="25" t="str">
        <f t="shared" si="0"/>
        <v/>
      </c>
      <c r="O59" s="25"/>
      <c r="P59" s="25"/>
      <c r="Q59" s="25"/>
      <c r="R59" s="25"/>
      <c r="S59" s="25"/>
      <c r="T59" s="25"/>
      <c r="U59" s="25"/>
      <c r="V59" s="25"/>
      <c r="W59" s="24"/>
      <c r="X59" s="24"/>
      <c r="Y59" s="25"/>
      <c r="Z59" s="25" t="str">
        <f>IF(B59="","",IFERROR(INDEX(الزبائن!$AZ$6:$AZ$505,MATCH(B59,الزبائن!$A$6:$A$505,0)),"source key not found"))</f>
        <v/>
      </c>
      <c r="AA59" s="25" t="str">
        <f>IF(B59="","",IFERROR(INDEX(الزبائن!$BA$6:$BA$505,MATCH(B59,الزبائن!$A$6:$A$505,0)),"source key not found"))</f>
        <v/>
      </c>
      <c r="AB59" s="25" t="str">
        <f>IF(AND(A59="",C59="",D59="",H59="",K59="",L59=""),"",IF(C59="skip","SKIP",IF(OR(A59="",C59="",D59="",H59="",K59="",L59="",S59="",COUNTIF($A$6:$A$505,A59)&gt;1,AND(B59&lt;&gt;"",COUNTIF(الزبائن!$A$6:$A$505,B59)=0),(COUNTIFS('أرقام التواصل'!$A$6:$A$505,"proposed_name",'أرقام التواصل'!$B$6:$B$505,A59,'أرقام التواصل'!$I$6:$I$505,"TRUE")+COUNTIFS('أرقام التواصل'!$A$6:$A$505,"proposed_name",'أرقام التواصل'!$B$6:$B$505,A59,'أرقام التواصل'!$C$6:$C$505,1))=0,AND(U59="TRUE",V59="")),"REVIEW","READY")))</f>
        <v/>
      </c>
      <c r="AC59" s="27" t="str">
        <f>IF(AB59="","",IF(AB59="READY","",IF(AB59="SKIP","Skipped by candidate_import_action",TRIM(IF(A59="","missing proposed_name_key; ","")&amp;IF(AND(A59&lt;&gt;"",COUNTIF($A$6:$A$505,A59)&gt;1),"duplicate proposed_name_key; ","")&amp;IF(C59="","missing candidate_import_action; ","")&amp;IF(D59="","missing move_reason; ","")&amp;IF(H59="","missing branch_id; ","")&amp;IF(K59="","missing first_name; ","")&amp;IF(L59="","missing last_name; ","")&amp;IF(S59="","missing status; ","")&amp;IF(AND(B59&lt;&gt;"",COUNTIF(الزبائن!$A$6:$A$505,B59)=0),"source key not found; ","")&amp;IF((COUNTIFS('أرقام التواصل'!$A$6:$A$505,"proposed_name",'أرقام التواصل'!$B$6:$B$505,A59,'أرقام التواصل'!$I$6:$I$505,"TRUE")+COUNTIFS('أرقام التواصل'!$A$6:$A$505,"proposed_name",'أرقام التواصل'!$B$6:$B$505,A59,'أرقام التواصل'!$C$6:$C$505,1))=0,"missing primary contact in أرقام التواصل; ","")&amp;IF(AND(U59="TRUE",V59=""),"duplicate_type required when duplicate_flag TRUE; ","")))))</f>
        <v/>
      </c>
    </row>
    <row r="60" spans="1:29">
      <c r="A60" s="36"/>
      <c r="B60" s="24"/>
      <c r="C60" s="25"/>
      <c r="D60" s="25"/>
      <c r="E60" s="25"/>
      <c r="F60" s="24"/>
      <c r="G60" s="25"/>
      <c r="H60" s="25"/>
      <c r="I60" s="25"/>
      <c r="J60" s="25"/>
      <c r="K60" s="25"/>
      <c r="L60" s="25"/>
      <c r="M60" s="25"/>
      <c r="N60" s="25" t="str">
        <f t="shared" si="0"/>
        <v/>
      </c>
      <c r="O60" s="25"/>
      <c r="P60" s="25"/>
      <c r="Q60" s="25"/>
      <c r="R60" s="25"/>
      <c r="S60" s="25"/>
      <c r="T60" s="25"/>
      <c r="U60" s="25"/>
      <c r="V60" s="25"/>
      <c r="W60" s="24"/>
      <c r="X60" s="24"/>
      <c r="Y60" s="25"/>
      <c r="Z60" s="25" t="str">
        <f>IF(B60="","",IFERROR(INDEX(الزبائن!$AZ$6:$AZ$505,MATCH(B60,الزبائن!$A$6:$A$505,0)),"source key not found"))</f>
        <v/>
      </c>
      <c r="AA60" s="25" t="str">
        <f>IF(B60="","",IFERROR(INDEX(الزبائن!$BA$6:$BA$505,MATCH(B60,الزبائن!$A$6:$A$505,0)),"source key not found"))</f>
        <v/>
      </c>
      <c r="AB60" s="25" t="str">
        <f>IF(AND(A60="",C60="",D60="",H60="",K60="",L60=""),"",IF(C60="skip","SKIP",IF(OR(A60="",C60="",D60="",H60="",K60="",L60="",S60="",COUNTIF($A$6:$A$505,A60)&gt;1,AND(B60&lt;&gt;"",COUNTIF(الزبائن!$A$6:$A$505,B60)=0),(COUNTIFS('أرقام التواصل'!$A$6:$A$505,"proposed_name",'أرقام التواصل'!$B$6:$B$505,A60,'أرقام التواصل'!$I$6:$I$505,"TRUE")+COUNTIFS('أرقام التواصل'!$A$6:$A$505,"proposed_name",'أرقام التواصل'!$B$6:$B$505,A60,'أرقام التواصل'!$C$6:$C$505,1))=0,AND(U60="TRUE",V60="")),"REVIEW","READY")))</f>
        <v/>
      </c>
      <c r="AC60" s="27" t="str">
        <f>IF(AB60="","",IF(AB60="READY","",IF(AB60="SKIP","Skipped by candidate_import_action",TRIM(IF(A60="","missing proposed_name_key; ","")&amp;IF(AND(A60&lt;&gt;"",COUNTIF($A$6:$A$505,A60)&gt;1),"duplicate proposed_name_key; ","")&amp;IF(C60="","missing candidate_import_action; ","")&amp;IF(D60="","missing move_reason; ","")&amp;IF(H60="","missing branch_id; ","")&amp;IF(K60="","missing first_name; ","")&amp;IF(L60="","missing last_name; ","")&amp;IF(S60="","missing status; ","")&amp;IF(AND(B60&lt;&gt;"",COUNTIF(الزبائن!$A$6:$A$505,B60)=0),"source key not found; ","")&amp;IF((COUNTIFS('أرقام التواصل'!$A$6:$A$505,"proposed_name",'أرقام التواصل'!$B$6:$B$505,A60,'أرقام التواصل'!$I$6:$I$505,"TRUE")+COUNTIFS('أرقام التواصل'!$A$6:$A$505,"proposed_name",'أرقام التواصل'!$B$6:$B$505,A60,'أرقام التواصل'!$C$6:$C$505,1))=0,"missing primary contact in أرقام التواصل; ","")&amp;IF(AND(U60="TRUE",V60=""),"duplicate_type required when duplicate_flag TRUE; ","")))))</f>
        <v/>
      </c>
    </row>
    <row r="61" spans="1:29">
      <c r="A61" s="36"/>
      <c r="B61" s="24"/>
      <c r="C61" s="25"/>
      <c r="D61" s="25"/>
      <c r="E61" s="25"/>
      <c r="F61" s="24"/>
      <c r="G61" s="25"/>
      <c r="H61" s="25"/>
      <c r="I61" s="25"/>
      <c r="J61" s="25"/>
      <c r="K61" s="25"/>
      <c r="L61" s="25"/>
      <c r="M61" s="25"/>
      <c r="N61" s="25" t="str">
        <f t="shared" si="0"/>
        <v/>
      </c>
      <c r="O61" s="25"/>
      <c r="P61" s="25"/>
      <c r="Q61" s="25"/>
      <c r="R61" s="25"/>
      <c r="S61" s="25"/>
      <c r="T61" s="25"/>
      <c r="U61" s="25"/>
      <c r="V61" s="25"/>
      <c r="W61" s="24"/>
      <c r="X61" s="24"/>
      <c r="Y61" s="25"/>
      <c r="Z61" s="25" t="str">
        <f>IF(B61="","",IFERROR(INDEX(الزبائن!$AZ$6:$AZ$505,MATCH(B61,الزبائن!$A$6:$A$505,0)),"source key not found"))</f>
        <v/>
      </c>
      <c r="AA61" s="25" t="str">
        <f>IF(B61="","",IFERROR(INDEX(الزبائن!$BA$6:$BA$505,MATCH(B61,الزبائن!$A$6:$A$505,0)),"source key not found"))</f>
        <v/>
      </c>
      <c r="AB61" s="25" t="str">
        <f>IF(AND(A61="",C61="",D61="",H61="",K61="",L61=""),"",IF(C61="skip","SKIP",IF(OR(A61="",C61="",D61="",H61="",K61="",L61="",S61="",COUNTIF($A$6:$A$505,A61)&gt;1,AND(B61&lt;&gt;"",COUNTIF(الزبائن!$A$6:$A$505,B61)=0),(COUNTIFS('أرقام التواصل'!$A$6:$A$505,"proposed_name",'أرقام التواصل'!$B$6:$B$505,A61,'أرقام التواصل'!$I$6:$I$505,"TRUE")+COUNTIFS('أرقام التواصل'!$A$6:$A$505,"proposed_name",'أرقام التواصل'!$B$6:$B$505,A61,'أرقام التواصل'!$C$6:$C$505,1))=0,AND(U61="TRUE",V61="")),"REVIEW","READY")))</f>
        <v/>
      </c>
      <c r="AC61" s="27" t="str">
        <f>IF(AB61="","",IF(AB61="READY","",IF(AB61="SKIP","Skipped by candidate_import_action",TRIM(IF(A61="","missing proposed_name_key; ","")&amp;IF(AND(A61&lt;&gt;"",COUNTIF($A$6:$A$505,A61)&gt;1),"duplicate proposed_name_key; ","")&amp;IF(C61="","missing candidate_import_action; ","")&amp;IF(D61="","missing move_reason; ","")&amp;IF(H61="","missing branch_id; ","")&amp;IF(K61="","missing first_name; ","")&amp;IF(L61="","missing last_name; ","")&amp;IF(S61="","missing status; ","")&amp;IF(AND(B61&lt;&gt;"",COUNTIF(الزبائن!$A$6:$A$505,B61)=0),"source key not found; ","")&amp;IF((COUNTIFS('أرقام التواصل'!$A$6:$A$505,"proposed_name",'أرقام التواصل'!$B$6:$B$505,A61,'أرقام التواصل'!$I$6:$I$505,"TRUE")+COUNTIFS('أرقام التواصل'!$A$6:$A$505,"proposed_name",'أرقام التواصل'!$B$6:$B$505,A61,'أرقام التواصل'!$C$6:$C$505,1))=0,"missing primary contact in أرقام التواصل; ","")&amp;IF(AND(U61="TRUE",V61=""),"duplicate_type required when duplicate_flag TRUE; ","")))))</f>
        <v/>
      </c>
    </row>
    <row r="62" spans="1:29">
      <c r="A62" s="36"/>
      <c r="B62" s="24"/>
      <c r="C62" s="25"/>
      <c r="D62" s="25"/>
      <c r="E62" s="25"/>
      <c r="F62" s="24"/>
      <c r="G62" s="25"/>
      <c r="H62" s="25"/>
      <c r="I62" s="25"/>
      <c r="J62" s="25"/>
      <c r="K62" s="25"/>
      <c r="L62" s="25"/>
      <c r="M62" s="25"/>
      <c r="N62" s="25" t="str">
        <f t="shared" si="0"/>
        <v/>
      </c>
      <c r="O62" s="25"/>
      <c r="P62" s="25"/>
      <c r="Q62" s="25"/>
      <c r="R62" s="25"/>
      <c r="S62" s="25"/>
      <c r="T62" s="25"/>
      <c r="U62" s="25"/>
      <c r="V62" s="25"/>
      <c r="W62" s="24"/>
      <c r="X62" s="24"/>
      <c r="Y62" s="25"/>
      <c r="Z62" s="25" t="str">
        <f>IF(B62="","",IFERROR(INDEX(الزبائن!$AZ$6:$AZ$505,MATCH(B62,الزبائن!$A$6:$A$505,0)),"source key not found"))</f>
        <v/>
      </c>
      <c r="AA62" s="25" t="str">
        <f>IF(B62="","",IFERROR(INDEX(الزبائن!$BA$6:$BA$505,MATCH(B62,الزبائن!$A$6:$A$505,0)),"source key not found"))</f>
        <v/>
      </c>
      <c r="AB62" s="25" t="str">
        <f>IF(AND(A62="",C62="",D62="",H62="",K62="",L62=""),"",IF(C62="skip","SKIP",IF(OR(A62="",C62="",D62="",H62="",K62="",L62="",S62="",COUNTIF($A$6:$A$505,A62)&gt;1,AND(B62&lt;&gt;"",COUNTIF(الزبائن!$A$6:$A$505,B62)=0),(COUNTIFS('أرقام التواصل'!$A$6:$A$505,"proposed_name",'أرقام التواصل'!$B$6:$B$505,A62,'أرقام التواصل'!$I$6:$I$505,"TRUE")+COUNTIFS('أرقام التواصل'!$A$6:$A$505,"proposed_name",'أرقام التواصل'!$B$6:$B$505,A62,'أرقام التواصل'!$C$6:$C$505,1))=0,AND(U62="TRUE",V62="")),"REVIEW","READY")))</f>
        <v/>
      </c>
      <c r="AC62" s="27" t="str">
        <f>IF(AB62="","",IF(AB62="READY","",IF(AB62="SKIP","Skipped by candidate_import_action",TRIM(IF(A62="","missing proposed_name_key; ","")&amp;IF(AND(A62&lt;&gt;"",COUNTIF($A$6:$A$505,A62)&gt;1),"duplicate proposed_name_key; ","")&amp;IF(C62="","missing candidate_import_action; ","")&amp;IF(D62="","missing move_reason; ","")&amp;IF(H62="","missing branch_id; ","")&amp;IF(K62="","missing first_name; ","")&amp;IF(L62="","missing last_name; ","")&amp;IF(S62="","missing status; ","")&amp;IF(AND(B62&lt;&gt;"",COUNTIF(الزبائن!$A$6:$A$505,B62)=0),"source key not found; ","")&amp;IF((COUNTIFS('أرقام التواصل'!$A$6:$A$505,"proposed_name",'أرقام التواصل'!$B$6:$B$505,A62,'أرقام التواصل'!$I$6:$I$505,"TRUE")+COUNTIFS('أرقام التواصل'!$A$6:$A$505,"proposed_name",'أرقام التواصل'!$B$6:$B$505,A62,'أرقام التواصل'!$C$6:$C$505,1))=0,"missing primary contact in أرقام التواصل; ","")&amp;IF(AND(U62="TRUE",V62=""),"duplicate_type required when duplicate_flag TRUE; ","")))))</f>
        <v/>
      </c>
    </row>
    <row r="63" spans="1:29">
      <c r="A63" s="36"/>
      <c r="B63" s="24"/>
      <c r="C63" s="25"/>
      <c r="D63" s="25"/>
      <c r="E63" s="25"/>
      <c r="F63" s="24"/>
      <c r="G63" s="25"/>
      <c r="H63" s="25"/>
      <c r="I63" s="25"/>
      <c r="J63" s="25"/>
      <c r="K63" s="25"/>
      <c r="L63" s="25"/>
      <c r="M63" s="25"/>
      <c r="N63" s="25" t="str">
        <f t="shared" si="0"/>
        <v/>
      </c>
      <c r="O63" s="25"/>
      <c r="P63" s="25"/>
      <c r="Q63" s="25"/>
      <c r="R63" s="25"/>
      <c r="S63" s="25"/>
      <c r="T63" s="25"/>
      <c r="U63" s="25"/>
      <c r="V63" s="25"/>
      <c r="W63" s="24"/>
      <c r="X63" s="24"/>
      <c r="Y63" s="25"/>
      <c r="Z63" s="25" t="str">
        <f>IF(B63="","",IFERROR(INDEX(الزبائن!$AZ$6:$AZ$505,MATCH(B63,الزبائن!$A$6:$A$505,0)),"source key not found"))</f>
        <v/>
      </c>
      <c r="AA63" s="25" t="str">
        <f>IF(B63="","",IFERROR(INDEX(الزبائن!$BA$6:$BA$505,MATCH(B63,الزبائن!$A$6:$A$505,0)),"source key not found"))</f>
        <v/>
      </c>
      <c r="AB63" s="25" t="str">
        <f>IF(AND(A63="",C63="",D63="",H63="",K63="",L63=""),"",IF(C63="skip","SKIP",IF(OR(A63="",C63="",D63="",H63="",K63="",L63="",S63="",COUNTIF($A$6:$A$505,A63)&gt;1,AND(B63&lt;&gt;"",COUNTIF(الزبائن!$A$6:$A$505,B63)=0),(COUNTIFS('أرقام التواصل'!$A$6:$A$505,"proposed_name",'أرقام التواصل'!$B$6:$B$505,A63,'أرقام التواصل'!$I$6:$I$505,"TRUE")+COUNTIFS('أرقام التواصل'!$A$6:$A$505,"proposed_name",'أرقام التواصل'!$B$6:$B$505,A63,'أرقام التواصل'!$C$6:$C$505,1))=0,AND(U63="TRUE",V63="")),"REVIEW","READY")))</f>
        <v/>
      </c>
      <c r="AC63" s="27" t="str">
        <f>IF(AB63="","",IF(AB63="READY","",IF(AB63="SKIP","Skipped by candidate_import_action",TRIM(IF(A63="","missing proposed_name_key; ","")&amp;IF(AND(A63&lt;&gt;"",COUNTIF($A$6:$A$505,A63)&gt;1),"duplicate proposed_name_key; ","")&amp;IF(C63="","missing candidate_import_action; ","")&amp;IF(D63="","missing move_reason; ","")&amp;IF(H63="","missing branch_id; ","")&amp;IF(K63="","missing first_name; ","")&amp;IF(L63="","missing last_name; ","")&amp;IF(S63="","missing status; ","")&amp;IF(AND(B63&lt;&gt;"",COUNTIF(الزبائن!$A$6:$A$505,B63)=0),"source key not found; ","")&amp;IF((COUNTIFS('أرقام التواصل'!$A$6:$A$505,"proposed_name",'أرقام التواصل'!$B$6:$B$505,A63,'أرقام التواصل'!$I$6:$I$505,"TRUE")+COUNTIFS('أرقام التواصل'!$A$6:$A$505,"proposed_name",'أرقام التواصل'!$B$6:$B$505,A63,'أرقام التواصل'!$C$6:$C$505,1))=0,"missing primary contact in أرقام التواصل; ","")&amp;IF(AND(U63="TRUE",V63=""),"duplicate_type required when duplicate_flag TRUE; ","")))))</f>
        <v/>
      </c>
    </row>
    <row r="64" spans="1:29">
      <c r="A64" s="36"/>
      <c r="B64" s="24"/>
      <c r="C64" s="25"/>
      <c r="D64" s="25"/>
      <c r="E64" s="25"/>
      <c r="F64" s="24"/>
      <c r="G64" s="25"/>
      <c r="H64" s="25"/>
      <c r="I64" s="25"/>
      <c r="J64" s="25"/>
      <c r="K64" s="25"/>
      <c r="L64" s="25"/>
      <c r="M64" s="25"/>
      <c r="N64" s="25" t="str">
        <f t="shared" si="0"/>
        <v/>
      </c>
      <c r="O64" s="25"/>
      <c r="P64" s="25"/>
      <c r="Q64" s="25"/>
      <c r="R64" s="25"/>
      <c r="S64" s="25"/>
      <c r="T64" s="25"/>
      <c r="U64" s="25"/>
      <c r="V64" s="25"/>
      <c r="W64" s="24"/>
      <c r="X64" s="24"/>
      <c r="Y64" s="25"/>
      <c r="Z64" s="25" t="str">
        <f>IF(B64="","",IFERROR(INDEX(الزبائن!$AZ$6:$AZ$505,MATCH(B64,الزبائن!$A$6:$A$505,0)),"source key not found"))</f>
        <v/>
      </c>
      <c r="AA64" s="25" t="str">
        <f>IF(B64="","",IFERROR(INDEX(الزبائن!$BA$6:$BA$505,MATCH(B64,الزبائن!$A$6:$A$505,0)),"source key not found"))</f>
        <v/>
      </c>
      <c r="AB64" s="25" t="str">
        <f>IF(AND(A64="",C64="",D64="",H64="",K64="",L64=""),"",IF(C64="skip","SKIP",IF(OR(A64="",C64="",D64="",H64="",K64="",L64="",S64="",COUNTIF($A$6:$A$505,A64)&gt;1,AND(B64&lt;&gt;"",COUNTIF(الزبائن!$A$6:$A$505,B64)=0),(COUNTIFS('أرقام التواصل'!$A$6:$A$505,"proposed_name",'أرقام التواصل'!$B$6:$B$505,A64,'أرقام التواصل'!$I$6:$I$505,"TRUE")+COUNTIFS('أرقام التواصل'!$A$6:$A$505,"proposed_name",'أرقام التواصل'!$B$6:$B$505,A64,'أرقام التواصل'!$C$6:$C$505,1))=0,AND(U64="TRUE",V64="")),"REVIEW","READY")))</f>
        <v/>
      </c>
      <c r="AC64" s="27" t="str">
        <f>IF(AB64="","",IF(AB64="READY","",IF(AB64="SKIP","Skipped by candidate_import_action",TRIM(IF(A64="","missing proposed_name_key; ","")&amp;IF(AND(A64&lt;&gt;"",COUNTIF($A$6:$A$505,A64)&gt;1),"duplicate proposed_name_key; ","")&amp;IF(C64="","missing candidate_import_action; ","")&amp;IF(D64="","missing move_reason; ","")&amp;IF(H64="","missing branch_id; ","")&amp;IF(K64="","missing first_name; ","")&amp;IF(L64="","missing last_name; ","")&amp;IF(S64="","missing status; ","")&amp;IF(AND(B64&lt;&gt;"",COUNTIF(الزبائن!$A$6:$A$505,B64)=0),"source key not found; ","")&amp;IF((COUNTIFS('أرقام التواصل'!$A$6:$A$505,"proposed_name",'أرقام التواصل'!$B$6:$B$505,A64,'أرقام التواصل'!$I$6:$I$505,"TRUE")+COUNTIFS('أرقام التواصل'!$A$6:$A$505,"proposed_name",'أرقام التواصل'!$B$6:$B$505,A64,'أرقام التواصل'!$C$6:$C$505,1))=0,"missing primary contact in أرقام التواصل; ","")&amp;IF(AND(U64="TRUE",V64=""),"duplicate_type required when duplicate_flag TRUE; ","")))))</f>
        <v/>
      </c>
    </row>
    <row r="65" spans="1:29">
      <c r="A65" s="36"/>
      <c r="B65" s="24"/>
      <c r="C65" s="25"/>
      <c r="D65" s="25"/>
      <c r="E65" s="25"/>
      <c r="F65" s="24"/>
      <c r="G65" s="25"/>
      <c r="H65" s="25"/>
      <c r="I65" s="25"/>
      <c r="J65" s="25"/>
      <c r="K65" s="25"/>
      <c r="L65" s="25"/>
      <c r="M65" s="25"/>
      <c r="N65" s="25" t="str">
        <f t="shared" si="0"/>
        <v/>
      </c>
      <c r="O65" s="25"/>
      <c r="P65" s="25"/>
      <c r="Q65" s="25"/>
      <c r="R65" s="25"/>
      <c r="S65" s="25"/>
      <c r="T65" s="25"/>
      <c r="U65" s="25"/>
      <c r="V65" s="25"/>
      <c r="W65" s="24"/>
      <c r="X65" s="24"/>
      <c r="Y65" s="25"/>
      <c r="Z65" s="25" t="str">
        <f>IF(B65="","",IFERROR(INDEX(الزبائن!$AZ$6:$AZ$505,MATCH(B65,الزبائن!$A$6:$A$505,0)),"source key not found"))</f>
        <v/>
      </c>
      <c r="AA65" s="25" t="str">
        <f>IF(B65="","",IFERROR(INDEX(الزبائن!$BA$6:$BA$505,MATCH(B65,الزبائن!$A$6:$A$505,0)),"source key not found"))</f>
        <v/>
      </c>
      <c r="AB65" s="25" t="str">
        <f>IF(AND(A65="",C65="",D65="",H65="",K65="",L65=""),"",IF(C65="skip","SKIP",IF(OR(A65="",C65="",D65="",H65="",K65="",L65="",S65="",COUNTIF($A$6:$A$505,A65)&gt;1,AND(B65&lt;&gt;"",COUNTIF(الزبائن!$A$6:$A$505,B65)=0),(COUNTIFS('أرقام التواصل'!$A$6:$A$505,"proposed_name",'أرقام التواصل'!$B$6:$B$505,A65,'أرقام التواصل'!$I$6:$I$505,"TRUE")+COUNTIFS('أرقام التواصل'!$A$6:$A$505,"proposed_name",'أرقام التواصل'!$B$6:$B$505,A65,'أرقام التواصل'!$C$6:$C$505,1))=0,AND(U65="TRUE",V65="")),"REVIEW","READY")))</f>
        <v/>
      </c>
      <c r="AC65" s="27" t="str">
        <f>IF(AB65="","",IF(AB65="READY","",IF(AB65="SKIP","Skipped by candidate_import_action",TRIM(IF(A65="","missing proposed_name_key; ","")&amp;IF(AND(A65&lt;&gt;"",COUNTIF($A$6:$A$505,A65)&gt;1),"duplicate proposed_name_key; ","")&amp;IF(C65="","missing candidate_import_action; ","")&amp;IF(D65="","missing move_reason; ","")&amp;IF(H65="","missing branch_id; ","")&amp;IF(K65="","missing first_name; ","")&amp;IF(L65="","missing last_name; ","")&amp;IF(S65="","missing status; ","")&amp;IF(AND(B65&lt;&gt;"",COUNTIF(الزبائن!$A$6:$A$505,B65)=0),"source key not found; ","")&amp;IF((COUNTIFS('أرقام التواصل'!$A$6:$A$505,"proposed_name",'أرقام التواصل'!$B$6:$B$505,A65,'أرقام التواصل'!$I$6:$I$505,"TRUE")+COUNTIFS('أرقام التواصل'!$A$6:$A$505,"proposed_name",'أرقام التواصل'!$B$6:$B$505,A65,'أرقام التواصل'!$C$6:$C$505,1))=0,"missing primary contact in أرقام التواصل; ","")&amp;IF(AND(U65="TRUE",V65=""),"duplicate_type required when duplicate_flag TRUE; ","")))))</f>
        <v/>
      </c>
    </row>
    <row r="66" spans="1:29">
      <c r="A66" s="36"/>
      <c r="B66" s="24"/>
      <c r="C66" s="25"/>
      <c r="D66" s="25"/>
      <c r="E66" s="25"/>
      <c r="F66" s="24"/>
      <c r="G66" s="25"/>
      <c r="H66" s="25"/>
      <c r="I66" s="25"/>
      <c r="J66" s="25"/>
      <c r="K66" s="25"/>
      <c r="L66" s="25"/>
      <c r="M66" s="25"/>
      <c r="N66" s="25" t="str">
        <f t="shared" si="0"/>
        <v/>
      </c>
      <c r="O66" s="25"/>
      <c r="P66" s="25"/>
      <c r="Q66" s="25"/>
      <c r="R66" s="25"/>
      <c r="S66" s="25"/>
      <c r="T66" s="25"/>
      <c r="U66" s="25"/>
      <c r="V66" s="25"/>
      <c r="W66" s="24"/>
      <c r="X66" s="24"/>
      <c r="Y66" s="25"/>
      <c r="Z66" s="25" t="str">
        <f>IF(B66="","",IFERROR(INDEX(الزبائن!$AZ$6:$AZ$505,MATCH(B66,الزبائن!$A$6:$A$505,0)),"source key not found"))</f>
        <v/>
      </c>
      <c r="AA66" s="25" t="str">
        <f>IF(B66="","",IFERROR(INDEX(الزبائن!$BA$6:$BA$505,MATCH(B66,الزبائن!$A$6:$A$505,0)),"source key not found"))</f>
        <v/>
      </c>
      <c r="AB66" s="25" t="str">
        <f>IF(AND(A66="",C66="",D66="",H66="",K66="",L66=""),"",IF(C66="skip","SKIP",IF(OR(A66="",C66="",D66="",H66="",K66="",L66="",S66="",COUNTIF($A$6:$A$505,A66)&gt;1,AND(B66&lt;&gt;"",COUNTIF(الزبائن!$A$6:$A$505,B66)=0),(COUNTIFS('أرقام التواصل'!$A$6:$A$505,"proposed_name",'أرقام التواصل'!$B$6:$B$505,A66,'أرقام التواصل'!$I$6:$I$505,"TRUE")+COUNTIFS('أرقام التواصل'!$A$6:$A$505,"proposed_name",'أرقام التواصل'!$B$6:$B$505,A66,'أرقام التواصل'!$C$6:$C$505,1))=0,AND(U66="TRUE",V66="")),"REVIEW","READY")))</f>
        <v/>
      </c>
      <c r="AC66" s="27" t="str">
        <f>IF(AB66="","",IF(AB66="READY","",IF(AB66="SKIP","Skipped by candidate_import_action",TRIM(IF(A66="","missing proposed_name_key; ","")&amp;IF(AND(A66&lt;&gt;"",COUNTIF($A$6:$A$505,A66)&gt;1),"duplicate proposed_name_key; ","")&amp;IF(C66="","missing candidate_import_action; ","")&amp;IF(D66="","missing move_reason; ","")&amp;IF(H66="","missing branch_id; ","")&amp;IF(K66="","missing first_name; ","")&amp;IF(L66="","missing last_name; ","")&amp;IF(S66="","missing status; ","")&amp;IF(AND(B66&lt;&gt;"",COUNTIF(الزبائن!$A$6:$A$505,B66)=0),"source key not found; ","")&amp;IF((COUNTIFS('أرقام التواصل'!$A$6:$A$505,"proposed_name",'أرقام التواصل'!$B$6:$B$505,A66,'أرقام التواصل'!$I$6:$I$505,"TRUE")+COUNTIFS('أرقام التواصل'!$A$6:$A$505,"proposed_name",'أرقام التواصل'!$B$6:$B$505,A66,'أرقام التواصل'!$C$6:$C$505,1))=0,"missing primary contact in أرقام التواصل; ","")&amp;IF(AND(U66="TRUE",V66=""),"duplicate_type required when duplicate_flag TRUE; ","")))))</f>
        <v/>
      </c>
    </row>
    <row r="67" spans="1:29">
      <c r="A67" s="36"/>
      <c r="B67" s="24"/>
      <c r="C67" s="25"/>
      <c r="D67" s="25"/>
      <c r="E67" s="25"/>
      <c r="F67" s="24"/>
      <c r="G67" s="25"/>
      <c r="H67" s="25"/>
      <c r="I67" s="25"/>
      <c r="J67" s="25"/>
      <c r="K67" s="25"/>
      <c r="L67" s="25"/>
      <c r="M67" s="25"/>
      <c r="N67" s="25" t="str">
        <f t="shared" si="0"/>
        <v/>
      </c>
      <c r="O67" s="25"/>
      <c r="P67" s="25"/>
      <c r="Q67" s="25"/>
      <c r="R67" s="25"/>
      <c r="S67" s="25"/>
      <c r="T67" s="25"/>
      <c r="U67" s="25"/>
      <c r="V67" s="25"/>
      <c r="W67" s="24"/>
      <c r="X67" s="24"/>
      <c r="Y67" s="25"/>
      <c r="Z67" s="25" t="str">
        <f>IF(B67="","",IFERROR(INDEX(الزبائن!$AZ$6:$AZ$505,MATCH(B67,الزبائن!$A$6:$A$505,0)),"source key not found"))</f>
        <v/>
      </c>
      <c r="AA67" s="25" t="str">
        <f>IF(B67="","",IFERROR(INDEX(الزبائن!$BA$6:$BA$505,MATCH(B67,الزبائن!$A$6:$A$505,0)),"source key not found"))</f>
        <v/>
      </c>
      <c r="AB67" s="25" t="str">
        <f>IF(AND(A67="",C67="",D67="",H67="",K67="",L67=""),"",IF(C67="skip","SKIP",IF(OR(A67="",C67="",D67="",H67="",K67="",L67="",S67="",COUNTIF($A$6:$A$505,A67)&gt;1,AND(B67&lt;&gt;"",COUNTIF(الزبائن!$A$6:$A$505,B67)=0),(COUNTIFS('أرقام التواصل'!$A$6:$A$505,"proposed_name",'أرقام التواصل'!$B$6:$B$505,A67,'أرقام التواصل'!$I$6:$I$505,"TRUE")+COUNTIFS('أرقام التواصل'!$A$6:$A$505,"proposed_name",'أرقام التواصل'!$B$6:$B$505,A67,'أرقام التواصل'!$C$6:$C$505,1))=0,AND(U67="TRUE",V67="")),"REVIEW","READY")))</f>
        <v/>
      </c>
      <c r="AC67" s="27" t="str">
        <f>IF(AB67="","",IF(AB67="READY","",IF(AB67="SKIP","Skipped by candidate_import_action",TRIM(IF(A67="","missing proposed_name_key; ","")&amp;IF(AND(A67&lt;&gt;"",COUNTIF($A$6:$A$505,A67)&gt;1),"duplicate proposed_name_key; ","")&amp;IF(C67="","missing candidate_import_action; ","")&amp;IF(D67="","missing move_reason; ","")&amp;IF(H67="","missing branch_id; ","")&amp;IF(K67="","missing first_name; ","")&amp;IF(L67="","missing last_name; ","")&amp;IF(S67="","missing status; ","")&amp;IF(AND(B67&lt;&gt;"",COUNTIF(الزبائن!$A$6:$A$505,B67)=0),"source key not found; ","")&amp;IF((COUNTIFS('أرقام التواصل'!$A$6:$A$505,"proposed_name",'أرقام التواصل'!$B$6:$B$505,A67,'أرقام التواصل'!$I$6:$I$505,"TRUE")+COUNTIFS('أرقام التواصل'!$A$6:$A$505,"proposed_name",'أرقام التواصل'!$B$6:$B$505,A67,'أرقام التواصل'!$C$6:$C$505,1))=0,"missing primary contact in أرقام التواصل; ","")&amp;IF(AND(U67="TRUE",V67=""),"duplicate_type required when duplicate_flag TRUE; ","")))))</f>
        <v/>
      </c>
    </row>
    <row r="68" spans="1:29">
      <c r="A68" s="36"/>
      <c r="B68" s="24"/>
      <c r="C68" s="25"/>
      <c r="D68" s="25"/>
      <c r="E68" s="25"/>
      <c r="F68" s="24"/>
      <c r="G68" s="25"/>
      <c r="H68" s="25"/>
      <c r="I68" s="25"/>
      <c r="J68" s="25"/>
      <c r="K68" s="25"/>
      <c r="L68" s="25"/>
      <c r="M68" s="25"/>
      <c r="N68" s="25" t="str">
        <f t="shared" si="0"/>
        <v/>
      </c>
      <c r="O68" s="25"/>
      <c r="P68" s="25"/>
      <c r="Q68" s="25"/>
      <c r="R68" s="25"/>
      <c r="S68" s="25"/>
      <c r="T68" s="25"/>
      <c r="U68" s="25"/>
      <c r="V68" s="25"/>
      <c r="W68" s="24"/>
      <c r="X68" s="24"/>
      <c r="Y68" s="25"/>
      <c r="Z68" s="25" t="str">
        <f>IF(B68="","",IFERROR(INDEX(الزبائن!$AZ$6:$AZ$505,MATCH(B68,الزبائن!$A$6:$A$505,0)),"source key not found"))</f>
        <v/>
      </c>
      <c r="AA68" s="25" t="str">
        <f>IF(B68="","",IFERROR(INDEX(الزبائن!$BA$6:$BA$505,MATCH(B68,الزبائن!$A$6:$A$505,0)),"source key not found"))</f>
        <v/>
      </c>
      <c r="AB68" s="25" t="str">
        <f>IF(AND(A68="",C68="",D68="",H68="",K68="",L68=""),"",IF(C68="skip","SKIP",IF(OR(A68="",C68="",D68="",H68="",K68="",L68="",S68="",COUNTIF($A$6:$A$505,A68)&gt;1,AND(B68&lt;&gt;"",COUNTIF(الزبائن!$A$6:$A$505,B68)=0),(COUNTIFS('أرقام التواصل'!$A$6:$A$505,"proposed_name",'أرقام التواصل'!$B$6:$B$505,A68,'أرقام التواصل'!$I$6:$I$505,"TRUE")+COUNTIFS('أرقام التواصل'!$A$6:$A$505,"proposed_name",'أرقام التواصل'!$B$6:$B$505,A68,'أرقام التواصل'!$C$6:$C$505,1))=0,AND(U68="TRUE",V68="")),"REVIEW","READY")))</f>
        <v/>
      </c>
      <c r="AC68" s="27" t="str">
        <f>IF(AB68="","",IF(AB68="READY","",IF(AB68="SKIP","Skipped by candidate_import_action",TRIM(IF(A68="","missing proposed_name_key; ","")&amp;IF(AND(A68&lt;&gt;"",COUNTIF($A$6:$A$505,A68)&gt;1),"duplicate proposed_name_key; ","")&amp;IF(C68="","missing candidate_import_action; ","")&amp;IF(D68="","missing move_reason; ","")&amp;IF(H68="","missing branch_id; ","")&amp;IF(K68="","missing first_name; ","")&amp;IF(L68="","missing last_name; ","")&amp;IF(S68="","missing status; ","")&amp;IF(AND(B68&lt;&gt;"",COUNTIF(الزبائن!$A$6:$A$505,B68)=0),"source key not found; ","")&amp;IF((COUNTIFS('أرقام التواصل'!$A$6:$A$505,"proposed_name",'أرقام التواصل'!$B$6:$B$505,A68,'أرقام التواصل'!$I$6:$I$505,"TRUE")+COUNTIFS('أرقام التواصل'!$A$6:$A$505,"proposed_name",'أرقام التواصل'!$B$6:$B$505,A68,'أرقام التواصل'!$C$6:$C$505,1))=0,"missing primary contact in أرقام التواصل; ","")&amp;IF(AND(U68="TRUE",V68=""),"duplicate_type required when duplicate_flag TRUE; ","")))))</f>
        <v/>
      </c>
    </row>
    <row r="69" spans="1:29">
      <c r="A69" s="36"/>
      <c r="B69" s="24"/>
      <c r="C69" s="25"/>
      <c r="D69" s="25"/>
      <c r="E69" s="25"/>
      <c r="F69" s="24"/>
      <c r="G69" s="25"/>
      <c r="H69" s="25"/>
      <c r="I69" s="25"/>
      <c r="J69" s="25"/>
      <c r="K69" s="25"/>
      <c r="L69" s="25"/>
      <c r="M69" s="25"/>
      <c r="N69" s="25" t="str">
        <f t="shared" si="0"/>
        <v/>
      </c>
      <c r="O69" s="25"/>
      <c r="P69" s="25"/>
      <c r="Q69" s="25"/>
      <c r="R69" s="25"/>
      <c r="S69" s="25"/>
      <c r="T69" s="25"/>
      <c r="U69" s="25"/>
      <c r="V69" s="25"/>
      <c r="W69" s="24"/>
      <c r="X69" s="24"/>
      <c r="Y69" s="25"/>
      <c r="Z69" s="25" t="str">
        <f>IF(B69="","",IFERROR(INDEX(الزبائن!$AZ$6:$AZ$505,MATCH(B69,الزبائن!$A$6:$A$505,0)),"source key not found"))</f>
        <v/>
      </c>
      <c r="AA69" s="25" t="str">
        <f>IF(B69="","",IFERROR(INDEX(الزبائن!$BA$6:$BA$505,MATCH(B69,الزبائن!$A$6:$A$505,0)),"source key not found"))</f>
        <v/>
      </c>
      <c r="AB69" s="25" t="str">
        <f>IF(AND(A69="",C69="",D69="",H69="",K69="",L69=""),"",IF(C69="skip","SKIP",IF(OR(A69="",C69="",D69="",H69="",K69="",L69="",S69="",COUNTIF($A$6:$A$505,A69)&gt;1,AND(B69&lt;&gt;"",COUNTIF(الزبائن!$A$6:$A$505,B69)=0),(COUNTIFS('أرقام التواصل'!$A$6:$A$505,"proposed_name",'أرقام التواصل'!$B$6:$B$505,A69,'أرقام التواصل'!$I$6:$I$505,"TRUE")+COUNTIFS('أرقام التواصل'!$A$6:$A$505,"proposed_name",'أرقام التواصل'!$B$6:$B$505,A69,'أرقام التواصل'!$C$6:$C$505,1))=0,AND(U69="TRUE",V69="")),"REVIEW","READY")))</f>
        <v/>
      </c>
      <c r="AC69" s="27" t="str">
        <f>IF(AB69="","",IF(AB69="READY","",IF(AB69="SKIP","Skipped by candidate_import_action",TRIM(IF(A69="","missing proposed_name_key; ","")&amp;IF(AND(A69&lt;&gt;"",COUNTIF($A$6:$A$505,A69)&gt;1),"duplicate proposed_name_key; ","")&amp;IF(C69="","missing candidate_import_action; ","")&amp;IF(D69="","missing move_reason; ","")&amp;IF(H69="","missing branch_id; ","")&amp;IF(K69="","missing first_name; ","")&amp;IF(L69="","missing last_name; ","")&amp;IF(S69="","missing status; ","")&amp;IF(AND(B69&lt;&gt;"",COUNTIF(الزبائن!$A$6:$A$505,B69)=0),"source key not found; ","")&amp;IF((COUNTIFS('أرقام التواصل'!$A$6:$A$505,"proposed_name",'أرقام التواصل'!$B$6:$B$505,A69,'أرقام التواصل'!$I$6:$I$505,"TRUE")+COUNTIFS('أرقام التواصل'!$A$6:$A$505,"proposed_name",'أرقام التواصل'!$B$6:$B$505,A69,'أرقام التواصل'!$C$6:$C$505,1))=0,"missing primary contact in أرقام التواصل; ","")&amp;IF(AND(U69="TRUE",V69=""),"duplicate_type required when duplicate_flag TRUE; ","")))))</f>
        <v/>
      </c>
    </row>
    <row r="70" spans="1:29">
      <c r="A70" s="36"/>
      <c r="B70" s="24"/>
      <c r="C70" s="25"/>
      <c r="D70" s="25"/>
      <c r="E70" s="25"/>
      <c r="F70" s="24"/>
      <c r="G70" s="25"/>
      <c r="H70" s="25"/>
      <c r="I70" s="25"/>
      <c r="J70" s="25"/>
      <c r="K70" s="25"/>
      <c r="L70" s="25"/>
      <c r="M70" s="25"/>
      <c r="N70" s="25" t="str">
        <f t="shared" ref="N70:N133" si="1">IF(TRIM(K70&amp;" "&amp;L70&amp;IF(M70&lt;&gt;""," ("&amp;M70&amp;")",""))="","",TRIM(K70&amp;" "&amp;L70&amp;IF(M70&lt;&gt;""," ("&amp;M70&amp;")","")))</f>
        <v/>
      </c>
      <c r="O70" s="25"/>
      <c r="P70" s="25"/>
      <c r="Q70" s="25"/>
      <c r="R70" s="25"/>
      <c r="S70" s="25"/>
      <c r="T70" s="25"/>
      <c r="U70" s="25"/>
      <c r="V70" s="25"/>
      <c r="W70" s="24"/>
      <c r="X70" s="24"/>
      <c r="Y70" s="25"/>
      <c r="Z70" s="25" t="str">
        <f>IF(B70="","",IFERROR(INDEX(الزبائن!$AZ$6:$AZ$505,MATCH(B70,الزبائن!$A$6:$A$505,0)),"source key not found"))</f>
        <v/>
      </c>
      <c r="AA70" s="25" t="str">
        <f>IF(B70="","",IFERROR(INDEX(الزبائن!$BA$6:$BA$505,MATCH(B70,الزبائن!$A$6:$A$505,0)),"source key not found"))</f>
        <v/>
      </c>
      <c r="AB70" s="25" t="str">
        <f>IF(AND(A70="",C70="",D70="",H70="",K70="",L70=""),"",IF(C70="skip","SKIP",IF(OR(A70="",C70="",D70="",H70="",K70="",L70="",S70="",COUNTIF($A$6:$A$505,A70)&gt;1,AND(B70&lt;&gt;"",COUNTIF(الزبائن!$A$6:$A$505,B70)=0),(COUNTIFS('أرقام التواصل'!$A$6:$A$505,"proposed_name",'أرقام التواصل'!$B$6:$B$505,A70,'أرقام التواصل'!$I$6:$I$505,"TRUE")+COUNTIFS('أرقام التواصل'!$A$6:$A$505,"proposed_name",'أرقام التواصل'!$B$6:$B$505,A70,'أرقام التواصل'!$C$6:$C$505,1))=0,AND(U70="TRUE",V70="")),"REVIEW","READY")))</f>
        <v/>
      </c>
      <c r="AC70" s="27" t="str">
        <f>IF(AB70="","",IF(AB70="READY","",IF(AB70="SKIP","Skipped by candidate_import_action",TRIM(IF(A70="","missing proposed_name_key; ","")&amp;IF(AND(A70&lt;&gt;"",COUNTIF($A$6:$A$505,A70)&gt;1),"duplicate proposed_name_key; ","")&amp;IF(C70="","missing candidate_import_action; ","")&amp;IF(D70="","missing move_reason; ","")&amp;IF(H70="","missing branch_id; ","")&amp;IF(K70="","missing first_name; ","")&amp;IF(L70="","missing last_name; ","")&amp;IF(S70="","missing status; ","")&amp;IF(AND(B70&lt;&gt;"",COUNTIF(الزبائن!$A$6:$A$505,B70)=0),"source key not found; ","")&amp;IF((COUNTIFS('أرقام التواصل'!$A$6:$A$505,"proposed_name",'أرقام التواصل'!$B$6:$B$505,A70,'أرقام التواصل'!$I$6:$I$505,"TRUE")+COUNTIFS('أرقام التواصل'!$A$6:$A$505,"proposed_name",'أرقام التواصل'!$B$6:$B$505,A70,'أرقام التواصل'!$C$6:$C$505,1))=0,"missing primary contact in أرقام التواصل; ","")&amp;IF(AND(U70="TRUE",V70=""),"duplicate_type required when duplicate_flag TRUE; ","")))))</f>
        <v/>
      </c>
    </row>
    <row r="71" spans="1:29">
      <c r="A71" s="36"/>
      <c r="B71" s="24"/>
      <c r="C71" s="25"/>
      <c r="D71" s="25"/>
      <c r="E71" s="25"/>
      <c r="F71" s="24"/>
      <c r="G71" s="25"/>
      <c r="H71" s="25"/>
      <c r="I71" s="25"/>
      <c r="J71" s="25"/>
      <c r="K71" s="25"/>
      <c r="L71" s="25"/>
      <c r="M71" s="25"/>
      <c r="N71" s="25" t="str">
        <f t="shared" si="1"/>
        <v/>
      </c>
      <c r="O71" s="25"/>
      <c r="P71" s="25"/>
      <c r="Q71" s="25"/>
      <c r="R71" s="25"/>
      <c r="S71" s="25"/>
      <c r="T71" s="25"/>
      <c r="U71" s="25"/>
      <c r="V71" s="25"/>
      <c r="W71" s="24"/>
      <c r="X71" s="24"/>
      <c r="Y71" s="25"/>
      <c r="Z71" s="25" t="str">
        <f>IF(B71="","",IFERROR(INDEX(الزبائن!$AZ$6:$AZ$505,MATCH(B71,الزبائن!$A$6:$A$505,0)),"source key not found"))</f>
        <v/>
      </c>
      <c r="AA71" s="25" t="str">
        <f>IF(B71="","",IFERROR(INDEX(الزبائن!$BA$6:$BA$505,MATCH(B71,الزبائن!$A$6:$A$505,0)),"source key not found"))</f>
        <v/>
      </c>
      <c r="AB71" s="25" t="str">
        <f>IF(AND(A71="",C71="",D71="",H71="",K71="",L71=""),"",IF(C71="skip","SKIP",IF(OR(A71="",C71="",D71="",H71="",K71="",L71="",S71="",COUNTIF($A$6:$A$505,A71)&gt;1,AND(B71&lt;&gt;"",COUNTIF(الزبائن!$A$6:$A$505,B71)=0),(COUNTIFS('أرقام التواصل'!$A$6:$A$505,"proposed_name",'أرقام التواصل'!$B$6:$B$505,A71,'أرقام التواصل'!$I$6:$I$505,"TRUE")+COUNTIFS('أرقام التواصل'!$A$6:$A$505,"proposed_name",'أرقام التواصل'!$B$6:$B$505,A71,'أرقام التواصل'!$C$6:$C$505,1))=0,AND(U71="TRUE",V71="")),"REVIEW","READY")))</f>
        <v/>
      </c>
      <c r="AC71" s="27" t="str">
        <f>IF(AB71="","",IF(AB71="READY","",IF(AB71="SKIP","Skipped by candidate_import_action",TRIM(IF(A71="","missing proposed_name_key; ","")&amp;IF(AND(A71&lt;&gt;"",COUNTIF($A$6:$A$505,A71)&gt;1),"duplicate proposed_name_key; ","")&amp;IF(C71="","missing candidate_import_action; ","")&amp;IF(D71="","missing move_reason; ","")&amp;IF(H71="","missing branch_id; ","")&amp;IF(K71="","missing first_name; ","")&amp;IF(L71="","missing last_name; ","")&amp;IF(S71="","missing status; ","")&amp;IF(AND(B71&lt;&gt;"",COUNTIF(الزبائن!$A$6:$A$505,B71)=0),"source key not found; ","")&amp;IF((COUNTIFS('أرقام التواصل'!$A$6:$A$505,"proposed_name",'أرقام التواصل'!$B$6:$B$505,A71,'أرقام التواصل'!$I$6:$I$505,"TRUE")+COUNTIFS('أرقام التواصل'!$A$6:$A$505,"proposed_name",'أرقام التواصل'!$B$6:$B$505,A71,'أرقام التواصل'!$C$6:$C$505,1))=0,"missing primary contact in أرقام التواصل; ","")&amp;IF(AND(U71="TRUE",V71=""),"duplicate_type required when duplicate_flag TRUE; ","")))))</f>
        <v/>
      </c>
    </row>
    <row r="72" spans="1:29">
      <c r="A72" s="36"/>
      <c r="B72" s="24"/>
      <c r="C72" s="25"/>
      <c r="D72" s="25"/>
      <c r="E72" s="25"/>
      <c r="F72" s="24"/>
      <c r="G72" s="25"/>
      <c r="H72" s="25"/>
      <c r="I72" s="25"/>
      <c r="J72" s="25"/>
      <c r="K72" s="25"/>
      <c r="L72" s="25"/>
      <c r="M72" s="25"/>
      <c r="N72" s="25" t="str">
        <f t="shared" si="1"/>
        <v/>
      </c>
      <c r="O72" s="25"/>
      <c r="P72" s="25"/>
      <c r="Q72" s="25"/>
      <c r="R72" s="25"/>
      <c r="S72" s="25"/>
      <c r="T72" s="25"/>
      <c r="U72" s="25"/>
      <c r="V72" s="25"/>
      <c r="W72" s="24"/>
      <c r="X72" s="24"/>
      <c r="Y72" s="25"/>
      <c r="Z72" s="25" t="str">
        <f>IF(B72="","",IFERROR(INDEX(الزبائن!$AZ$6:$AZ$505,MATCH(B72,الزبائن!$A$6:$A$505,0)),"source key not found"))</f>
        <v/>
      </c>
      <c r="AA72" s="25" t="str">
        <f>IF(B72="","",IFERROR(INDEX(الزبائن!$BA$6:$BA$505,MATCH(B72,الزبائن!$A$6:$A$505,0)),"source key not found"))</f>
        <v/>
      </c>
      <c r="AB72" s="25" t="str">
        <f>IF(AND(A72="",C72="",D72="",H72="",K72="",L72=""),"",IF(C72="skip","SKIP",IF(OR(A72="",C72="",D72="",H72="",K72="",L72="",S72="",COUNTIF($A$6:$A$505,A72)&gt;1,AND(B72&lt;&gt;"",COUNTIF(الزبائن!$A$6:$A$505,B72)=0),(COUNTIFS('أرقام التواصل'!$A$6:$A$505,"proposed_name",'أرقام التواصل'!$B$6:$B$505,A72,'أرقام التواصل'!$I$6:$I$505,"TRUE")+COUNTIFS('أرقام التواصل'!$A$6:$A$505,"proposed_name",'أرقام التواصل'!$B$6:$B$505,A72,'أرقام التواصل'!$C$6:$C$505,1))=0,AND(U72="TRUE",V72="")),"REVIEW","READY")))</f>
        <v/>
      </c>
      <c r="AC72" s="27" t="str">
        <f>IF(AB72="","",IF(AB72="READY","",IF(AB72="SKIP","Skipped by candidate_import_action",TRIM(IF(A72="","missing proposed_name_key; ","")&amp;IF(AND(A72&lt;&gt;"",COUNTIF($A$6:$A$505,A72)&gt;1),"duplicate proposed_name_key; ","")&amp;IF(C72="","missing candidate_import_action; ","")&amp;IF(D72="","missing move_reason; ","")&amp;IF(H72="","missing branch_id; ","")&amp;IF(K72="","missing first_name; ","")&amp;IF(L72="","missing last_name; ","")&amp;IF(S72="","missing status; ","")&amp;IF(AND(B72&lt;&gt;"",COUNTIF(الزبائن!$A$6:$A$505,B72)=0),"source key not found; ","")&amp;IF((COUNTIFS('أرقام التواصل'!$A$6:$A$505,"proposed_name",'أرقام التواصل'!$B$6:$B$505,A72,'أرقام التواصل'!$I$6:$I$505,"TRUE")+COUNTIFS('أرقام التواصل'!$A$6:$A$505,"proposed_name",'أرقام التواصل'!$B$6:$B$505,A72,'أرقام التواصل'!$C$6:$C$505,1))=0,"missing primary contact in أرقام التواصل; ","")&amp;IF(AND(U72="TRUE",V72=""),"duplicate_type required when duplicate_flag TRUE; ","")))))</f>
        <v/>
      </c>
    </row>
    <row r="73" spans="1:29">
      <c r="A73" s="36"/>
      <c r="B73" s="24"/>
      <c r="C73" s="25"/>
      <c r="D73" s="25"/>
      <c r="E73" s="25"/>
      <c r="F73" s="24"/>
      <c r="G73" s="25"/>
      <c r="H73" s="25"/>
      <c r="I73" s="25"/>
      <c r="J73" s="25"/>
      <c r="K73" s="25"/>
      <c r="L73" s="25"/>
      <c r="M73" s="25"/>
      <c r="N73" s="25" t="str">
        <f t="shared" si="1"/>
        <v/>
      </c>
      <c r="O73" s="25"/>
      <c r="P73" s="25"/>
      <c r="Q73" s="25"/>
      <c r="R73" s="25"/>
      <c r="S73" s="25"/>
      <c r="T73" s="25"/>
      <c r="U73" s="25"/>
      <c r="V73" s="25"/>
      <c r="W73" s="24"/>
      <c r="X73" s="24"/>
      <c r="Y73" s="25"/>
      <c r="Z73" s="25" t="str">
        <f>IF(B73="","",IFERROR(INDEX(الزبائن!$AZ$6:$AZ$505,MATCH(B73,الزبائن!$A$6:$A$505,0)),"source key not found"))</f>
        <v/>
      </c>
      <c r="AA73" s="25" t="str">
        <f>IF(B73="","",IFERROR(INDEX(الزبائن!$BA$6:$BA$505,MATCH(B73,الزبائن!$A$6:$A$505,0)),"source key not found"))</f>
        <v/>
      </c>
      <c r="AB73" s="25" t="str">
        <f>IF(AND(A73="",C73="",D73="",H73="",K73="",L73=""),"",IF(C73="skip","SKIP",IF(OR(A73="",C73="",D73="",H73="",K73="",L73="",S73="",COUNTIF($A$6:$A$505,A73)&gt;1,AND(B73&lt;&gt;"",COUNTIF(الزبائن!$A$6:$A$505,B73)=0),(COUNTIFS('أرقام التواصل'!$A$6:$A$505,"proposed_name",'أرقام التواصل'!$B$6:$B$505,A73,'أرقام التواصل'!$I$6:$I$505,"TRUE")+COUNTIFS('أرقام التواصل'!$A$6:$A$505,"proposed_name",'أرقام التواصل'!$B$6:$B$505,A73,'أرقام التواصل'!$C$6:$C$505,1))=0,AND(U73="TRUE",V73="")),"REVIEW","READY")))</f>
        <v/>
      </c>
      <c r="AC73" s="27" t="str">
        <f>IF(AB73="","",IF(AB73="READY","",IF(AB73="SKIP","Skipped by candidate_import_action",TRIM(IF(A73="","missing proposed_name_key; ","")&amp;IF(AND(A73&lt;&gt;"",COUNTIF($A$6:$A$505,A73)&gt;1),"duplicate proposed_name_key; ","")&amp;IF(C73="","missing candidate_import_action; ","")&amp;IF(D73="","missing move_reason; ","")&amp;IF(H73="","missing branch_id; ","")&amp;IF(K73="","missing first_name; ","")&amp;IF(L73="","missing last_name; ","")&amp;IF(S73="","missing status; ","")&amp;IF(AND(B73&lt;&gt;"",COUNTIF(الزبائن!$A$6:$A$505,B73)=0),"source key not found; ","")&amp;IF((COUNTIFS('أرقام التواصل'!$A$6:$A$505,"proposed_name",'أرقام التواصل'!$B$6:$B$505,A73,'أرقام التواصل'!$I$6:$I$505,"TRUE")+COUNTIFS('أرقام التواصل'!$A$6:$A$505,"proposed_name",'أرقام التواصل'!$B$6:$B$505,A73,'أرقام التواصل'!$C$6:$C$505,1))=0,"missing primary contact in أرقام التواصل; ","")&amp;IF(AND(U73="TRUE",V73=""),"duplicate_type required when duplicate_flag TRUE; ","")))))</f>
        <v/>
      </c>
    </row>
    <row r="74" spans="1:29">
      <c r="A74" s="36"/>
      <c r="B74" s="24"/>
      <c r="C74" s="25"/>
      <c r="D74" s="25"/>
      <c r="E74" s="25"/>
      <c r="F74" s="24"/>
      <c r="G74" s="25"/>
      <c r="H74" s="25"/>
      <c r="I74" s="25"/>
      <c r="J74" s="25"/>
      <c r="K74" s="25"/>
      <c r="L74" s="25"/>
      <c r="M74" s="25"/>
      <c r="N74" s="25" t="str">
        <f t="shared" si="1"/>
        <v/>
      </c>
      <c r="O74" s="25"/>
      <c r="P74" s="25"/>
      <c r="Q74" s="25"/>
      <c r="R74" s="25"/>
      <c r="S74" s="25"/>
      <c r="T74" s="25"/>
      <c r="U74" s="25"/>
      <c r="V74" s="25"/>
      <c r="W74" s="24"/>
      <c r="X74" s="24"/>
      <c r="Y74" s="25"/>
      <c r="Z74" s="25" t="str">
        <f>IF(B74="","",IFERROR(INDEX(الزبائن!$AZ$6:$AZ$505,MATCH(B74,الزبائن!$A$6:$A$505,0)),"source key not found"))</f>
        <v/>
      </c>
      <c r="AA74" s="25" t="str">
        <f>IF(B74="","",IFERROR(INDEX(الزبائن!$BA$6:$BA$505,MATCH(B74,الزبائن!$A$6:$A$505,0)),"source key not found"))</f>
        <v/>
      </c>
      <c r="AB74" s="25" t="str">
        <f>IF(AND(A74="",C74="",D74="",H74="",K74="",L74=""),"",IF(C74="skip","SKIP",IF(OR(A74="",C74="",D74="",H74="",K74="",L74="",S74="",COUNTIF($A$6:$A$505,A74)&gt;1,AND(B74&lt;&gt;"",COUNTIF(الزبائن!$A$6:$A$505,B74)=0),(COUNTIFS('أرقام التواصل'!$A$6:$A$505,"proposed_name",'أرقام التواصل'!$B$6:$B$505,A74,'أرقام التواصل'!$I$6:$I$505,"TRUE")+COUNTIFS('أرقام التواصل'!$A$6:$A$505,"proposed_name",'أرقام التواصل'!$B$6:$B$505,A74,'أرقام التواصل'!$C$6:$C$505,1))=0,AND(U74="TRUE",V74="")),"REVIEW","READY")))</f>
        <v/>
      </c>
      <c r="AC74" s="27" t="str">
        <f>IF(AB74="","",IF(AB74="READY","",IF(AB74="SKIP","Skipped by candidate_import_action",TRIM(IF(A74="","missing proposed_name_key; ","")&amp;IF(AND(A74&lt;&gt;"",COUNTIF($A$6:$A$505,A74)&gt;1),"duplicate proposed_name_key; ","")&amp;IF(C74="","missing candidate_import_action; ","")&amp;IF(D74="","missing move_reason; ","")&amp;IF(H74="","missing branch_id; ","")&amp;IF(K74="","missing first_name; ","")&amp;IF(L74="","missing last_name; ","")&amp;IF(S74="","missing status; ","")&amp;IF(AND(B74&lt;&gt;"",COUNTIF(الزبائن!$A$6:$A$505,B74)=0),"source key not found; ","")&amp;IF((COUNTIFS('أرقام التواصل'!$A$6:$A$505,"proposed_name",'أرقام التواصل'!$B$6:$B$505,A74,'أرقام التواصل'!$I$6:$I$505,"TRUE")+COUNTIFS('أرقام التواصل'!$A$6:$A$505,"proposed_name",'أرقام التواصل'!$B$6:$B$505,A74,'أرقام التواصل'!$C$6:$C$505,1))=0,"missing primary contact in أرقام التواصل; ","")&amp;IF(AND(U74="TRUE",V74=""),"duplicate_type required when duplicate_flag TRUE; ","")))))</f>
        <v/>
      </c>
    </row>
    <row r="75" spans="1:29">
      <c r="A75" s="36"/>
      <c r="B75" s="24"/>
      <c r="C75" s="25"/>
      <c r="D75" s="25"/>
      <c r="E75" s="25"/>
      <c r="F75" s="24"/>
      <c r="G75" s="25"/>
      <c r="H75" s="25"/>
      <c r="I75" s="25"/>
      <c r="J75" s="25"/>
      <c r="K75" s="25"/>
      <c r="L75" s="25"/>
      <c r="M75" s="25"/>
      <c r="N75" s="25" t="str">
        <f t="shared" si="1"/>
        <v/>
      </c>
      <c r="O75" s="25"/>
      <c r="P75" s="25"/>
      <c r="Q75" s="25"/>
      <c r="R75" s="25"/>
      <c r="S75" s="25"/>
      <c r="T75" s="25"/>
      <c r="U75" s="25"/>
      <c r="V75" s="25"/>
      <c r="W75" s="24"/>
      <c r="X75" s="24"/>
      <c r="Y75" s="25"/>
      <c r="Z75" s="25" t="str">
        <f>IF(B75="","",IFERROR(INDEX(الزبائن!$AZ$6:$AZ$505,MATCH(B75,الزبائن!$A$6:$A$505,0)),"source key not found"))</f>
        <v/>
      </c>
      <c r="AA75" s="25" t="str">
        <f>IF(B75="","",IFERROR(INDEX(الزبائن!$BA$6:$BA$505,MATCH(B75,الزبائن!$A$6:$A$505,0)),"source key not found"))</f>
        <v/>
      </c>
      <c r="AB75" s="25" t="str">
        <f>IF(AND(A75="",C75="",D75="",H75="",K75="",L75=""),"",IF(C75="skip","SKIP",IF(OR(A75="",C75="",D75="",H75="",K75="",L75="",S75="",COUNTIF($A$6:$A$505,A75)&gt;1,AND(B75&lt;&gt;"",COUNTIF(الزبائن!$A$6:$A$505,B75)=0),(COUNTIFS('أرقام التواصل'!$A$6:$A$505,"proposed_name",'أرقام التواصل'!$B$6:$B$505,A75,'أرقام التواصل'!$I$6:$I$505,"TRUE")+COUNTIFS('أرقام التواصل'!$A$6:$A$505,"proposed_name",'أرقام التواصل'!$B$6:$B$505,A75,'أرقام التواصل'!$C$6:$C$505,1))=0,AND(U75="TRUE",V75="")),"REVIEW","READY")))</f>
        <v/>
      </c>
      <c r="AC75" s="27" t="str">
        <f>IF(AB75="","",IF(AB75="READY","",IF(AB75="SKIP","Skipped by candidate_import_action",TRIM(IF(A75="","missing proposed_name_key; ","")&amp;IF(AND(A75&lt;&gt;"",COUNTIF($A$6:$A$505,A75)&gt;1),"duplicate proposed_name_key; ","")&amp;IF(C75="","missing candidate_import_action; ","")&amp;IF(D75="","missing move_reason; ","")&amp;IF(H75="","missing branch_id; ","")&amp;IF(K75="","missing first_name; ","")&amp;IF(L75="","missing last_name; ","")&amp;IF(S75="","missing status; ","")&amp;IF(AND(B75&lt;&gt;"",COUNTIF(الزبائن!$A$6:$A$505,B75)=0),"source key not found; ","")&amp;IF((COUNTIFS('أرقام التواصل'!$A$6:$A$505,"proposed_name",'أرقام التواصل'!$B$6:$B$505,A75,'أرقام التواصل'!$I$6:$I$505,"TRUE")+COUNTIFS('أرقام التواصل'!$A$6:$A$505,"proposed_name",'أرقام التواصل'!$B$6:$B$505,A75,'أرقام التواصل'!$C$6:$C$505,1))=0,"missing primary contact in أرقام التواصل; ","")&amp;IF(AND(U75="TRUE",V75=""),"duplicate_type required when duplicate_flag TRUE; ","")))))</f>
        <v/>
      </c>
    </row>
    <row r="76" spans="1:29">
      <c r="A76" s="36"/>
      <c r="B76" s="24"/>
      <c r="C76" s="25"/>
      <c r="D76" s="25"/>
      <c r="E76" s="25"/>
      <c r="F76" s="24"/>
      <c r="G76" s="25"/>
      <c r="H76" s="25"/>
      <c r="I76" s="25"/>
      <c r="J76" s="25"/>
      <c r="K76" s="25"/>
      <c r="L76" s="25"/>
      <c r="M76" s="25"/>
      <c r="N76" s="25" t="str">
        <f t="shared" si="1"/>
        <v/>
      </c>
      <c r="O76" s="25"/>
      <c r="P76" s="25"/>
      <c r="Q76" s="25"/>
      <c r="R76" s="25"/>
      <c r="S76" s="25"/>
      <c r="T76" s="25"/>
      <c r="U76" s="25"/>
      <c r="V76" s="25"/>
      <c r="W76" s="24"/>
      <c r="X76" s="24"/>
      <c r="Y76" s="25"/>
      <c r="Z76" s="25" t="str">
        <f>IF(B76="","",IFERROR(INDEX(الزبائن!$AZ$6:$AZ$505,MATCH(B76,الزبائن!$A$6:$A$505,0)),"source key not found"))</f>
        <v/>
      </c>
      <c r="AA76" s="25" t="str">
        <f>IF(B76="","",IFERROR(INDEX(الزبائن!$BA$6:$BA$505,MATCH(B76,الزبائن!$A$6:$A$505,0)),"source key not found"))</f>
        <v/>
      </c>
      <c r="AB76" s="25" t="str">
        <f>IF(AND(A76="",C76="",D76="",H76="",K76="",L76=""),"",IF(C76="skip","SKIP",IF(OR(A76="",C76="",D76="",H76="",K76="",L76="",S76="",COUNTIF($A$6:$A$505,A76)&gt;1,AND(B76&lt;&gt;"",COUNTIF(الزبائن!$A$6:$A$505,B76)=0),(COUNTIFS('أرقام التواصل'!$A$6:$A$505,"proposed_name",'أرقام التواصل'!$B$6:$B$505,A76,'أرقام التواصل'!$I$6:$I$505,"TRUE")+COUNTIFS('أرقام التواصل'!$A$6:$A$505,"proposed_name",'أرقام التواصل'!$B$6:$B$505,A76,'أرقام التواصل'!$C$6:$C$505,1))=0,AND(U76="TRUE",V76="")),"REVIEW","READY")))</f>
        <v/>
      </c>
      <c r="AC76" s="27" t="str">
        <f>IF(AB76="","",IF(AB76="READY","",IF(AB76="SKIP","Skipped by candidate_import_action",TRIM(IF(A76="","missing proposed_name_key; ","")&amp;IF(AND(A76&lt;&gt;"",COUNTIF($A$6:$A$505,A76)&gt;1),"duplicate proposed_name_key; ","")&amp;IF(C76="","missing candidate_import_action; ","")&amp;IF(D76="","missing move_reason; ","")&amp;IF(H76="","missing branch_id; ","")&amp;IF(K76="","missing first_name; ","")&amp;IF(L76="","missing last_name; ","")&amp;IF(S76="","missing status; ","")&amp;IF(AND(B76&lt;&gt;"",COUNTIF(الزبائن!$A$6:$A$505,B76)=0),"source key not found; ","")&amp;IF((COUNTIFS('أرقام التواصل'!$A$6:$A$505,"proposed_name",'أرقام التواصل'!$B$6:$B$505,A76,'أرقام التواصل'!$I$6:$I$505,"TRUE")+COUNTIFS('أرقام التواصل'!$A$6:$A$505,"proposed_name",'أرقام التواصل'!$B$6:$B$505,A76,'أرقام التواصل'!$C$6:$C$505,1))=0,"missing primary contact in أرقام التواصل; ","")&amp;IF(AND(U76="TRUE",V76=""),"duplicate_type required when duplicate_flag TRUE; ","")))))</f>
        <v/>
      </c>
    </row>
    <row r="77" spans="1:29">
      <c r="A77" s="36"/>
      <c r="B77" s="24"/>
      <c r="C77" s="25"/>
      <c r="D77" s="25"/>
      <c r="E77" s="25"/>
      <c r="F77" s="24"/>
      <c r="G77" s="25"/>
      <c r="H77" s="25"/>
      <c r="I77" s="25"/>
      <c r="J77" s="25"/>
      <c r="K77" s="25"/>
      <c r="L77" s="25"/>
      <c r="M77" s="25"/>
      <c r="N77" s="25" t="str">
        <f t="shared" si="1"/>
        <v/>
      </c>
      <c r="O77" s="25"/>
      <c r="P77" s="25"/>
      <c r="Q77" s="25"/>
      <c r="R77" s="25"/>
      <c r="S77" s="25"/>
      <c r="T77" s="25"/>
      <c r="U77" s="25"/>
      <c r="V77" s="25"/>
      <c r="W77" s="24"/>
      <c r="X77" s="24"/>
      <c r="Y77" s="25"/>
      <c r="Z77" s="25" t="str">
        <f>IF(B77="","",IFERROR(INDEX(الزبائن!$AZ$6:$AZ$505,MATCH(B77,الزبائن!$A$6:$A$505,0)),"source key not found"))</f>
        <v/>
      </c>
      <c r="AA77" s="25" t="str">
        <f>IF(B77="","",IFERROR(INDEX(الزبائن!$BA$6:$BA$505,MATCH(B77,الزبائن!$A$6:$A$505,0)),"source key not found"))</f>
        <v/>
      </c>
      <c r="AB77" s="25" t="str">
        <f>IF(AND(A77="",C77="",D77="",H77="",K77="",L77=""),"",IF(C77="skip","SKIP",IF(OR(A77="",C77="",D77="",H77="",K77="",L77="",S77="",COUNTIF($A$6:$A$505,A77)&gt;1,AND(B77&lt;&gt;"",COUNTIF(الزبائن!$A$6:$A$505,B77)=0),(COUNTIFS('أرقام التواصل'!$A$6:$A$505,"proposed_name",'أرقام التواصل'!$B$6:$B$505,A77,'أرقام التواصل'!$I$6:$I$505,"TRUE")+COUNTIFS('أرقام التواصل'!$A$6:$A$505,"proposed_name",'أرقام التواصل'!$B$6:$B$505,A77,'أرقام التواصل'!$C$6:$C$505,1))=0,AND(U77="TRUE",V77="")),"REVIEW","READY")))</f>
        <v/>
      </c>
      <c r="AC77" s="27" t="str">
        <f>IF(AB77="","",IF(AB77="READY","",IF(AB77="SKIP","Skipped by candidate_import_action",TRIM(IF(A77="","missing proposed_name_key; ","")&amp;IF(AND(A77&lt;&gt;"",COUNTIF($A$6:$A$505,A77)&gt;1),"duplicate proposed_name_key; ","")&amp;IF(C77="","missing candidate_import_action; ","")&amp;IF(D77="","missing move_reason; ","")&amp;IF(H77="","missing branch_id; ","")&amp;IF(K77="","missing first_name; ","")&amp;IF(L77="","missing last_name; ","")&amp;IF(S77="","missing status; ","")&amp;IF(AND(B77&lt;&gt;"",COUNTIF(الزبائن!$A$6:$A$505,B77)=0),"source key not found; ","")&amp;IF((COUNTIFS('أرقام التواصل'!$A$6:$A$505,"proposed_name",'أرقام التواصل'!$B$6:$B$505,A77,'أرقام التواصل'!$I$6:$I$505,"TRUE")+COUNTIFS('أرقام التواصل'!$A$6:$A$505,"proposed_name",'أرقام التواصل'!$B$6:$B$505,A77,'أرقام التواصل'!$C$6:$C$505,1))=0,"missing primary contact in أرقام التواصل; ","")&amp;IF(AND(U77="TRUE",V77=""),"duplicate_type required when duplicate_flag TRUE; ","")))))</f>
        <v/>
      </c>
    </row>
    <row r="78" spans="1:29">
      <c r="A78" s="36"/>
      <c r="B78" s="24"/>
      <c r="C78" s="25"/>
      <c r="D78" s="25"/>
      <c r="E78" s="25"/>
      <c r="F78" s="24"/>
      <c r="G78" s="25"/>
      <c r="H78" s="25"/>
      <c r="I78" s="25"/>
      <c r="J78" s="25"/>
      <c r="K78" s="25"/>
      <c r="L78" s="25"/>
      <c r="M78" s="25"/>
      <c r="N78" s="25" t="str">
        <f t="shared" si="1"/>
        <v/>
      </c>
      <c r="O78" s="25"/>
      <c r="P78" s="25"/>
      <c r="Q78" s="25"/>
      <c r="R78" s="25"/>
      <c r="S78" s="25"/>
      <c r="T78" s="25"/>
      <c r="U78" s="25"/>
      <c r="V78" s="25"/>
      <c r="W78" s="24"/>
      <c r="X78" s="24"/>
      <c r="Y78" s="25"/>
      <c r="Z78" s="25" t="str">
        <f>IF(B78="","",IFERROR(INDEX(الزبائن!$AZ$6:$AZ$505,MATCH(B78,الزبائن!$A$6:$A$505,0)),"source key not found"))</f>
        <v/>
      </c>
      <c r="AA78" s="25" t="str">
        <f>IF(B78="","",IFERROR(INDEX(الزبائن!$BA$6:$BA$505,MATCH(B78,الزبائن!$A$6:$A$505,0)),"source key not found"))</f>
        <v/>
      </c>
      <c r="AB78" s="25" t="str">
        <f>IF(AND(A78="",C78="",D78="",H78="",K78="",L78=""),"",IF(C78="skip","SKIP",IF(OR(A78="",C78="",D78="",H78="",K78="",L78="",S78="",COUNTIF($A$6:$A$505,A78)&gt;1,AND(B78&lt;&gt;"",COUNTIF(الزبائن!$A$6:$A$505,B78)=0),(COUNTIFS('أرقام التواصل'!$A$6:$A$505,"proposed_name",'أرقام التواصل'!$B$6:$B$505,A78,'أرقام التواصل'!$I$6:$I$505,"TRUE")+COUNTIFS('أرقام التواصل'!$A$6:$A$505,"proposed_name",'أرقام التواصل'!$B$6:$B$505,A78,'أرقام التواصل'!$C$6:$C$505,1))=0,AND(U78="TRUE",V78="")),"REVIEW","READY")))</f>
        <v/>
      </c>
      <c r="AC78" s="27" t="str">
        <f>IF(AB78="","",IF(AB78="READY","",IF(AB78="SKIP","Skipped by candidate_import_action",TRIM(IF(A78="","missing proposed_name_key; ","")&amp;IF(AND(A78&lt;&gt;"",COUNTIF($A$6:$A$505,A78)&gt;1),"duplicate proposed_name_key; ","")&amp;IF(C78="","missing candidate_import_action; ","")&amp;IF(D78="","missing move_reason; ","")&amp;IF(H78="","missing branch_id; ","")&amp;IF(K78="","missing first_name; ","")&amp;IF(L78="","missing last_name; ","")&amp;IF(S78="","missing status; ","")&amp;IF(AND(B78&lt;&gt;"",COUNTIF(الزبائن!$A$6:$A$505,B78)=0),"source key not found; ","")&amp;IF((COUNTIFS('أرقام التواصل'!$A$6:$A$505,"proposed_name",'أرقام التواصل'!$B$6:$B$505,A78,'أرقام التواصل'!$I$6:$I$505,"TRUE")+COUNTIFS('أرقام التواصل'!$A$6:$A$505,"proposed_name",'أرقام التواصل'!$B$6:$B$505,A78,'أرقام التواصل'!$C$6:$C$505,1))=0,"missing primary contact in أرقام التواصل; ","")&amp;IF(AND(U78="TRUE",V78=""),"duplicate_type required when duplicate_flag TRUE; ","")))))</f>
        <v/>
      </c>
    </row>
    <row r="79" spans="1:29">
      <c r="A79" s="36"/>
      <c r="B79" s="24"/>
      <c r="C79" s="25"/>
      <c r="D79" s="25"/>
      <c r="E79" s="25"/>
      <c r="F79" s="24"/>
      <c r="G79" s="25"/>
      <c r="H79" s="25"/>
      <c r="I79" s="25"/>
      <c r="J79" s="25"/>
      <c r="K79" s="25"/>
      <c r="L79" s="25"/>
      <c r="M79" s="25"/>
      <c r="N79" s="25" t="str">
        <f t="shared" si="1"/>
        <v/>
      </c>
      <c r="O79" s="25"/>
      <c r="P79" s="25"/>
      <c r="Q79" s="25"/>
      <c r="R79" s="25"/>
      <c r="S79" s="25"/>
      <c r="T79" s="25"/>
      <c r="U79" s="25"/>
      <c r="V79" s="25"/>
      <c r="W79" s="24"/>
      <c r="X79" s="24"/>
      <c r="Y79" s="25"/>
      <c r="Z79" s="25" t="str">
        <f>IF(B79="","",IFERROR(INDEX(الزبائن!$AZ$6:$AZ$505,MATCH(B79,الزبائن!$A$6:$A$505,0)),"source key not found"))</f>
        <v/>
      </c>
      <c r="AA79" s="25" t="str">
        <f>IF(B79="","",IFERROR(INDEX(الزبائن!$BA$6:$BA$505,MATCH(B79,الزبائن!$A$6:$A$505,0)),"source key not found"))</f>
        <v/>
      </c>
      <c r="AB79" s="25" t="str">
        <f>IF(AND(A79="",C79="",D79="",H79="",K79="",L79=""),"",IF(C79="skip","SKIP",IF(OR(A79="",C79="",D79="",H79="",K79="",L79="",S79="",COUNTIF($A$6:$A$505,A79)&gt;1,AND(B79&lt;&gt;"",COUNTIF(الزبائن!$A$6:$A$505,B79)=0),(COUNTIFS('أرقام التواصل'!$A$6:$A$505,"proposed_name",'أرقام التواصل'!$B$6:$B$505,A79,'أرقام التواصل'!$I$6:$I$505,"TRUE")+COUNTIFS('أرقام التواصل'!$A$6:$A$505,"proposed_name",'أرقام التواصل'!$B$6:$B$505,A79,'أرقام التواصل'!$C$6:$C$505,1))=0,AND(U79="TRUE",V79="")),"REVIEW","READY")))</f>
        <v/>
      </c>
      <c r="AC79" s="27" t="str">
        <f>IF(AB79="","",IF(AB79="READY","",IF(AB79="SKIP","Skipped by candidate_import_action",TRIM(IF(A79="","missing proposed_name_key; ","")&amp;IF(AND(A79&lt;&gt;"",COUNTIF($A$6:$A$505,A79)&gt;1),"duplicate proposed_name_key; ","")&amp;IF(C79="","missing candidate_import_action; ","")&amp;IF(D79="","missing move_reason; ","")&amp;IF(H79="","missing branch_id; ","")&amp;IF(K79="","missing first_name; ","")&amp;IF(L79="","missing last_name; ","")&amp;IF(S79="","missing status; ","")&amp;IF(AND(B79&lt;&gt;"",COUNTIF(الزبائن!$A$6:$A$505,B79)=0),"source key not found; ","")&amp;IF((COUNTIFS('أرقام التواصل'!$A$6:$A$505,"proposed_name",'أرقام التواصل'!$B$6:$B$505,A79,'أرقام التواصل'!$I$6:$I$505,"TRUE")+COUNTIFS('أرقام التواصل'!$A$6:$A$505,"proposed_name",'أرقام التواصل'!$B$6:$B$505,A79,'أرقام التواصل'!$C$6:$C$505,1))=0,"missing primary contact in أرقام التواصل; ","")&amp;IF(AND(U79="TRUE",V79=""),"duplicate_type required when duplicate_flag TRUE; ","")))))</f>
        <v/>
      </c>
    </row>
    <row r="80" spans="1:29">
      <c r="A80" s="36"/>
      <c r="B80" s="24"/>
      <c r="C80" s="25"/>
      <c r="D80" s="25"/>
      <c r="E80" s="25"/>
      <c r="F80" s="24"/>
      <c r="G80" s="25"/>
      <c r="H80" s="25"/>
      <c r="I80" s="25"/>
      <c r="J80" s="25"/>
      <c r="K80" s="25"/>
      <c r="L80" s="25"/>
      <c r="M80" s="25"/>
      <c r="N80" s="25" t="str">
        <f t="shared" si="1"/>
        <v/>
      </c>
      <c r="O80" s="25"/>
      <c r="P80" s="25"/>
      <c r="Q80" s="25"/>
      <c r="R80" s="25"/>
      <c r="S80" s="25"/>
      <c r="T80" s="25"/>
      <c r="U80" s="25"/>
      <c r="V80" s="25"/>
      <c r="W80" s="24"/>
      <c r="X80" s="24"/>
      <c r="Y80" s="25"/>
      <c r="Z80" s="25" t="str">
        <f>IF(B80="","",IFERROR(INDEX(الزبائن!$AZ$6:$AZ$505,MATCH(B80,الزبائن!$A$6:$A$505,0)),"source key not found"))</f>
        <v/>
      </c>
      <c r="AA80" s="25" t="str">
        <f>IF(B80="","",IFERROR(INDEX(الزبائن!$BA$6:$BA$505,MATCH(B80,الزبائن!$A$6:$A$505,0)),"source key not found"))</f>
        <v/>
      </c>
      <c r="AB80" s="25" t="str">
        <f>IF(AND(A80="",C80="",D80="",H80="",K80="",L80=""),"",IF(C80="skip","SKIP",IF(OR(A80="",C80="",D80="",H80="",K80="",L80="",S80="",COUNTIF($A$6:$A$505,A80)&gt;1,AND(B80&lt;&gt;"",COUNTIF(الزبائن!$A$6:$A$505,B80)=0),(COUNTIFS('أرقام التواصل'!$A$6:$A$505,"proposed_name",'أرقام التواصل'!$B$6:$B$505,A80,'أرقام التواصل'!$I$6:$I$505,"TRUE")+COUNTIFS('أرقام التواصل'!$A$6:$A$505,"proposed_name",'أرقام التواصل'!$B$6:$B$505,A80,'أرقام التواصل'!$C$6:$C$505,1))=0,AND(U80="TRUE",V80="")),"REVIEW","READY")))</f>
        <v/>
      </c>
      <c r="AC80" s="27" t="str">
        <f>IF(AB80="","",IF(AB80="READY","",IF(AB80="SKIP","Skipped by candidate_import_action",TRIM(IF(A80="","missing proposed_name_key; ","")&amp;IF(AND(A80&lt;&gt;"",COUNTIF($A$6:$A$505,A80)&gt;1),"duplicate proposed_name_key; ","")&amp;IF(C80="","missing candidate_import_action; ","")&amp;IF(D80="","missing move_reason; ","")&amp;IF(H80="","missing branch_id; ","")&amp;IF(K80="","missing first_name; ","")&amp;IF(L80="","missing last_name; ","")&amp;IF(S80="","missing status; ","")&amp;IF(AND(B80&lt;&gt;"",COUNTIF(الزبائن!$A$6:$A$505,B80)=0),"source key not found; ","")&amp;IF((COUNTIFS('أرقام التواصل'!$A$6:$A$505,"proposed_name",'أرقام التواصل'!$B$6:$B$505,A80,'أرقام التواصل'!$I$6:$I$505,"TRUE")+COUNTIFS('أرقام التواصل'!$A$6:$A$505,"proposed_name",'أرقام التواصل'!$B$6:$B$505,A80,'أرقام التواصل'!$C$6:$C$505,1))=0,"missing primary contact in أرقام التواصل; ","")&amp;IF(AND(U80="TRUE",V80=""),"duplicate_type required when duplicate_flag TRUE; ","")))))</f>
        <v/>
      </c>
    </row>
    <row r="81" spans="1:29">
      <c r="A81" s="36"/>
      <c r="B81" s="24"/>
      <c r="C81" s="25"/>
      <c r="D81" s="25"/>
      <c r="E81" s="25"/>
      <c r="F81" s="24"/>
      <c r="G81" s="25"/>
      <c r="H81" s="25"/>
      <c r="I81" s="25"/>
      <c r="J81" s="25"/>
      <c r="K81" s="25"/>
      <c r="L81" s="25"/>
      <c r="M81" s="25"/>
      <c r="N81" s="25" t="str">
        <f t="shared" si="1"/>
        <v/>
      </c>
      <c r="O81" s="25"/>
      <c r="P81" s="25"/>
      <c r="Q81" s="25"/>
      <c r="R81" s="25"/>
      <c r="S81" s="25"/>
      <c r="T81" s="25"/>
      <c r="U81" s="25"/>
      <c r="V81" s="25"/>
      <c r="W81" s="24"/>
      <c r="X81" s="24"/>
      <c r="Y81" s="25"/>
      <c r="Z81" s="25" t="str">
        <f>IF(B81="","",IFERROR(INDEX(الزبائن!$AZ$6:$AZ$505,MATCH(B81,الزبائن!$A$6:$A$505,0)),"source key not found"))</f>
        <v/>
      </c>
      <c r="AA81" s="25" t="str">
        <f>IF(B81="","",IFERROR(INDEX(الزبائن!$BA$6:$BA$505,MATCH(B81,الزبائن!$A$6:$A$505,0)),"source key not found"))</f>
        <v/>
      </c>
      <c r="AB81" s="25" t="str">
        <f>IF(AND(A81="",C81="",D81="",H81="",K81="",L81=""),"",IF(C81="skip","SKIP",IF(OR(A81="",C81="",D81="",H81="",K81="",L81="",S81="",COUNTIF($A$6:$A$505,A81)&gt;1,AND(B81&lt;&gt;"",COUNTIF(الزبائن!$A$6:$A$505,B81)=0),(COUNTIFS('أرقام التواصل'!$A$6:$A$505,"proposed_name",'أرقام التواصل'!$B$6:$B$505,A81,'أرقام التواصل'!$I$6:$I$505,"TRUE")+COUNTIFS('أرقام التواصل'!$A$6:$A$505,"proposed_name",'أرقام التواصل'!$B$6:$B$505,A81,'أرقام التواصل'!$C$6:$C$505,1))=0,AND(U81="TRUE",V81="")),"REVIEW","READY")))</f>
        <v/>
      </c>
      <c r="AC81" s="27" t="str">
        <f>IF(AB81="","",IF(AB81="READY","",IF(AB81="SKIP","Skipped by candidate_import_action",TRIM(IF(A81="","missing proposed_name_key; ","")&amp;IF(AND(A81&lt;&gt;"",COUNTIF($A$6:$A$505,A81)&gt;1),"duplicate proposed_name_key; ","")&amp;IF(C81="","missing candidate_import_action; ","")&amp;IF(D81="","missing move_reason; ","")&amp;IF(H81="","missing branch_id; ","")&amp;IF(K81="","missing first_name; ","")&amp;IF(L81="","missing last_name; ","")&amp;IF(S81="","missing status; ","")&amp;IF(AND(B81&lt;&gt;"",COUNTIF(الزبائن!$A$6:$A$505,B81)=0),"source key not found; ","")&amp;IF((COUNTIFS('أرقام التواصل'!$A$6:$A$505,"proposed_name",'أرقام التواصل'!$B$6:$B$505,A81,'أرقام التواصل'!$I$6:$I$505,"TRUE")+COUNTIFS('أرقام التواصل'!$A$6:$A$505,"proposed_name",'أرقام التواصل'!$B$6:$B$505,A81,'أرقام التواصل'!$C$6:$C$505,1))=0,"missing primary contact in أرقام التواصل; ","")&amp;IF(AND(U81="TRUE",V81=""),"duplicate_type required when duplicate_flag TRUE; ","")))))</f>
        <v/>
      </c>
    </row>
    <row r="82" spans="1:29">
      <c r="A82" s="36"/>
      <c r="B82" s="24"/>
      <c r="C82" s="25"/>
      <c r="D82" s="25"/>
      <c r="E82" s="25"/>
      <c r="F82" s="24"/>
      <c r="G82" s="25"/>
      <c r="H82" s="25"/>
      <c r="I82" s="25"/>
      <c r="J82" s="25"/>
      <c r="K82" s="25"/>
      <c r="L82" s="25"/>
      <c r="M82" s="25"/>
      <c r="N82" s="25" t="str">
        <f t="shared" si="1"/>
        <v/>
      </c>
      <c r="O82" s="25"/>
      <c r="P82" s="25"/>
      <c r="Q82" s="25"/>
      <c r="R82" s="25"/>
      <c r="S82" s="25"/>
      <c r="T82" s="25"/>
      <c r="U82" s="25"/>
      <c r="V82" s="25"/>
      <c r="W82" s="24"/>
      <c r="X82" s="24"/>
      <c r="Y82" s="25"/>
      <c r="Z82" s="25" t="str">
        <f>IF(B82="","",IFERROR(INDEX(الزبائن!$AZ$6:$AZ$505,MATCH(B82,الزبائن!$A$6:$A$505,0)),"source key not found"))</f>
        <v/>
      </c>
      <c r="AA82" s="25" t="str">
        <f>IF(B82="","",IFERROR(INDEX(الزبائن!$BA$6:$BA$505,MATCH(B82,الزبائن!$A$6:$A$505,0)),"source key not found"))</f>
        <v/>
      </c>
      <c r="AB82" s="25" t="str">
        <f>IF(AND(A82="",C82="",D82="",H82="",K82="",L82=""),"",IF(C82="skip","SKIP",IF(OR(A82="",C82="",D82="",H82="",K82="",L82="",S82="",COUNTIF($A$6:$A$505,A82)&gt;1,AND(B82&lt;&gt;"",COUNTIF(الزبائن!$A$6:$A$505,B82)=0),(COUNTIFS('أرقام التواصل'!$A$6:$A$505,"proposed_name",'أرقام التواصل'!$B$6:$B$505,A82,'أرقام التواصل'!$I$6:$I$505,"TRUE")+COUNTIFS('أرقام التواصل'!$A$6:$A$505,"proposed_name",'أرقام التواصل'!$B$6:$B$505,A82,'أرقام التواصل'!$C$6:$C$505,1))=0,AND(U82="TRUE",V82="")),"REVIEW","READY")))</f>
        <v/>
      </c>
      <c r="AC82" s="27" t="str">
        <f>IF(AB82="","",IF(AB82="READY","",IF(AB82="SKIP","Skipped by candidate_import_action",TRIM(IF(A82="","missing proposed_name_key; ","")&amp;IF(AND(A82&lt;&gt;"",COUNTIF($A$6:$A$505,A82)&gt;1),"duplicate proposed_name_key; ","")&amp;IF(C82="","missing candidate_import_action; ","")&amp;IF(D82="","missing move_reason; ","")&amp;IF(H82="","missing branch_id; ","")&amp;IF(K82="","missing first_name; ","")&amp;IF(L82="","missing last_name; ","")&amp;IF(S82="","missing status; ","")&amp;IF(AND(B82&lt;&gt;"",COUNTIF(الزبائن!$A$6:$A$505,B82)=0),"source key not found; ","")&amp;IF((COUNTIFS('أرقام التواصل'!$A$6:$A$505,"proposed_name",'أرقام التواصل'!$B$6:$B$505,A82,'أرقام التواصل'!$I$6:$I$505,"TRUE")+COUNTIFS('أرقام التواصل'!$A$6:$A$505,"proposed_name",'أرقام التواصل'!$B$6:$B$505,A82,'أرقام التواصل'!$C$6:$C$505,1))=0,"missing primary contact in أرقام التواصل; ","")&amp;IF(AND(U82="TRUE",V82=""),"duplicate_type required when duplicate_flag TRUE; ","")))))</f>
        <v/>
      </c>
    </row>
    <row r="83" spans="1:29">
      <c r="A83" s="36"/>
      <c r="B83" s="24"/>
      <c r="C83" s="25"/>
      <c r="D83" s="25"/>
      <c r="E83" s="25"/>
      <c r="F83" s="24"/>
      <c r="G83" s="25"/>
      <c r="H83" s="25"/>
      <c r="I83" s="25"/>
      <c r="J83" s="25"/>
      <c r="K83" s="25"/>
      <c r="L83" s="25"/>
      <c r="M83" s="25"/>
      <c r="N83" s="25" t="str">
        <f t="shared" si="1"/>
        <v/>
      </c>
      <c r="O83" s="25"/>
      <c r="P83" s="25"/>
      <c r="Q83" s="25"/>
      <c r="R83" s="25"/>
      <c r="S83" s="25"/>
      <c r="T83" s="25"/>
      <c r="U83" s="25"/>
      <c r="V83" s="25"/>
      <c r="W83" s="24"/>
      <c r="X83" s="24"/>
      <c r="Y83" s="25"/>
      <c r="Z83" s="25" t="str">
        <f>IF(B83="","",IFERROR(INDEX(الزبائن!$AZ$6:$AZ$505,MATCH(B83,الزبائن!$A$6:$A$505,0)),"source key not found"))</f>
        <v/>
      </c>
      <c r="AA83" s="25" t="str">
        <f>IF(B83="","",IFERROR(INDEX(الزبائن!$BA$6:$BA$505,MATCH(B83,الزبائن!$A$6:$A$505,0)),"source key not found"))</f>
        <v/>
      </c>
      <c r="AB83" s="25" t="str">
        <f>IF(AND(A83="",C83="",D83="",H83="",K83="",L83=""),"",IF(C83="skip","SKIP",IF(OR(A83="",C83="",D83="",H83="",K83="",L83="",S83="",COUNTIF($A$6:$A$505,A83)&gt;1,AND(B83&lt;&gt;"",COUNTIF(الزبائن!$A$6:$A$505,B83)=0),(COUNTIFS('أرقام التواصل'!$A$6:$A$505,"proposed_name",'أرقام التواصل'!$B$6:$B$505,A83,'أرقام التواصل'!$I$6:$I$505,"TRUE")+COUNTIFS('أرقام التواصل'!$A$6:$A$505,"proposed_name",'أرقام التواصل'!$B$6:$B$505,A83,'أرقام التواصل'!$C$6:$C$505,1))=0,AND(U83="TRUE",V83="")),"REVIEW","READY")))</f>
        <v/>
      </c>
      <c r="AC83" s="27" t="str">
        <f>IF(AB83="","",IF(AB83="READY","",IF(AB83="SKIP","Skipped by candidate_import_action",TRIM(IF(A83="","missing proposed_name_key; ","")&amp;IF(AND(A83&lt;&gt;"",COUNTIF($A$6:$A$505,A83)&gt;1),"duplicate proposed_name_key; ","")&amp;IF(C83="","missing candidate_import_action; ","")&amp;IF(D83="","missing move_reason; ","")&amp;IF(H83="","missing branch_id; ","")&amp;IF(K83="","missing first_name; ","")&amp;IF(L83="","missing last_name; ","")&amp;IF(S83="","missing status; ","")&amp;IF(AND(B83&lt;&gt;"",COUNTIF(الزبائن!$A$6:$A$505,B83)=0),"source key not found; ","")&amp;IF((COUNTIFS('أرقام التواصل'!$A$6:$A$505,"proposed_name",'أرقام التواصل'!$B$6:$B$505,A83,'أرقام التواصل'!$I$6:$I$505,"TRUE")+COUNTIFS('أرقام التواصل'!$A$6:$A$505,"proposed_name",'أرقام التواصل'!$B$6:$B$505,A83,'أرقام التواصل'!$C$6:$C$505,1))=0,"missing primary contact in أرقام التواصل; ","")&amp;IF(AND(U83="TRUE",V83=""),"duplicate_type required when duplicate_flag TRUE; ","")))))</f>
        <v/>
      </c>
    </row>
    <row r="84" spans="1:29">
      <c r="A84" s="36"/>
      <c r="B84" s="24"/>
      <c r="C84" s="25"/>
      <c r="D84" s="25"/>
      <c r="E84" s="25"/>
      <c r="F84" s="24"/>
      <c r="G84" s="25"/>
      <c r="H84" s="25"/>
      <c r="I84" s="25"/>
      <c r="J84" s="25"/>
      <c r="K84" s="25"/>
      <c r="L84" s="25"/>
      <c r="M84" s="25"/>
      <c r="N84" s="25" t="str">
        <f t="shared" si="1"/>
        <v/>
      </c>
      <c r="O84" s="25"/>
      <c r="P84" s="25"/>
      <c r="Q84" s="25"/>
      <c r="R84" s="25"/>
      <c r="S84" s="25"/>
      <c r="T84" s="25"/>
      <c r="U84" s="25"/>
      <c r="V84" s="25"/>
      <c r="W84" s="24"/>
      <c r="X84" s="24"/>
      <c r="Y84" s="25"/>
      <c r="Z84" s="25" t="str">
        <f>IF(B84="","",IFERROR(INDEX(الزبائن!$AZ$6:$AZ$505,MATCH(B84,الزبائن!$A$6:$A$505,0)),"source key not found"))</f>
        <v/>
      </c>
      <c r="AA84" s="25" t="str">
        <f>IF(B84="","",IFERROR(INDEX(الزبائن!$BA$6:$BA$505,MATCH(B84,الزبائن!$A$6:$A$505,0)),"source key not found"))</f>
        <v/>
      </c>
      <c r="AB84" s="25" t="str">
        <f>IF(AND(A84="",C84="",D84="",H84="",K84="",L84=""),"",IF(C84="skip","SKIP",IF(OR(A84="",C84="",D84="",H84="",K84="",L84="",S84="",COUNTIF($A$6:$A$505,A84)&gt;1,AND(B84&lt;&gt;"",COUNTIF(الزبائن!$A$6:$A$505,B84)=0),(COUNTIFS('أرقام التواصل'!$A$6:$A$505,"proposed_name",'أرقام التواصل'!$B$6:$B$505,A84,'أرقام التواصل'!$I$6:$I$505,"TRUE")+COUNTIFS('أرقام التواصل'!$A$6:$A$505,"proposed_name",'أرقام التواصل'!$B$6:$B$505,A84,'أرقام التواصل'!$C$6:$C$505,1))=0,AND(U84="TRUE",V84="")),"REVIEW","READY")))</f>
        <v/>
      </c>
      <c r="AC84" s="27" t="str">
        <f>IF(AB84="","",IF(AB84="READY","",IF(AB84="SKIP","Skipped by candidate_import_action",TRIM(IF(A84="","missing proposed_name_key; ","")&amp;IF(AND(A84&lt;&gt;"",COUNTIF($A$6:$A$505,A84)&gt;1),"duplicate proposed_name_key; ","")&amp;IF(C84="","missing candidate_import_action; ","")&amp;IF(D84="","missing move_reason; ","")&amp;IF(H84="","missing branch_id; ","")&amp;IF(K84="","missing first_name; ","")&amp;IF(L84="","missing last_name; ","")&amp;IF(S84="","missing status; ","")&amp;IF(AND(B84&lt;&gt;"",COUNTIF(الزبائن!$A$6:$A$505,B84)=0),"source key not found; ","")&amp;IF((COUNTIFS('أرقام التواصل'!$A$6:$A$505,"proposed_name",'أرقام التواصل'!$B$6:$B$505,A84,'أرقام التواصل'!$I$6:$I$505,"TRUE")+COUNTIFS('أرقام التواصل'!$A$6:$A$505,"proposed_name",'أرقام التواصل'!$B$6:$B$505,A84,'أرقام التواصل'!$C$6:$C$505,1))=0,"missing primary contact in أرقام التواصل; ","")&amp;IF(AND(U84="TRUE",V84=""),"duplicate_type required when duplicate_flag TRUE; ","")))))</f>
        <v/>
      </c>
    </row>
    <row r="85" spans="1:29">
      <c r="A85" s="36"/>
      <c r="B85" s="24"/>
      <c r="C85" s="25"/>
      <c r="D85" s="25"/>
      <c r="E85" s="25"/>
      <c r="F85" s="24"/>
      <c r="G85" s="25"/>
      <c r="H85" s="25"/>
      <c r="I85" s="25"/>
      <c r="J85" s="25"/>
      <c r="K85" s="25"/>
      <c r="L85" s="25"/>
      <c r="M85" s="25"/>
      <c r="N85" s="25" t="str">
        <f t="shared" si="1"/>
        <v/>
      </c>
      <c r="O85" s="25"/>
      <c r="P85" s="25"/>
      <c r="Q85" s="25"/>
      <c r="R85" s="25"/>
      <c r="S85" s="25"/>
      <c r="T85" s="25"/>
      <c r="U85" s="25"/>
      <c r="V85" s="25"/>
      <c r="W85" s="24"/>
      <c r="X85" s="24"/>
      <c r="Y85" s="25"/>
      <c r="Z85" s="25" t="str">
        <f>IF(B85="","",IFERROR(INDEX(الزبائن!$AZ$6:$AZ$505,MATCH(B85,الزبائن!$A$6:$A$505,0)),"source key not found"))</f>
        <v/>
      </c>
      <c r="AA85" s="25" t="str">
        <f>IF(B85="","",IFERROR(INDEX(الزبائن!$BA$6:$BA$505,MATCH(B85,الزبائن!$A$6:$A$505,0)),"source key not found"))</f>
        <v/>
      </c>
      <c r="AB85" s="25" t="str">
        <f>IF(AND(A85="",C85="",D85="",H85="",K85="",L85=""),"",IF(C85="skip","SKIP",IF(OR(A85="",C85="",D85="",H85="",K85="",L85="",S85="",COUNTIF($A$6:$A$505,A85)&gt;1,AND(B85&lt;&gt;"",COUNTIF(الزبائن!$A$6:$A$505,B85)=0),(COUNTIFS('أرقام التواصل'!$A$6:$A$505,"proposed_name",'أرقام التواصل'!$B$6:$B$505,A85,'أرقام التواصل'!$I$6:$I$505,"TRUE")+COUNTIFS('أرقام التواصل'!$A$6:$A$505,"proposed_name",'أرقام التواصل'!$B$6:$B$505,A85,'أرقام التواصل'!$C$6:$C$505,1))=0,AND(U85="TRUE",V85="")),"REVIEW","READY")))</f>
        <v/>
      </c>
      <c r="AC85" s="27" t="str">
        <f>IF(AB85="","",IF(AB85="READY","",IF(AB85="SKIP","Skipped by candidate_import_action",TRIM(IF(A85="","missing proposed_name_key; ","")&amp;IF(AND(A85&lt;&gt;"",COUNTIF($A$6:$A$505,A85)&gt;1),"duplicate proposed_name_key; ","")&amp;IF(C85="","missing candidate_import_action; ","")&amp;IF(D85="","missing move_reason; ","")&amp;IF(H85="","missing branch_id; ","")&amp;IF(K85="","missing first_name; ","")&amp;IF(L85="","missing last_name; ","")&amp;IF(S85="","missing status; ","")&amp;IF(AND(B85&lt;&gt;"",COUNTIF(الزبائن!$A$6:$A$505,B85)=0),"source key not found; ","")&amp;IF((COUNTIFS('أرقام التواصل'!$A$6:$A$505,"proposed_name",'أرقام التواصل'!$B$6:$B$505,A85,'أرقام التواصل'!$I$6:$I$505,"TRUE")+COUNTIFS('أرقام التواصل'!$A$6:$A$505,"proposed_name",'أرقام التواصل'!$B$6:$B$505,A85,'أرقام التواصل'!$C$6:$C$505,1))=0,"missing primary contact in أرقام التواصل; ","")&amp;IF(AND(U85="TRUE",V85=""),"duplicate_type required when duplicate_flag TRUE; ","")))))</f>
        <v/>
      </c>
    </row>
    <row r="86" spans="1:29">
      <c r="A86" s="36"/>
      <c r="B86" s="24"/>
      <c r="C86" s="25"/>
      <c r="D86" s="25"/>
      <c r="E86" s="25"/>
      <c r="F86" s="24"/>
      <c r="G86" s="25"/>
      <c r="H86" s="25"/>
      <c r="I86" s="25"/>
      <c r="J86" s="25"/>
      <c r="K86" s="25"/>
      <c r="L86" s="25"/>
      <c r="M86" s="25"/>
      <c r="N86" s="25" t="str">
        <f t="shared" si="1"/>
        <v/>
      </c>
      <c r="O86" s="25"/>
      <c r="P86" s="25"/>
      <c r="Q86" s="25"/>
      <c r="R86" s="25"/>
      <c r="S86" s="25"/>
      <c r="T86" s="25"/>
      <c r="U86" s="25"/>
      <c r="V86" s="25"/>
      <c r="W86" s="24"/>
      <c r="X86" s="24"/>
      <c r="Y86" s="25"/>
      <c r="Z86" s="25" t="str">
        <f>IF(B86="","",IFERROR(INDEX(الزبائن!$AZ$6:$AZ$505,MATCH(B86,الزبائن!$A$6:$A$505,0)),"source key not found"))</f>
        <v/>
      </c>
      <c r="AA86" s="25" t="str">
        <f>IF(B86="","",IFERROR(INDEX(الزبائن!$BA$6:$BA$505,MATCH(B86,الزبائن!$A$6:$A$505,0)),"source key not found"))</f>
        <v/>
      </c>
      <c r="AB86" s="25" t="str">
        <f>IF(AND(A86="",C86="",D86="",H86="",K86="",L86=""),"",IF(C86="skip","SKIP",IF(OR(A86="",C86="",D86="",H86="",K86="",L86="",S86="",COUNTIF($A$6:$A$505,A86)&gt;1,AND(B86&lt;&gt;"",COUNTIF(الزبائن!$A$6:$A$505,B86)=0),(COUNTIFS('أرقام التواصل'!$A$6:$A$505,"proposed_name",'أرقام التواصل'!$B$6:$B$505,A86,'أرقام التواصل'!$I$6:$I$505,"TRUE")+COUNTIFS('أرقام التواصل'!$A$6:$A$505,"proposed_name",'أرقام التواصل'!$B$6:$B$505,A86,'أرقام التواصل'!$C$6:$C$505,1))=0,AND(U86="TRUE",V86="")),"REVIEW","READY")))</f>
        <v/>
      </c>
      <c r="AC86" s="27" t="str">
        <f>IF(AB86="","",IF(AB86="READY","",IF(AB86="SKIP","Skipped by candidate_import_action",TRIM(IF(A86="","missing proposed_name_key; ","")&amp;IF(AND(A86&lt;&gt;"",COUNTIF($A$6:$A$505,A86)&gt;1),"duplicate proposed_name_key; ","")&amp;IF(C86="","missing candidate_import_action; ","")&amp;IF(D86="","missing move_reason; ","")&amp;IF(H86="","missing branch_id; ","")&amp;IF(K86="","missing first_name; ","")&amp;IF(L86="","missing last_name; ","")&amp;IF(S86="","missing status; ","")&amp;IF(AND(B86&lt;&gt;"",COUNTIF(الزبائن!$A$6:$A$505,B86)=0),"source key not found; ","")&amp;IF((COUNTIFS('أرقام التواصل'!$A$6:$A$505,"proposed_name",'أرقام التواصل'!$B$6:$B$505,A86,'أرقام التواصل'!$I$6:$I$505,"TRUE")+COUNTIFS('أرقام التواصل'!$A$6:$A$505,"proposed_name",'أرقام التواصل'!$B$6:$B$505,A86,'أرقام التواصل'!$C$6:$C$505,1))=0,"missing primary contact in أرقام التواصل; ","")&amp;IF(AND(U86="TRUE",V86=""),"duplicate_type required when duplicate_flag TRUE; ","")))))</f>
        <v/>
      </c>
    </row>
    <row r="87" spans="1:29">
      <c r="A87" s="36"/>
      <c r="B87" s="24"/>
      <c r="C87" s="25"/>
      <c r="D87" s="25"/>
      <c r="E87" s="25"/>
      <c r="F87" s="24"/>
      <c r="G87" s="25"/>
      <c r="H87" s="25"/>
      <c r="I87" s="25"/>
      <c r="J87" s="25"/>
      <c r="K87" s="25"/>
      <c r="L87" s="25"/>
      <c r="M87" s="25"/>
      <c r="N87" s="25" t="str">
        <f t="shared" si="1"/>
        <v/>
      </c>
      <c r="O87" s="25"/>
      <c r="P87" s="25"/>
      <c r="Q87" s="25"/>
      <c r="R87" s="25"/>
      <c r="S87" s="25"/>
      <c r="T87" s="25"/>
      <c r="U87" s="25"/>
      <c r="V87" s="25"/>
      <c r="W87" s="24"/>
      <c r="X87" s="24"/>
      <c r="Y87" s="25"/>
      <c r="Z87" s="25" t="str">
        <f>IF(B87="","",IFERROR(INDEX(الزبائن!$AZ$6:$AZ$505,MATCH(B87,الزبائن!$A$6:$A$505,0)),"source key not found"))</f>
        <v/>
      </c>
      <c r="AA87" s="25" t="str">
        <f>IF(B87="","",IFERROR(INDEX(الزبائن!$BA$6:$BA$505,MATCH(B87,الزبائن!$A$6:$A$505,0)),"source key not found"))</f>
        <v/>
      </c>
      <c r="AB87" s="25" t="str">
        <f>IF(AND(A87="",C87="",D87="",H87="",K87="",L87=""),"",IF(C87="skip","SKIP",IF(OR(A87="",C87="",D87="",H87="",K87="",L87="",S87="",COUNTIF($A$6:$A$505,A87)&gt;1,AND(B87&lt;&gt;"",COUNTIF(الزبائن!$A$6:$A$505,B87)=0),(COUNTIFS('أرقام التواصل'!$A$6:$A$505,"proposed_name",'أرقام التواصل'!$B$6:$B$505,A87,'أرقام التواصل'!$I$6:$I$505,"TRUE")+COUNTIFS('أرقام التواصل'!$A$6:$A$505,"proposed_name",'أرقام التواصل'!$B$6:$B$505,A87,'أرقام التواصل'!$C$6:$C$505,1))=0,AND(U87="TRUE",V87="")),"REVIEW","READY")))</f>
        <v/>
      </c>
      <c r="AC87" s="27" t="str">
        <f>IF(AB87="","",IF(AB87="READY","",IF(AB87="SKIP","Skipped by candidate_import_action",TRIM(IF(A87="","missing proposed_name_key; ","")&amp;IF(AND(A87&lt;&gt;"",COUNTIF($A$6:$A$505,A87)&gt;1),"duplicate proposed_name_key; ","")&amp;IF(C87="","missing candidate_import_action; ","")&amp;IF(D87="","missing move_reason; ","")&amp;IF(H87="","missing branch_id; ","")&amp;IF(K87="","missing first_name; ","")&amp;IF(L87="","missing last_name; ","")&amp;IF(S87="","missing status; ","")&amp;IF(AND(B87&lt;&gt;"",COUNTIF(الزبائن!$A$6:$A$505,B87)=0),"source key not found; ","")&amp;IF((COUNTIFS('أرقام التواصل'!$A$6:$A$505,"proposed_name",'أرقام التواصل'!$B$6:$B$505,A87,'أرقام التواصل'!$I$6:$I$505,"TRUE")+COUNTIFS('أرقام التواصل'!$A$6:$A$505,"proposed_name",'أرقام التواصل'!$B$6:$B$505,A87,'أرقام التواصل'!$C$6:$C$505,1))=0,"missing primary contact in أرقام التواصل; ","")&amp;IF(AND(U87="TRUE",V87=""),"duplicate_type required when duplicate_flag TRUE; ","")))))</f>
        <v/>
      </c>
    </row>
    <row r="88" spans="1:29">
      <c r="A88" s="36"/>
      <c r="B88" s="24"/>
      <c r="C88" s="25"/>
      <c r="D88" s="25"/>
      <c r="E88" s="25"/>
      <c r="F88" s="24"/>
      <c r="G88" s="25"/>
      <c r="H88" s="25"/>
      <c r="I88" s="25"/>
      <c r="J88" s="25"/>
      <c r="K88" s="25"/>
      <c r="L88" s="25"/>
      <c r="M88" s="25"/>
      <c r="N88" s="25" t="str">
        <f t="shared" si="1"/>
        <v/>
      </c>
      <c r="O88" s="25"/>
      <c r="P88" s="25"/>
      <c r="Q88" s="25"/>
      <c r="R88" s="25"/>
      <c r="S88" s="25"/>
      <c r="T88" s="25"/>
      <c r="U88" s="25"/>
      <c r="V88" s="25"/>
      <c r="W88" s="24"/>
      <c r="X88" s="24"/>
      <c r="Y88" s="25"/>
      <c r="Z88" s="25" t="str">
        <f>IF(B88="","",IFERROR(INDEX(الزبائن!$AZ$6:$AZ$505,MATCH(B88,الزبائن!$A$6:$A$505,0)),"source key not found"))</f>
        <v/>
      </c>
      <c r="AA88" s="25" t="str">
        <f>IF(B88="","",IFERROR(INDEX(الزبائن!$BA$6:$BA$505,MATCH(B88,الزبائن!$A$6:$A$505,0)),"source key not found"))</f>
        <v/>
      </c>
      <c r="AB88" s="25" t="str">
        <f>IF(AND(A88="",C88="",D88="",H88="",K88="",L88=""),"",IF(C88="skip","SKIP",IF(OR(A88="",C88="",D88="",H88="",K88="",L88="",S88="",COUNTIF($A$6:$A$505,A88)&gt;1,AND(B88&lt;&gt;"",COUNTIF(الزبائن!$A$6:$A$505,B88)=0),(COUNTIFS('أرقام التواصل'!$A$6:$A$505,"proposed_name",'أرقام التواصل'!$B$6:$B$505,A88,'أرقام التواصل'!$I$6:$I$505,"TRUE")+COUNTIFS('أرقام التواصل'!$A$6:$A$505,"proposed_name",'أرقام التواصل'!$B$6:$B$505,A88,'أرقام التواصل'!$C$6:$C$505,1))=0,AND(U88="TRUE",V88="")),"REVIEW","READY")))</f>
        <v/>
      </c>
      <c r="AC88" s="27" t="str">
        <f>IF(AB88="","",IF(AB88="READY","",IF(AB88="SKIP","Skipped by candidate_import_action",TRIM(IF(A88="","missing proposed_name_key; ","")&amp;IF(AND(A88&lt;&gt;"",COUNTIF($A$6:$A$505,A88)&gt;1),"duplicate proposed_name_key; ","")&amp;IF(C88="","missing candidate_import_action; ","")&amp;IF(D88="","missing move_reason; ","")&amp;IF(H88="","missing branch_id; ","")&amp;IF(K88="","missing first_name; ","")&amp;IF(L88="","missing last_name; ","")&amp;IF(S88="","missing status; ","")&amp;IF(AND(B88&lt;&gt;"",COUNTIF(الزبائن!$A$6:$A$505,B88)=0),"source key not found; ","")&amp;IF((COUNTIFS('أرقام التواصل'!$A$6:$A$505,"proposed_name",'أرقام التواصل'!$B$6:$B$505,A88,'أرقام التواصل'!$I$6:$I$505,"TRUE")+COUNTIFS('أرقام التواصل'!$A$6:$A$505,"proposed_name",'أرقام التواصل'!$B$6:$B$505,A88,'أرقام التواصل'!$C$6:$C$505,1))=0,"missing primary contact in أرقام التواصل; ","")&amp;IF(AND(U88="TRUE",V88=""),"duplicate_type required when duplicate_flag TRUE; ","")))))</f>
        <v/>
      </c>
    </row>
    <row r="89" spans="1:29">
      <c r="A89" s="36"/>
      <c r="B89" s="24"/>
      <c r="C89" s="25"/>
      <c r="D89" s="25"/>
      <c r="E89" s="25"/>
      <c r="F89" s="24"/>
      <c r="G89" s="25"/>
      <c r="H89" s="25"/>
      <c r="I89" s="25"/>
      <c r="J89" s="25"/>
      <c r="K89" s="25"/>
      <c r="L89" s="25"/>
      <c r="M89" s="25"/>
      <c r="N89" s="25" t="str">
        <f t="shared" si="1"/>
        <v/>
      </c>
      <c r="O89" s="25"/>
      <c r="P89" s="25"/>
      <c r="Q89" s="25"/>
      <c r="R89" s="25"/>
      <c r="S89" s="25"/>
      <c r="T89" s="25"/>
      <c r="U89" s="25"/>
      <c r="V89" s="25"/>
      <c r="W89" s="24"/>
      <c r="X89" s="24"/>
      <c r="Y89" s="25"/>
      <c r="Z89" s="25" t="str">
        <f>IF(B89="","",IFERROR(INDEX(الزبائن!$AZ$6:$AZ$505,MATCH(B89,الزبائن!$A$6:$A$505,0)),"source key not found"))</f>
        <v/>
      </c>
      <c r="AA89" s="25" t="str">
        <f>IF(B89="","",IFERROR(INDEX(الزبائن!$BA$6:$BA$505,MATCH(B89,الزبائن!$A$6:$A$505,0)),"source key not found"))</f>
        <v/>
      </c>
      <c r="AB89" s="25" t="str">
        <f>IF(AND(A89="",C89="",D89="",H89="",K89="",L89=""),"",IF(C89="skip","SKIP",IF(OR(A89="",C89="",D89="",H89="",K89="",L89="",S89="",COUNTIF($A$6:$A$505,A89)&gt;1,AND(B89&lt;&gt;"",COUNTIF(الزبائن!$A$6:$A$505,B89)=0),(COUNTIFS('أرقام التواصل'!$A$6:$A$505,"proposed_name",'أرقام التواصل'!$B$6:$B$505,A89,'أرقام التواصل'!$I$6:$I$505,"TRUE")+COUNTIFS('أرقام التواصل'!$A$6:$A$505,"proposed_name",'أرقام التواصل'!$B$6:$B$505,A89,'أرقام التواصل'!$C$6:$C$505,1))=0,AND(U89="TRUE",V89="")),"REVIEW","READY")))</f>
        <v/>
      </c>
      <c r="AC89" s="27" t="str">
        <f>IF(AB89="","",IF(AB89="READY","",IF(AB89="SKIP","Skipped by candidate_import_action",TRIM(IF(A89="","missing proposed_name_key; ","")&amp;IF(AND(A89&lt;&gt;"",COUNTIF($A$6:$A$505,A89)&gt;1),"duplicate proposed_name_key; ","")&amp;IF(C89="","missing candidate_import_action; ","")&amp;IF(D89="","missing move_reason; ","")&amp;IF(H89="","missing branch_id; ","")&amp;IF(K89="","missing first_name; ","")&amp;IF(L89="","missing last_name; ","")&amp;IF(S89="","missing status; ","")&amp;IF(AND(B89&lt;&gt;"",COUNTIF(الزبائن!$A$6:$A$505,B89)=0),"source key not found; ","")&amp;IF((COUNTIFS('أرقام التواصل'!$A$6:$A$505,"proposed_name",'أرقام التواصل'!$B$6:$B$505,A89,'أرقام التواصل'!$I$6:$I$505,"TRUE")+COUNTIFS('أرقام التواصل'!$A$6:$A$505,"proposed_name",'أرقام التواصل'!$B$6:$B$505,A89,'أرقام التواصل'!$C$6:$C$505,1))=0,"missing primary contact in أرقام التواصل; ","")&amp;IF(AND(U89="TRUE",V89=""),"duplicate_type required when duplicate_flag TRUE; ","")))))</f>
        <v/>
      </c>
    </row>
    <row r="90" spans="1:29">
      <c r="A90" s="36"/>
      <c r="B90" s="24"/>
      <c r="C90" s="25"/>
      <c r="D90" s="25"/>
      <c r="E90" s="25"/>
      <c r="F90" s="24"/>
      <c r="G90" s="25"/>
      <c r="H90" s="25"/>
      <c r="I90" s="25"/>
      <c r="J90" s="25"/>
      <c r="K90" s="25"/>
      <c r="L90" s="25"/>
      <c r="M90" s="25"/>
      <c r="N90" s="25" t="str">
        <f t="shared" si="1"/>
        <v/>
      </c>
      <c r="O90" s="25"/>
      <c r="P90" s="25"/>
      <c r="Q90" s="25"/>
      <c r="R90" s="25"/>
      <c r="S90" s="25"/>
      <c r="T90" s="25"/>
      <c r="U90" s="25"/>
      <c r="V90" s="25"/>
      <c r="W90" s="24"/>
      <c r="X90" s="24"/>
      <c r="Y90" s="25"/>
      <c r="Z90" s="25" t="str">
        <f>IF(B90="","",IFERROR(INDEX(الزبائن!$AZ$6:$AZ$505,MATCH(B90,الزبائن!$A$6:$A$505,0)),"source key not found"))</f>
        <v/>
      </c>
      <c r="AA90" s="25" t="str">
        <f>IF(B90="","",IFERROR(INDEX(الزبائن!$BA$6:$BA$505,MATCH(B90,الزبائن!$A$6:$A$505,0)),"source key not found"))</f>
        <v/>
      </c>
      <c r="AB90" s="25" t="str">
        <f>IF(AND(A90="",C90="",D90="",H90="",K90="",L90=""),"",IF(C90="skip","SKIP",IF(OR(A90="",C90="",D90="",H90="",K90="",L90="",S90="",COUNTIF($A$6:$A$505,A90)&gt;1,AND(B90&lt;&gt;"",COUNTIF(الزبائن!$A$6:$A$505,B90)=0),(COUNTIFS('أرقام التواصل'!$A$6:$A$505,"proposed_name",'أرقام التواصل'!$B$6:$B$505,A90,'أرقام التواصل'!$I$6:$I$505,"TRUE")+COUNTIFS('أرقام التواصل'!$A$6:$A$505,"proposed_name",'أرقام التواصل'!$B$6:$B$505,A90,'أرقام التواصل'!$C$6:$C$505,1))=0,AND(U90="TRUE",V90="")),"REVIEW","READY")))</f>
        <v/>
      </c>
      <c r="AC90" s="27" t="str">
        <f>IF(AB90="","",IF(AB90="READY","",IF(AB90="SKIP","Skipped by candidate_import_action",TRIM(IF(A90="","missing proposed_name_key; ","")&amp;IF(AND(A90&lt;&gt;"",COUNTIF($A$6:$A$505,A90)&gt;1),"duplicate proposed_name_key; ","")&amp;IF(C90="","missing candidate_import_action; ","")&amp;IF(D90="","missing move_reason; ","")&amp;IF(H90="","missing branch_id; ","")&amp;IF(K90="","missing first_name; ","")&amp;IF(L90="","missing last_name; ","")&amp;IF(S90="","missing status; ","")&amp;IF(AND(B90&lt;&gt;"",COUNTIF(الزبائن!$A$6:$A$505,B90)=0),"source key not found; ","")&amp;IF((COUNTIFS('أرقام التواصل'!$A$6:$A$505,"proposed_name",'أرقام التواصل'!$B$6:$B$505,A90,'أرقام التواصل'!$I$6:$I$505,"TRUE")+COUNTIFS('أرقام التواصل'!$A$6:$A$505,"proposed_name",'أرقام التواصل'!$B$6:$B$505,A90,'أرقام التواصل'!$C$6:$C$505,1))=0,"missing primary contact in أرقام التواصل; ","")&amp;IF(AND(U90="TRUE",V90=""),"duplicate_type required when duplicate_flag TRUE; ","")))))</f>
        <v/>
      </c>
    </row>
    <row r="91" spans="1:29">
      <c r="A91" s="36"/>
      <c r="B91" s="24"/>
      <c r="C91" s="25"/>
      <c r="D91" s="25"/>
      <c r="E91" s="25"/>
      <c r="F91" s="24"/>
      <c r="G91" s="25"/>
      <c r="H91" s="25"/>
      <c r="I91" s="25"/>
      <c r="J91" s="25"/>
      <c r="K91" s="25"/>
      <c r="L91" s="25"/>
      <c r="M91" s="25"/>
      <c r="N91" s="25" t="str">
        <f t="shared" si="1"/>
        <v/>
      </c>
      <c r="O91" s="25"/>
      <c r="P91" s="25"/>
      <c r="Q91" s="25"/>
      <c r="R91" s="25"/>
      <c r="S91" s="25"/>
      <c r="T91" s="25"/>
      <c r="U91" s="25"/>
      <c r="V91" s="25"/>
      <c r="W91" s="24"/>
      <c r="X91" s="24"/>
      <c r="Y91" s="25"/>
      <c r="Z91" s="25" t="str">
        <f>IF(B91="","",IFERROR(INDEX(الزبائن!$AZ$6:$AZ$505,MATCH(B91,الزبائن!$A$6:$A$505,0)),"source key not found"))</f>
        <v/>
      </c>
      <c r="AA91" s="25" t="str">
        <f>IF(B91="","",IFERROR(INDEX(الزبائن!$BA$6:$BA$505,MATCH(B91,الزبائن!$A$6:$A$505,0)),"source key not found"))</f>
        <v/>
      </c>
      <c r="AB91" s="25" t="str">
        <f>IF(AND(A91="",C91="",D91="",H91="",K91="",L91=""),"",IF(C91="skip","SKIP",IF(OR(A91="",C91="",D91="",H91="",K91="",L91="",S91="",COUNTIF($A$6:$A$505,A91)&gt;1,AND(B91&lt;&gt;"",COUNTIF(الزبائن!$A$6:$A$505,B91)=0),(COUNTIFS('أرقام التواصل'!$A$6:$A$505,"proposed_name",'أرقام التواصل'!$B$6:$B$505,A91,'أرقام التواصل'!$I$6:$I$505,"TRUE")+COUNTIFS('أرقام التواصل'!$A$6:$A$505,"proposed_name",'أرقام التواصل'!$B$6:$B$505,A91,'أرقام التواصل'!$C$6:$C$505,1))=0,AND(U91="TRUE",V91="")),"REVIEW","READY")))</f>
        <v/>
      </c>
      <c r="AC91" s="27" t="str">
        <f>IF(AB91="","",IF(AB91="READY","",IF(AB91="SKIP","Skipped by candidate_import_action",TRIM(IF(A91="","missing proposed_name_key; ","")&amp;IF(AND(A91&lt;&gt;"",COUNTIF($A$6:$A$505,A91)&gt;1),"duplicate proposed_name_key; ","")&amp;IF(C91="","missing candidate_import_action; ","")&amp;IF(D91="","missing move_reason; ","")&amp;IF(H91="","missing branch_id; ","")&amp;IF(K91="","missing first_name; ","")&amp;IF(L91="","missing last_name; ","")&amp;IF(S91="","missing status; ","")&amp;IF(AND(B91&lt;&gt;"",COUNTIF(الزبائن!$A$6:$A$505,B91)=0),"source key not found; ","")&amp;IF((COUNTIFS('أرقام التواصل'!$A$6:$A$505,"proposed_name",'أرقام التواصل'!$B$6:$B$505,A91,'أرقام التواصل'!$I$6:$I$505,"TRUE")+COUNTIFS('أرقام التواصل'!$A$6:$A$505,"proposed_name",'أرقام التواصل'!$B$6:$B$505,A91,'أرقام التواصل'!$C$6:$C$505,1))=0,"missing primary contact in أرقام التواصل; ","")&amp;IF(AND(U91="TRUE",V91=""),"duplicate_type required when duplicate_flag TRUE; ","")))))</f>
        <v/>
      </c>
    </row>
    <row r="92" spans="1:29">
      <c r="A92" s="36"/>
      <c r="B92" s="24"/>
      <c r="C92" s="25"/>
      <c r="D92" s="25"/>
      <c r="E92" s="25"/>
      <c r="F92" s="24"/>
      <c r="G92" s="25"/>
      <c r="H92" s="25"/>
      <c r="I92" s="25"/>
      <c r="J92" s="25"/>
      <c r="K92" s="25"/>
      <c r="L92" s="25"/>
      <c r="M92" s="25"/>
      <c r="N92" s="25" t="str">
        <f t="shared" si="1"/>
        <v/>
      </c>
      <c r="O92" s="25"/>
      <c r="P92" s="25"/>
      <c r="Q92" s="25"/>
      <c r="R92" s="25"/>
      <c r="S92" s="25"/>
      <c r="T92" s="25"/>
      <c r="U92" s="25"/>
      <c r="V92" s="25"/>
      <c r="W92" s="24"/>
      <c r="X92" s="24"/>
      <c r="Y92" s="25"/>
      <c r="Z92" s="25" t="str">
        <f>IF(B92="","",IFERROR(INDEX(الزبائن!$AZ$6:$AZ$505,MATCH(B92,الزبائن!$A$6:$A$505,0)),"source key not found"))</f>
        <v/>
      </c>
      <c r="AA92" s="25" t="str">
        <f>IF(B92="","",IFERROR(INDEX(الزبائن!$BA$6:$BA$505,MATCH(B92,الزبائن!$A$6:$A$505,0)),"source key not found"))</f>
        <v/>
      </c>
      <c r="AB92" s="25" t="str">
        <f>IF(AND(A92="",C92="",D92="",H92="",K92="",L92=""),"",IF(C92="skip","SKIP",IF(OR(A92="",C92="",D92="",H92="",K92="",L92="",S92="",COUNTIF($A$6:$A$505,A92)&gt;1,AND(B92&lt;&gt;"",COUNTIF(الزبائن!$A$6:$A$505,B92)=0),(COUNTIFS('أرقام التواصل'!$A$6:$A$505,"proposed_name",'أرقام التواصل'!$B$6:$B$505,A92,'أرقام التواصل'!$I$6:$I$505,"TRUE")+COUNTIFS('أرقام التواصل'!$A$6:$A$505,"proposed_name",'أرقام التواصل'!$B$6:$B$505,A92,'أرقام التواصل'!$C$6:$C$505,1))=0,AND(U92="TRUE",V92="")),"REVIEW","READY")))</f>
        <v/>
      </c>
      <c r="AC92" s="27" t="str">
        <f>IF(AB92="","",IF(AB92="READY","",IF(AB92="SKIP","Skipped by candidate_import_action",TRIM(IF(A92="","missing proposed_name_key; ","")&amp;IF(AND(A92&lt;&gt;"",COUNTIF($A$6:$A$505,A92)&gt;1),"duplicate proposed_name_key; ","")&amp;IF(C92="","missing candidate_import_action; ","")&amp;IF(D92="","missing move_reason; ","")&amp;IF(H92="","missing branch_id; ","")&amp;IF(K92="","missing first_name; ","")&amp;IF(L92="","missing last_name; ","")&amp;IF(S92="","missing status; ","")&amp;IF(AND(B92&lt;&gt;"",COUNTIF(الزبائن!$A$6:$A$505,B92)=0),"source key not found; ","")&amp;IF((COUNTIFS('أرقام التواصل'!$A$6:$A$505,"proposed_name",'أرقام التواصل'!$B$6:$B$505,A92,'أرقام التواصل'!$I$6:$I$505,"TRUE")+COUNTIFS('أرقام التواصل'!$A$6:$A$505,"proposed_name",'أرقام التواصل'!$B$6:$B$505,A92,'أرقام التواصل'!$C$6:$C$505,1))=0,"missing primary contact in أرقام التواصل; ","")&amp;IF(AND(U92="TRUE",V92=""),"duplicate_type required when duplicate_flag TRUE; ","")))))</f>
        <v/>
      </c>
    </row>
    <row r="93" spans="1:29">
      <c r="A93" s="36"/>
      <c r="B93" s="24"/>
      <c r="C93" s="25"/>
      <c r="D93" s="25"/>
      <c r="E93" s="25"/>
      <c r="F93" s="24"/>
      <c r="G93" s="25"/>
      <c r="H93" s="25"/>
      <c r="I93" s="25"/>
      <c r="J93" s="25"/>
      <c r="K93" s="25"/>
      <c r="L93" s="25"/>
      <c r="M93" s="25"/>
      <c r="N93" s="25" t="str">
        <f t="shared" si="1"/>
        <v/>
      </c>
      <c r="O93" s="25"/>
      <c r="P93" s="25"/>
      <c r="Q93" s="25"/>
      <c r="R93" s="25"/>
      <c r="S93" s="25"/>
      <c r="T93" s="25"/>
      <c r="U93" s="25"/>
      <c r="V93" s="25"/>
      <c r="W93" s="24"/>
      <c r="X93" s="24"/>
      <c r="Y93" s="25"/>
      <c r="Z93" s="25" t="str">
        <f>IF(B93="","",IFERROR(INDEX(الزبائن!$AZ$6:$AZ$505,MATCH(B93,الزبائن!$A$6:$A$505,0)),"source key not found"))</f>
        <v/>
      </c>
      <c r="AA93" s="25" t="str">
        <f>IF(B93="","",IFERROR(INDEX(الزبائن!$BA$6:$BA$505,MATCH(B93,الزبائن!$A$6:$A$505,0)),"source key not found"))</f>
        <v/>
      </c>
      <c r="AB93" s="25" t="str">
        <f>IF(AND(A93="",C93="",D93="",H93="",K93="",L93=""),"",IF(C93="skip","SKIP",IF(OR(A93="",C93="",D93="",H93="",K93="",L93="",S93="",COUNTIF($A$6:$A$505,A93)&gt;1,AND(B93&lt;&gt;"",COUNTIF(الزبائن!$A$6:$A$505,B93)=0),(COUNTIFS('أرقام التواصل'!$A$6:$A$505,"proposed_name",'أرقام التواصل'!$B$6:$B$505,A93,'أرقام التواصل'!$I$6:$I$505,"TRUE")+COUNTIFS('أرقام التواصل'!$A$6:$A$505,"proposed_name",'أرقام التواصل'!$B$6:$B$505,A93,'أرقام التواصل'!$C$6:$C$505,1))=0,AND(U93="TRUE",V93="")),"REVIEW","READY")))</f>
        <v/>
      </c>
      <c r="AC93" s="27" t="str">
        <f>IF(AB93="","",IF(AB93="READY","",IF(AB93="SKIP","Skipped by candidate_import_action",TRIM(IF(A93="","missing proposed_name_key; ","")&amp;IF(AND(A93&lt;&gt;"",COUNTIF($A$6:$A$505,A93)&gt;1),"duplicate proposed_name_key; ","")&amp;IF(C93="","missing candidate_import_action; ","")&amp;IF(D93="","missing move_reason; ","")&amp;IF(H93="","missing branch_id; ","")&amp;IF(K93="","missing first_name; ","")&amp;IF(L93="","missing last_name; ","")&amp;IF(S93="","missing status; ","")&amp;IF(AND(B93&lt;&gt;"",COUNTIF(الزبائن!$A$6:$A$505,B93)=0),"source key not found; ","")&amp;IF((COUNTIFS('أرقام التواصل'!$A$6:$A$505,"proposed_name",'أرقام التواصل'!$B$6:$B$505,A93,'أرقام التواصل'!$I$6:$I$505,"TRUE")+COUNTIFS('أرقام التواصل'!$A$6:$A$505,"proposed_name",'أرقام التواصل'!$B$6:$B$505,A93,'أرقام التواصل'!$C$6:$C$505,1))=0,"missing primary contact in أرقام التواصل; ","")&amp;IF(AND(U93="TRUE",V93=""),"duplicate_type required when duplicate_flag TRUE; ","")))))</f>
        <v/>
      </c>
    </row>
    <row r="94" spans="1:29">
      <c r="A94" s="36"/>
      <c r="B94" s="24"/>
      <c r="C94" s="25"/>
      <c r="D94" s="25"/>
      <c r="E94" s="25"/>
      <c r="F94" s="24"/>
      <c r="G94" s="25"/>
      <c r="H94" s="25"/>
      <c r="I94" s="25"/>
      <c r="J94" s="25"/>
      <c r="K94" s="25"/>
      <c r="L94" s="25"/>
      <c r="M94" s="25"/>
      <c r="N94" s="25" t="str">
        <f t="shared" si="1"/>
        <v/>
      </c>
      <c r="O94" s="25"/>
      <c r="P94" s="25"/>
      <c r="Q94" s="25"/>
      <c r="R94" s="25"/>
      <c r="S94" s="25"/>
      <c r="T94" s="25"/>
      <c r="U94" s="25"/>
      <c r="V94" s="25"/>
      <c r="W94" s="24"/>
      <c r="X94" s="24"/>
      <c r="Y94" s="25"/>
      <c r="Z94" s="25" t="str">
        <f>IF(B94="","",IFERROR(INDEX(الزبائن!$AZ$6:$AZ$505,MATCH(B94,الزبائن!$A$6:$A$505,0)),"source key not found"))</f>
        <v/>
      </c>
      <c r="AA94" s="25" t="str">
        <f>IF(B94="","",IFERROR(INDEX(الزبائن!$BA$6:$BA$505,MATCH(B94,الزبائن!$A$6:$A$505,0)),"source key not found"))</f>
        <v/>
      </c>
      <c r="AB94" s="25" t="str">
        <f>IF(AND(A94="",C94="",D94="",H94="",K94="",L94=""),"",IF(C94="skip","SKIP",IF(OR(A94="",C94="",D94="",H94="",K94="",L94="",S94="",COUNTIF($A$6:$A$505,A94)&gt;1,AND(B94&lt;&gt;"",COUNTIF(الزبائن!$A$6:$A$505,B94)=0),(COUNTIFS('أرقام التواصل'!$A$6:$A$505,"proposed_name",'أرقام التواصل'!$B$6:$B$505,A94,'أرقام التواصل'!$I$6:$I$505,"TRUE")+COUNTIFS('أرقام التواصل'!$A$6:$A$505,"proposed_name",'أرقام التواصل'!$B$6:$B$505,A94,'أرقام التواصل'!$C$6:$C$505,1))=0,AND(U94="TRUE",V94="")),"REVIEW","READY")))</f>
        <v/>
      </c>
      <c r="AC94" s="27" t="str">
        <f>IF(AB94="","",IF(AB94="READY","",IF(AB94="SKIP","Skipped by candidate_import_action",TRIM(IF(A94="","missing proposed_name_key; ","")&amp;IF(AND(A94&lt;&gt;"",COUNTIF($A$6:$A$505,A94)&gt;1),"duplicate proposed_name_key; ","")&amp;IF(C94="","missing candidate_import_action; ","")&amp;IF(D94="","missing move_reason; ","")&amp;IF(H94="","missing branch_id; ","")&amp;IF(K94="","missing first_name; ","")&amp;IF(L94="","missing last_name; ","")&amp;IF(S94="","missing status; ","")&amp;IF(AND(B94&lt;&gt;"",COUNTIF(الزبائن!$A$6:$A$505,B94)=0),"source key not found; ","")&amp;IF((COUNTIFS('أرقام التواصل'!$A$6:$A$505,"proposed_name",'أرقام التواصل'!$B$6:$B$505,A94,'أرقام التواصل'!$I$6:$I$505,"TRUE")+COUNTIFS('أرقام التواصل'!$A$6:$A$505,"proposed_name",'أرقام التواصل'!$B$6:$B$505,A94,'أرقام التواصل'!$C$6:$C$505,1))=0,"missing primary contact in أرقام التواصل; ","")&amp;IF(AND(U94="TRUE",V94=""),"duplicate_type required when duplicate_flag TRUE; ","")))))</f>
        <v/>
      </c>
    </row>
    <row r="95" spans="1:29">
      <c r="A95" s="36"/>
      <c r="B95" s="24"/>
      <c r="C95" s="25"/>
      <c r="D95" s="25"/>
      <c r="E95" s="25"/>
      <c r="F95" s="24"/>
      <c r="G95" s="25"/>
      <c r="H95" s="25"/>
      <c r="I95" s="25"/>
      <c r="J95" s="25"/>
      <c r="K95" s="25"/>
      <c r="L95" s="25"/>
      <c r="M95" s="25"/>
      <c r="N95" s="25" t="str">
        <f t="shared" si="1"/>
        <v/>
      </c>
      <c r="O95" s="25"/>
      <c r="P95" s="25"/>
      <c r="Q95" s="25"/>
      <c r="R95" s="25"/>
      <c r="S95" s="25"/>
      <c r="T95" s="25"/>
      <c r="U95" s="25"/>
      <c r="V95" s="25"/>
      <c r="W95" s="24"/>
      <c r="X95" s="24"/>
      <c r="Y95" s="25"/>
      <c r="Z95" s="25" t="str">
        <f>IF(B95="","",IFERROR(INDEX(الزبائن!$AZ$6:$AZ$505,MATCH(B95,الزبائن!$A$6:$A$505,0)),"source key not found"))</f>
        <v/>
      </c>
      <c r="AA95" s="25" t="str">
        <f>IF(B95="","",IFERROR(INDEX(الزبائن!$BA$6:$BA$505,MATCH(B95,الزبائن!$A$6:$A$505,0)),"source key not found"))</f>
        <v/>
      </c>
      <c r="AB95" s="25" t="str">
        <f>IF(AND(A95="",C95="",D95="",H95="",K95="",L95=""),"",IF(C95="skip","SKIP",IF(OR(A95="",C95="",D95="",H95="",K95="",L95="",S95="",COUNTIF($A$6:$A$505,A95)&gt;1,AND(B95&lt;&gt;"",COUNTIF(الزبائن!$A$6:$A$505,B95)=0),(COUNTIFS('أرقام التواصل'!$A$6:$A$505,"proposed_name",'أرقام التواصل'!$B$6:$B$505,A95,'أرقام التواصل'!$I$6:$I$505,"TRUE")+COUNTIFS('أرقام التواصل'!$A$6:$A$505,"proposed_name",'أرقام التواصل'!$B$6:$B$505,A95,'أرقام التواصل'!$C$6:$C$505,1))=0,AND(U95="TRUE",V95="")),"REVIEW","READY")))</f>
        <v/>
      </c>
      <c r="AC95" s="27" t="str">
        <f>IF(AB95="","",IF(AB95="READY","",IF(AB95="SKIP","Skipped by candidate_import_action",TRIM(IF(A95="","missing proposed_name_key; ","")&amp;IF(AND(A95&lt;&gt;"",COUNTIF($A$6:$A$505,A95)&gt;1),"duplicate proposed_name_key; ","")&amp;IF(C95="","missing candidate_import_action; ","")&amp;IF(D95="","missing move_reason; ","")&amp;IF(H95="","missing branch_id; ","")&amp;IF(K95="","missing first_name; ","")&amp;IF(L95="","missing last_name; ","")&amp;IF(S95="","missing status; ","")&amp;IF(AND(B95&lt;&gt;"",COUNTIF(الزبائن!$A$6:$A$505,B95)=0),"source key not found; ","")&amp;IF((COUNTIFS('أرقام التواصل'!$A$6:$A$505,"proposed_name",'أرقام التواصل'!$B$6:$B$505,A95,'أرقام التواصل'!$I$6:$I$505,"TRUE")+COUNTIFS('أرقام التواصل'!$A$6:$A$505,"proposed_name",'أرقام التواصل'!$B$6:$B$505,A95,'أرقام التواصل'!$C$6:$C$505,1))=0,"missing primary contact in أرقام التواصل; ","")&amp;IF(AND(U95="TRUE",V95=""),"duplicate_type required when duplicate_flag TRUE; ","")))))</f>
        <v/>
      </c>
    </row>
    <row r="96" spans="1:29">
      <c r="A96" s="36"/>
      <c r="B96" s="24"/>
      <c r="C96" s="25"/>
      <c r="D96" s="25"/>
      <c r="E96" s="25"/>
      <c r="F96" s="24"/>
      <c r="G96" s="25"/>
      <c r="H96" s="25"/>
      <c r="I96" s="25"/>
      <c r="J96" s="25"/>
      <c r="K96" s="25"/>
      <c r="L96" s="25"/>
      <c r="M96" s="25"/>
      <c r="N96" s="25" t="str">
        <f t="shared" si="1"/>
        <v/>
      </c>
      <c r="O96" s="25"/>
      <c r="P96" s="25"/>
      <c r="Q96" s="25"/>
      <c r="R96" s="25"/>
      <c r="S96" s="25"/>
      <c r="T96" s="25"/>
      <c r="U96" s="25"/>
      <c r="V96" s="25"/>
      <c r="W96" s="24"/>
      <c r="X96" s="24"/>
      <c r="Y96" s="25"/>
      <c r="Z96" s="25" t="str">
        <f>IF(B96="","",IFERROR(INDEX(الزبائن!$AZ$6:$AZ$505,MATCH(B96,الزبائن!$A$6:$A$505,0)),"source key not found"))</f>
        <v/>
      </c>
      <c r="AA96" s="25" t="str">
        <f>IF(B96="","",IFERROR(INDEX(الزبائن!$BA$6:$BA$505,MATCH(B96,الزبائن!$A$6:$A$505,0)),"source key not found"))</f>
        <v/>
      </c>
      <c r="AB96" s="25" t="str">
        <f>IF(AND(A96="",C96="",D96="",H96="",K96="",L96=""),"",IF(C96="skip","SKIP",IF(OR(A96="",C96="",D96="",H96="",K96="",L96="",S96="",COUNTIF($A$6:$A$505,A96)&gt;1,AND(B96&lt;&gt;"",COUNTIF(الزبائن!$A$6:$A$505,B96)=0),(COUNTIFS('أرقام التواصل'!$A$6:$A$505,"proposed_name",'أرقام التواصل'!$B$6:$B$505,A96,'أرقام التواصل'!$I$6:$I$505,"TRUE")+COUNTIFS('أرقام التواصل'!$A$6:$A$505,"proposed_name",'أرقام التواصل'!$B$6:$B$505,A96,'أرقام التواصل'!$C$6:$C$505,1))=0,AND(U96="TRUE",V96="")),"REVIEW","READY")))</f>
        <v/>
      </c>
      <c r="AC96" s="27" t="str">
        <f>IF(AB96="","",IF(AB96="READY","",IF(AB96="SKIP","Skipped by candidate_import_action",TRIM(IF(A96="","missing proposed_name_key; ","")&amp;IF(AND(A96&lt;&gt;"",COUNTIF($A$6:$A$505,A96)&gt;1),"duplicate proposed_name_key; ","")&amp;IF(C96="","missing candidate_import_action; ","")&amp;IF(D96="","missing move_reason; ","")&amp;IF(H96="","missing branch_id; ","")&amp;IF(K96="","missing first_name; ","")&amp;IF(L96="","missing last_name; ","")&amp;IF(S96="","missing status; ","")&amp;IF(AND(B96&lt;&gt;"",COUNTIF(الزبائن!$A$6:$A$505,B96)=0),"source key not found; ","")&amp;IF((COUNTIFS('أرقام التواصل'!$A$6:$A$505,"proposed_name",'أرقام التواصل'!$B$6:$B$505,A96,'أرقام التواصل'!$I$6:$I$505,"TRUE")+COUNTIFS('أرقام التواصل'!$A$6:$A$505,"proposed_name",'أرقام التواصل'!$B$6:$B$505,A96,'أرقام التواصل'!$C$6:$C$505,1))=0,"missing primary contact in أرقام التواصل; ","")&amp;IF(AND(U96="TRUE",V96=""),"duplicate_type required when duplicate_flag TRUE; ","")))))</f>
        <v/>
      </c>
    </row>
    <row r="97" spans="1:29">
      <c r="A97" s="36"/>
      <c r="B97" s="24"/>
      <c r="C97" s="25"/>
      <c r="D97" s="25"/>
      <c r="E97" s="25"/>
      <c r="F97" s="24"/>
      <c r="G97" s="25"/>
      <c r="H97" s="25"/>
      <c r="I97" s="25"/>
      <c r="J97" s="25"/>
      <c r="K97" s="25"/>
      <c r="L97" s="25"/>
      <c r="M97" s="25"/>
      <c r="N97" s="25" t="str">
        <f t="shared" si="1"/>
        <v/>
      </c>
      <c r="O97" s="25"/>
      <c r="P97" s="25"/>
      <c r="Q97" s="25"/>
      <c r="R97" s="25"/>
      <c r="S97" s="25"/>
      <c r="T97" s="25"/>
      <c r="U97" s="25"/>
      <c r="V97" s="25"/>
      <c r="W97" s="24"/>
      <c r="X97" s="24"/>
      <c r="Y97" s="25"/>
      <c r="Z97" s="25" t="str">
        <f>IF(B97="","",IFERROR(INDEX(الزبائن!$AZ$6:$AZ$505,MATCH(B97,الزبائن!$A$6:$A$505,0)),"source key not found"))</f>
        <v/>
      </c>
      <c r="AA97" s="25" t="str">
        <f>IF(B97="","",IFERROR(INDEX(الزبائن!$BA$6:$BA$505,MATCH(B97,الزبائن!$A$6:$A$505,0)),"source key not found"))</f>
        <v/>
      </c>
      <c r="AB97" s="25" t="str">
        <f>IF(AND(A97="",C97="",D97="",H97="",K97="",L97=""),"",IF(C97="skip","SKIP",IF(OR(A97="",C97="",D97="",H97="",K97="",L97="",S97="",COUNTIF($A$6:$A$505,A97)&gt;1,AND(B97&lt;&gt;"",COUNTIF(الزبائن!$A$6:$A$505,B97)=0),(COUNTIFS('أرقام التواصل'!$A$6:$A$505,"proposed_name",'أرقام التواصل'!$B$6:$B$505,A97,'أرقام التواصل'!$I$6:$I$505,"TRUE")+COUNTIFS('أرقام التواصل'!$A$6:$A$505,"proposed_name",'أرقام التواصل'!$B$6:$B$505,A97,'أرقام التواصل'!$C$6:$C$505,1))=0,AND(U97="TRUE",V97="")),"REVIEW","READY")))</f>
        <v/>
      </c>
      <c r="AC97" s="27" t="str">
        <f>IF(AB97="","",IF(AB97="READY","",IF(AB97="SKIP","Skipped by candidate_import_action",TRIM(IF(A97="","missing proposed_name_key; ","")&amp;IF(AND(A97&lt;&gt;"",COUNTIF($A$6:$A$505,A97)&gt;1),"duplicate proposed_name_key; ","")&amp;IF(C97="","missing candidate_import_action; ","")&amp;IF(D97="","missing move_reason; ","")&amp;IF(H97="","missing branch_id; ","")&amp;IF(K97="","missing first_name; ","")&amp;IF(L97="","missing last_name; ","")&amp;IF(S97="","missing status; ","")&amp;IF(AND(B97&lt;&gt;"",COUNTIF(الزبائن!$A$6:$A$505,B97)=0),"source key not found; ","")&amp;IF((COUNTIFS('أرقام التواصل'!$A$6:$A$505,"proposed_name",'أرقام التواصل'!$B$6:$B$505,A97,'أرقام التواصل'!$I$6:$I$505,"TRUE")+COUNTIFS('أرقام التواصل'!$A$6:$A$505,"proposed_name",'أرقام التواصل'!$B$6:$B$505,A97,'أرقام التواصل'!$C$6:$C$505,1))=0,"missing primary contact in أرقام التواصل; ","")&amp;IF(AND(U97="TRUE",V97=""),"duplicate_type required when duplicate_flag TRUE; ","")))))</f>
        <v/>
      </c>
    </row>
    <row r="98" spans="1:29">
      <c r="A98" s="36"/>
      <c r="B98" s="24"/>
      <c r="C98" s="25"/>
      <c r="D98" s="25"/>
      <c r="E98" s="25"/>
      <c r="F98" s="24"/>
      <c r="G98" s="25"/>
      <c r="H98" s="25"/>
      <c r="I98" s="25"/>
      <c r="J98" s="25"/>
      <c r="K98" s="25"/>
      <c r="L98" s="25"/>
      <c r="M98" s="25"/>
      <c r="N98" s="25" t="str">
        <f t="shared" si="1"/>
        <v/>
      </c>
      <c r="O98" s="25"/>
      <c r="P98" s="25"/>
      <c r="Q98" s="25"/>
      <c r="R98" s="25"/>
      <c r="S98" s="25"/>
      <c r="T98" s="25"/>
      <c r="U98" s="25"/>
      <c r="V98" s="25"/>
      <c r="W98" s="24"/>
      <c r="X98" s="24"/>
      <c r="Y98" s="25"/>
      <c r="Z98" s="25" t="str">
        <f>IF(B98="","",IFERROR(INDEX(الزبائن!$AZ$6:$AZ$505,MATCH(B98,الزبائن!$A$6:$A$505,0)),"source key not found"))</f>
        <v/>
      </c>
      <c r="AA98" s="25" t="str">
        <f>IF(B98="","",IFERROR(INDEX(الزبائن!$BA$6:$BA$505,MATCH(B98,الزبائن!$A$6:$A$505,0)),"source key not found"))</f>
        <v/>
      </c>
      <c r="AB98" s="25" t="str">
        <f>IF(AND(A98="",C98="",D98="",H98="",K98="",L98=""),"",IF(C98="skip","SKIP",IF(OR(A98="",C98="",D98="",H98="",K98="",L98="",S98="",COUNTIF($A$6:$A$505,A98)&gt;1,AND(B98&lt;&gt;"",COUNTIF(الزبائن!$A$6:$A$505,B98)=0),(COUNTIFS('أرقام التواصل'!$A$6:$A$505,"proposed_name",'أرقام التواصل'!$B$6:$B$505,A98,'أرقام التواصل'!$I$6:$I$505,"TRUE")+COUNTIFS('أرقام التواصل'!$A$6:$A$505,"proposed_name",'أرقام التواصل'!$B$6:$B$505,A98,'أرقام التواصل'!$C$6:$C$505,1))=0,AND(U98="TRUE",V98="")),"REVIEW","READY")))</f>
        <v/>
      </c>
      <c r="AC98" s="27" t="str">
        <f>IF(AB98="","",IF(AB98="READY","",IF(AB98="SKIP","Skipped by candidate_import_action",TRIM(IF(A98="","missing proposed_name_key; ","")&amp;IF(AND(A98&lt;&gt;"",COUNTIF($A$6:$A$505,A98)&gt;1),"duplicate proposed_name_key; ","")&amp;IF(C98="","missing candidate_import_action; ","")&amp;IF(D98="","missing move_reason; ","")&amp;IF(H98="","missing branch_id; ","")&amp;IF(K98="","missing first_name; ","")&amp;IF(L98="","missing last_name; ","")&amp;IF(S98="","missing status; ","")&amp;IF(AND(B98&lt;&gt;"",COUNTIF(الزبائن!$A$6:$A$505,B98)=0),"source key not found; ","")&amp;IF((COUNTIFS('أرقام التواصل'!$A$6:$A$505,"proposed_name",'أرقام التواصل'!$B$6:$B$505,A98,'أرقام التواصل'!$I$6:$I$505,"TRUE")+COUNTIFS('أرقام التواصل'!$A$6:$A$505,"proposed_name",'أرقام التواصل'!$B$6:$B$505,A98,'أرقام التواصل'!$C$6:$C$505,1))=0,"missing primary contact in أرقام التواصل; ","")&amp;IF(AND(U98="TRUE",V98=""),"duplicate_type required when duplicate_flag TRUE; ","")))))</f>
        <v/>
      </c>
    </row>
    <row r="99" spans="1:29">
      <c r="A99" s="36"/>
      <c r="B99" s="24"/>
      <c r="C99" s="25"/>
      <c r="D99" s="25"/>
      <c r="E99" s="25"/>
      <c r="F99" s="24"/>
      <c r="G99" s="25"/>
      <c r="H99" s="25"/>
      <c r="I99" s="25"/>
      <c r="J99" s="25"/>
      <c r="K99" s="25"/>
      <c r="L99" s="25"/>
      <c r="M99" s="25"/>
      <c r="N99" s="25" t="str">
        <f t="shared" si="1"/>
        <v/>
      </c>
      <c r="O99" s="25"/>
      <c r="P99" s="25"/>
      <c r="Q99" s="25"/>
      <c r="R99" s="25"/>
      <c r="S99" s="25"/>
      <c r="T99" s="25"/>
      <c r="U99" s="25"/>
      <c r="V99" s="25"/>
      <c r="W99" s="24"/>
      <c r="X99" s="24"/>
      <c r="Y99" s="25"/>
      <c r="Z99" s="25" t="str">
        <f>IF(B99="","",IFERROR(INDEX(الزبائن!$AZ$6:$AZ$505,MATCH(B99,الزبائن!$A$6:$A$505,0)),"source key not found"))</f>
        <v/>
      </c>
      <c r="AA99" s="25" t="str">
        <f>IF(B99="","",IFERROR(INDEX(الزبائن!$BA$6:$BA$505,MATCH(B99,الزبائن!$A$6:$A$505,0)),"source key not found"))</f>
        <v/>
      </c>
      <c r="AB99" s="25" t="str">
        <f>IF(AND(A99="",C99="",D99="",H99="",K99="",L99=""),"",IF(C99="skip","SKIP",IF(OR(A99="",C99="",D99="",H99="",K99="",L99="",S99="",COUNTIF($A$6:$A$505,A99)&gt;1,AND(B99&lt;&gt;"",COUNTIF(الزبائن!$A$6:$A$505,B99)=0),(COUNTIFS('أرقام التواصل'!$A$6:$A$505,"proposed_name",'أرقام التواصل'!$B$6:$B$505,A99,'أرقام التواصل'!$I$6:$I$505,"TRUE")+COUNTIFS('أرقام التواصل'!$A$6:$A$505,"proposed_name",'أرقام التواصل'!$B$6:$B$505,A99,'أرقام التواصل'!$C$6:$C$505,1))=0,AND(U99="TRUE",V99="")),"REVIEW","READY")))</f>
        <v/>
      </c>
      <c r="AC99" s="27" t="str">
        <f>IF(AB99="","",IF(AB99="READY","",IF(AB99="SKIP","Skipped by candidate_import_action",TRIM(IF(A99="","missing proposed_name_key; ","")&amp;IF(AND(A99&lt;&gt;"",COUNTIF($A$6:$A$505,A99)&gt;1),"duplicate proposed_name_key; ","")&amp;IF(C99="","missing candidate_import_action; ","")&amp;IF(D99="","missing move_reason; ","")&amp;IF(H99="","missing branch_id; ","")&amp;IF(K99="","missing first_name; ","")&amp;IF(L99="","missing last_name; ","")&amp;IF(S99="","missing status; ","")&amp;IF(AND(B99&lt;&gt;"",COUNTIF(الزبائن!$A$6:$A$505,B99)=0),"source key not found; ","")&amp;IF((COUNTIFS('أرقام التواصل'!$A$6:$A$505,"proposed_name",'أرقام التواصل'!$B$6:$B$505,A99,'أرقام التواصل'!$I$6:$I$505,"TRUE")+COUNTIFS('أرقام التواصل'!$A$6:$A$505,"proposed_name",'أرقام التواصل'!$B$6:$B$505,A99,'أرقام التواصل'!$C$6:$C$505,1))=0,"missing primary contact in أرقام التواصل; ","")&amp;IF(AND(U99="TRUE",V99=""),"duplicate_type required when duplicate_flag TRUE; ","")))))</f>
        <v/>
      </c>
    </row>
    <row r="100" spans="1:29">
      <c r="A100" s="36"/>
      <c r="B100" s="24"/>
      <c r="C100" s="25"/>
      <c r="D100" s="25"/>
      <c r="E100" s="25"/>
      <c r="F100" s="24"/>
      <c r="G100" s="25"/>
      <c r="H100" s="25"/>
      <c r="I100" s="25"/>
      <c r="J100" s="25"/>
      <c r="K100" s="25"/>
      <c r="L100" s="25"/>
      <c r="M100" s="25"/>
      <c r="N100" s="25" t="str">
        <f t="shared" si="1"/>
        <v/>
      </c>
      <c r="O100" s="25"/>
      <c r="P100" s="25"/>
      <c r="Q100" s="25"/>
      <c r="R100" s="25"/>
      <c r="S100" s="25"/>
      <c r="T100" s="25"/>
      <c r="U100" s="25"/>
      <c r="V100" s="25"/>
      <c r="W100" s="24"/>
      <c r="X100" s="24"/>
      <c r="Y100" s="25"/>
      <c r="Z100" s="25" t="str">
        <f>IF(B100="","",IFERROR(INDEX(الزبائن!$AZ$6:$AZ$505,MATCH(B100,الزبائن!$A$6:$A$505,0)),"source key not found"))</f>
        <v/>
      </c>
      <c r="AA100" s="25" t="str">
        <f>IF(B100="","",IFERROR(INDEX(الزبائن!$BA$6:$BA$505,MATCH(B100,الزبائن!$A$6:$A$505,0)),"source key not found"))</f>
        <v/>
      </c>
      <c r="AB100" s="25" t="str">
        <f>IF(AND(A100="",C100="",D100="",H100="",K100="",L100=""),"",IF(C100="skip","SKIP",IF(OR(A100="",C100="",D100="",H100="",K100="",L100="",S100="",COUNTIF($A$6:$A$505,A100)&gt;1,AND(B100&lt;&gt;"",COUNTIF(الزبائن!$A$6:$A$505,B100)=0),(COUNTIFS('أرقام التواصل'!$A$6:$A$505,"proposed_name",'أرقام التواصل'!$B$6:$B$505,A100,'أرقام التواصل'!$I$6:$I$505,"TRUE")+COUNTIFS('أرقام التواصل'!$A$6:$A$505,"proposed_name",'أرقام التواصل'!$B$6:$B$505,A100,'أرقام التواصل'!$C$6:$C$505,1))=0,AND(U100="TRUE",V100="")),"REVIEW","READY")))</f>
        <v/>
      </c>
      <c r="AC100" s="27" t="str">
        <f>IF(AB100="","",IF(AB100="READY","",IF(AB100="SKIP","Skipped by candidate_import_action",TRIM(IF(A100="","missing proposed_name_key; ","")&amp;IF(AND(A100&lt;&gt;"",COUNTIF($A$6:$A$505,A100)&gt;1),"duplicate proposed_name_key; ","")&amp;IF(C100="","missing candidate_import_action; ","")&amp;IF(D100="","missing move_reason; ","")&amp;IF(H100="","missing branch_id; ","")&amp;IF(K100="","missing first_name; ","")&amp;IF(L100="","missing last_name; ","")&amp;IF(S100="","missing status; ","")&amp;IF(AND(B100&lt;&gt;"",COUNTIF(الزبائن!$A$6:$A$505,B100)=0),"source key not found; ","")&amp;IF((COUNTIFS('أرقام التواصل'!$A$6:$A$505,"proposed_name",'أرقام التواصل'!$B$6:$B$505,A100,'أرقام التواصل'!$I$6:$I$505,"TRUE")+COUNTIFS('أرقام التواصل'!$A$6:$A$505,"proposed_name",'أرقام التواصل'!$B$6:$B$505,A100,'أرقام التواصل'!$C$6:$C$505,1))=0,"missing primary contact in أرقام التواصل; ","")&amp;IF(AND(U100="TRUE",V100=""),"duplicate_type required when duplicate_flag TRUE; ","")))))</f>
        <v/>
      </c>
    </row>
    <row r="101" spans="1:29">
      <c r="A101" s="36"/>
      <c r="B101" s="24"/>
      <c r="C101" s="25"/>
      <c r="D101" s="25"/>
      <c r="E101" s="25"/>
      <c r="F101" s="24"/>
      <c r="G101" s="25"/>
      <c r="H101" s="25"/>
      <c r="I101" s="25"/>
      <c r="J101" s="25"/>
      <c r="K101" s="25"/>
      <c r="L101" s="25"/>
      <c r="M101" s="25"/>
      <c r="N101" s="25" t="str">
        <f t="shared" si="1"/>
        <v/>
      </c>
      <c r="O101" s="25"/>
      <c r="P101" s="25"/>
      <c r="Q101" s="25"/>
      <c r="R101" s="25"/>
      <c r="S101" s="25"/>
      <c r="T101" s="25"/>
      <c r="U101" s="25"/>
      <c r="V101" s="25"/>
      <c r="W101" s="24"/>
      <c r="X101" s="24"/>
      <c r="Y101" s="25"/>
      <c r="Z101" s="25" t="str">
        <f>IF(B101="","",IFERROR(INDEX(الزبائن!$AZ$6:$AZ$505,MATCH(B101,الزبائن!$A$6:$A$505,0)),"source key not found"))</f>
        <v/>
      </c>
      <c r="AA101" s="25" t="str">
        <f>IF(B101="","",IFERROR(INDEX(الزبائن!$BA$6:$BA$505,MATCH(B101,الزبائن!$A$6:$A$505,0)),"source key not found"))</f>
        <v/>
      </c>
      <c r="AB101" s="25" t="str">
        <f>IF(AND(A101="",C101="",D101="",H101="",K101="",L101=""),"",IF(C101="skip","SKIP",IF(OR(A101="",C101="",D101="",H101="",K101="",L101="",S101="",COUNTIF($A$6:$A$505,A101)&gt;1,AND(B101&lt;&gt;"",COUNTIF(الزبائن!$A$6:$A$505,B101)=0),(COUNTIFS('أرقام التواصل'!$A$6:$A$505,"proposed_name",'أرقام التواصل'!$B$6:$B$505,A101,'أرقام التواصل'!$I$6:$I$505,"TRUE")+COUNTIFS('أرقام التواصل'!$A$6:$A$505,"proposed_name",'أرقام التواصل'!$B$6:$B$505,A101,'أرقام التواصل'!$C$6:$C$505,1))=0,AND(U101="TRUE",V101="")),"REVIEW","READY")))</f>
        <v/>
      </c>
      <c r="AC101" s="27" t="str">
        <f>IF(AB101="","",IF(AB101="READY","",IF(AB101="SKIP","Skipped by candidate_import_action",TRIM(IF(A101="","missing proposed_name_key; ","")&amp;IF(AND(A101&lt;&gt;"",COUNTIF($A$6:$A$505,A101)&gt;1),"duplicate proposed_name_key; ","")&amp;IF(C101="","missing candidate_import_action; ","")&amp;IF(D101="","missing move_reason; ","")&amp;IF(H101="","missing branch_id; ","")&amp;IF(K101="","missing first_name; ","")&amp;IF(L101="","missing last_name; ","")&amp;IF(S101="","missing status; ","")&amp;IF(AND(B101&lt;&gt;"",COUNTIF(الزبائن!$A$6:$A$505,B101)=0),"source key not found; ","")&amp;IF((COUNTIFS('أرقام التواصل'!$A$6:$A$505,"proposed_name",'أرقام التواصل'!$B$6:$B$505,A101,'أرقام التواصل'!$I$6:$I$505,"TRUE")+COUNTIFS('أرقام التواصل'!$A$6:$A$505,"proposed_name",'أرقام التواصل'!$B$6:$B$505,A101,'أرقام التواصل'!$C$6:$C$505,1))=0,"missing primary contact in أرقام التواصل; ","")&amp;IF(AND(U101="TRUE",V101=""),"duplicate_type required when duplicate_flag TRUE; ","")))))</f>
        <v/>
      </c>
    </row>
    <row r="102" spans="1:29">
      <c r="A102" s="36"/>
      <c r="B102" s="24"/>
      <c r="C102" s="25"/>
      <c r="D102" s="25"/>
      <c r="E102" s="25"/>
      <c r="F102" s="24"/>
      <c r="G102" s="25"/>
      <c r="H102" s="25"/>
      <c r="I102" s="25"/>
      <c r="J102" s="25"/>
      <c r="K102" s="25"/>
      <c r="L102" s="25"/>
      <c r="M102" s="25"/>
      <c r="N102" s="25" t="str">
        <f t="shared" si="1"/>
        <v/>
      </c>
      <c r="O102" s="25"/>
      <c r="P102" s="25"/>
      <c r="Q102" s="25"/>
      <c r="R102" s="25"/>
      <c r="S102" s="25"/>
      <c r="T102" s="25"/>
      <c r="U102" s="25"/>
      <c r="V102" s="25"/>
      <c r="W102" s="24"/>
      <c r="X102" s="24"/>
      <c r="Y102" s="25"/>
      <c r="Z102" s="25" t="str">
        <f>IF(B102="","",IFERROR(INDEX(الزبائن!$AZ$6:$AZ$505,MATCH(B102,الزبائن!$A$6:$A$505,0)),"source key not found"))</f>
        <v/>
      </c>
      <c r="AA102" s="25" t="str">
        <f>IF(B102="","",IFERROR(INDEX(الزبائن!$BA$6:$BA$505,MATCH(B102,الزبائن!$A$6:$A$505,0)),"source key not found"))</f>
        <v/>
      </c>
      <c r="AB102" s="25" t="str">
        <f>IF(AND(A102="",C102="",D102="",H102="",K102="",L102=""),"",IF(C102="skip","SKIP",IF(OR(A102="",C102="",D102="",H102="",K102="",L102="",S102="",COUNTIF($A$6:$A$505,A102)&gt;1,AND(B102&lt;&gt;"",COUNTIF(الزبائن!$A$6:$A$505,B102)=0),(COUNTIFS('أرقام التواصل'!$A$6:$A$505,"proposed_name",'أرقام التواصل'!$B$6:$B$505,A102,'أرقام التواصل'!$I$6:$I$505,"TRUE")+COUNTIFS('أرقام التواصل'!$A$6:$A$505,"proposed_name",'أرقام التواصل'!$B$6:$B$505,A102,'أرقام التواصل'!$C$6:$C$505,1))=0,AND(U102="TRUE",V102="")),"REVIEW","READY")))</f>
        <v/>
      </c>
      <c r="AC102" s="27" t="str">
        <f>IF(AB102="","",IF(AB102="READY","",IF(AB102="SKIP","Skipped by candidate_import_action",TRIM(IF(A102="","missing proposed_name_key; ","")&amp;IF(AND(A102&lt;&gt;"",COUNTIF($A$6:$A$505,A102)&gt;1),"duplicate proposed_name_key; ","")&amp;IF(C102="","missing candidate_import_action; ","")&amp;IF(D102="","missing move_reason; ","")&amp;IF(H102="","missing branch_id; ","")&amp;IF(K102="","missing first_name; ","")&amp;IF(L102="","missing last_name; ","")&amp;IF(S102="","missing status; ","")&amp;IF(AND(B102&lt;&gt;"",COUNTIF(الزبائن!$A$6:$A$505,B102)=0),"source key not found; ","")&amp;IF((COUNTIFS('أرقام التواصل'!$A$6:$A$505,"proposed_name",'أرقام التواصل'!$B$6:$B$505,A102,'أرقام التواصل'!$I$6:$I$505,"TRUE")+COUNTIFS('أرقام التواصل'!$A$6:$A$505,"proposed_name",'أرقام التواصل'!$B$6:$B$505,A102,'أرقام التواصل'!$C$6:$C$505,1))=0,"missing primary contact in أرقام التواصل; ","")&amp;IF(AND(U102="TRUE",V102=""),"duplicate_type required when duplicate_flag TRUE; ","")))))</f>
        <v/>
      </c>
    </row>
    <row r="103" spans="1:29">
      <c r="A103" s="36"/>
      <c r="B103" s="24"/>
      <c r="C103" s="25"/>
      <c r="D103" s="25"/>
      <c r="E103" s="25"/>
      <c r="F103" s="24"/>
      <c r="G103" s="25"/>
      <c r="H103" s="25"/>
      <c r="I103" s="25"/>
      <c r="J103" s="25"/>
      <c r="K103" s="25"/>
      <c r="L103" s="25"/>
      <c r="M103" s="25"/>
      <c r="N103" s="25" t="str">
        <f t="shared" si="1"/>
        <v/>
      </c>
      <c r="O103" s="25"/>
      <c r="P103" s="25"/>
      <c r="Q103" s="25"/>
      <c r="R103" s="25"/>
      <c r="S103" s="25"/>
      <c r="T103" s="25"/>
      <c r="U103" s="25"/>
      <c r="V103" s="25"/>
      <c r="W103" s="24"/>
      <c r="X103" s="24"/>
      <c r="Y103" s="25"/>
      <c r="Z103" s="25" t="str">
        <f>IF(B103="","",IFERROR(INDEX(الزبائن!$AZ$6:$AZ$505,MATCH(B103,الزبائن!$A$6:$A$505,0)),"source key not found"))</f>
        <v/>
      </c>
      <c r="AA103" s="25" t="str">
        <f>IF(B103="","",IFERROR(INDEX(الزبائن!$BA$6:$BA$505,MATCH(B103,الزبائن!$A$6:$A$505,0)),"source key not found"))</f>
        <v/>
      </c>
      <c r="AB103" s="25" t="str">
        <f>IF(AND(A103="",C103="",D103="",H103="",K103="",L103=""),"",IF(C103="skip","SKIP",IF(OR(A103="",C103="",D103="",H103="",K103="",L103="",S103="",COUNTIF($A$6:$A$505,A103)&gt;1,AND(B103&lt;&gt;"",COUNTIF(الزبائن!$A$6:$A$505,B103)=0),(COUNTIFS('أرقام التواصل'!$A$6:$A$505,"proposed_name",'أرقام التواصل'!$B$6:$B$505,A103,'أرقام التواصل'!$I$6:$I$505,"TRUE")+COUNTIFS('أرقام التواصل'!$A$6:$A$505,"proposed_name",'أرقام التواصل'!$B$6:$B$505,A103,'أرقام التواصل'!$C$6:$C$505,1))=0,AND(U103="TRUE",V103="")),"REVIEW","READY")))</f>
        <v/>
      </c>
      <c r="AC103" s="27" t="str">
        <f>IF(AB103="","",IF(AB103="READY","",IF(AB103="SKIP","Skipped by candidate_import_action",TRIM(IF(A103="","missing proposed_name_key; ","")&amp;IF(AND(A103&lt;&gt;"",COUNTIF($A$6:$A$505,A103)&gt;1),"duplicate proposed_name_key; ","")&amp;IF(C103="","missing candidate_import_action; ","")&amp;IF(D103="","missing move_reason; ","")&amp;IF(H103="","missing branch_id; ","")&amp;IF(K103="","missing first_name; ","")&amp;IF(L103="","missing last_name; ","")&amp;IF(S103="","missing status; ","")&amp;IF(AND(B103&lt;&gt;"",COUNTIF(الزبائن!$A$6:$A$505,B103)=0),"source key not found; ","")&amp;IF((COUNTIFS('أرقام التواصل'!$A$6:$A$505,"proposed_name",'أرقام التواصل'!$B$6:$B$505,A103,'أرقام التواصل'!$I$6:$I$505,"TRUE")+COUNTIFS('أرقام التواصل'!$A$6:$A$505,"proposed_name",'أرقام التواصل'!$B$6:$B$505,A103,'أرقام التواصل'!$C$6:$C$505,1))=0,"missing primary contact in أرقام التواصل; ","")&amp;IF(AND(U103="TRUE",V103=""),"duplicate_type required when duplicate_flag TRUE; ","")))))</f>
        <v/>
      </c>
    </row>
    <row r="104" spans="1:29">
      <c r="A104" s="36"/>
      <c r="B104" s="24"/>
      <c r="C104" s="25"/>
      <c r="D104" s="25"/>
      <c r="E104" s="25"/>
      <c r="F104" s="24"/>
      <c r="G104" s="25"/>
      <c r="H104" s="25"/>
      <c r="I104" s="25"/>
      <c r="J104" s="25"/>
      <c r="K104" s="25"/>
      <c r="L104" s="25"/>
      <c r="M104" s="25"/>
      <c r="N104" s="25" t="str">
        <f t="shared" si="1"/>
        <v/>
      </c>
      <c r="O104" s="25"/>
      <c r="P104" s="25"/>
      <c r="Q104" s="25"/>
      <c r="R104" s="25"/>
      <c r="S104" s="25"/>
      <c r="T104" s="25"/>
      <c r="U104" s="25"/>
      <c r="V104" s="25"/>
      <c r="W104" s="24"/>
      <c r="X104" s="24"/>
      <c r="Y104" s="25"/>
      <c r="Z104" s="25" t="str">
        <f>IF(B104="","",IFERROR(INDEX(الزبائن!$AZ$6:$AZ$505,MATCH(B104,الزبائن!$A$6:$A$505,0)),"source key not found"))</f>
        <v/>
      </c>
      <c r="AA104" s="25" t="str">
        <f>IF(B104="","",IFERROR(INDEX(الزبائن!$BA$6:$BA$505,MATCH(B104,الزبائن!$A$6:$A$505,0)),"source key not found"))</f>
        <v/>
      </c>
      <c r="AB104" s="25" t="str">
        <f>IF(AND(A104="",C104="",D104="",H104="",K104="",L104=""),"",IF(C104="skip","SKIP",IF(OR(A104="",C104="",D104="",H104="",K104="",L104="",S104="",COUNTIF($A$6:$A$505,A104)&gt;1,AND(B104&lt;&gt;"",COUNTIF(الزبائن!$A$6:$A$505,B104)=0),(COUNTIFS('أرقام التواصل'!$A$6:$A$505,"proposed_name",'أرقام التواصل'!$B$6:$B$505,A104,'أرقام التواصل'!$I$6:$I$505,"TRUE")+COUNTIFS('أرقام التواصل'!$A$6:$A$505,"proposed_name",'أرقام التواصل'!$B$6:$B$505,A104,'أرقام التواصل'!$C$6:$C$505,1))=0,AND(U104="TRUE",V104="")),"REVIEW","READY")))</f>
        <v/>
      </c>
      <c r="AC104" s="27" t="str">
        <f>IF(AB104="","",IF(AB104="READY","",IF(AB104="SKIP","Skipped by candidate_import_action",TRIM(IF(A104="","missing proposed_name_key; ","")&amp;IF(AND(A104&lt;&gt;"",COUNTIF($A$6:$A$505,A104)&gt;1),"duplicate proposed_name_key; ","")&amp;IF(C104="","missing candidate_import_action; ","")&amp;IF(D104="","missing move_reason; ","")&amp;IF(H104="","missing branch_id; ","")&amp;IF(K104="","missing first_name; ","")&amp;IF(L104="","missing last_name; ","")&amp;IF(S104="","missing status; ","")&amp;IF(AND(B104&lt;&gt;"",COUNTIF(الزبائن!$A$6:$A$505,B104)=0),"source key not found; ","")&amp;IF((COUNTIFS('أرقام التواصل'!$A$6:$A$505,"proposed_name",'أرقام التواصل'!$B$6:$B$505,A104,'أرقام التواصل'!$I$6:$I$505,"TRUE")+COUNTIFS('أرقام التواصل'!$A$6:$A$505,"proposed_name",'أرقام التواصل'!$B$6:$B$505,A104,'أرقام التواصل'!$C$6:$C$505,1))=0,"missing primary contact in أرقام التواصل; ","")&amp;IF(AND(U104="TRUE",V104=""),"duplicate_type required when duplicate_flag TRUE; ","")))))</f>
        <v/>
      </c>
    </row>
    <row r="105" spans="1:29">
      <c r="A105" s="36"/>
      <c r="B105" s="24"/>
      <c r="C105" s="25"/>
      <c r="D105" s="25"/>
      <c r="E105" s="25"/>
      <c r="F105" s="24"/>
      <c r="G105" s="25"/>
      <c r="H105" s="25"/>
      <c r="I105" s="25"/>
      <c r="J105" s="25"/>
      <c r="K105" s="25"/>
      <c r="L105" s="25"/>
      <c r="M105" s="25"/>
      <c r="N105" s="25" t="str">
        <f t="shared" si="1"/>
        <v/>
      </c>
      <c r="O105" s="25"/>
      <c r="P105" s="25"/>
      <c r="Q105" s="25"/>
      <c r="R105" s="25"/>
      <c r="S105" s="25"/>
      <c r="T105" s="25"/>
      <c r="U105" s="25"/>
      <c r="V105" s="25"/>
      <c r="W105" s="24"/>
      <c r="X105" s="24"/>
      <c r="Y105" s="25"/>
      <c r="Z105" s="25" t="str">
        <f>IF(B105="","",IFERROR(INDEX(الزبائن!$AZ$6:$AZ$505,MATCH(B105,الزبائن!$A$6:$A$505,0)),"source key not found"))</f>
        <v/>
      </c>
      <c r="AA105" s="25" t="str">
        <f>IF(B105="","",IFERROR(INDEX(الزبائن!$BA$6:$BA$505,MATCH(B105,الزبائن!$A$6:$A$505,0)),"source key not found"))</f>
        <v/>
      </c>
      <c r="AB105" s="25" t="str">
        <f>IF(AND(A105="",C105="",D105="",H105="",K105="",L105=""),"",IF(C105="skip","SKIP",IF(OR(A105="",C105="",D105="",H105="",K105="",L105="",S105="",COUNTIF($A$6:$A$505,A105)&gt;1,AND(B105&lt;&gt;"",COUNTIF(الزبائن!$A$6:$A$505,B105)=0),(COUNTIFS('أرقام التواصل'!$A$6:$A$505,"proposed_name",'أرقام التواصل'!$B$6:$B$505,A105,'أرقام التواصل'!$I$6:$I$505,"TRUE")+COUNTIFS('أرقام التواصل'!$A$6:$A$505,"proposed_name",'أرقام التواصل'!$B$6:$B$505,A105,'أرقام التواصل'!$C$6:$C$505,1))=0,AND(U105="TRUE",V105="")),"REVIEW","READY")))</f>
        <v/>
      </c>
      <c r="AC105" s="27" t="str">
        <f>IF(AB105="","",IF(AB105="READY","",IF(AB105="SKIP","Skipped by candidate_import_action",TRIM(IF(A105="","missing proposed_name_key; ","")&amp;IF(AND(A105&lt;&gt;"",COUNTIF($A$6:$A$505,A105)&gt;1),"duplicate proposed_name_key; ","")&amp;IF(C105="","missing candidate_import_action; ","")&amp;IF(D105="","missing move_reason; ","")&amp;IF(H105="","missing branch_id; ","")&amp;IF(K105="","missing first_name; ","")&amp;IF(L105="","missing last_name; ","")&amp;IF(S105="","missing status; ","")&amp;IF(AND(B105&lt;&gt;"",COUNTIF(الزبائن!$A$6:$A$505,B105)=0),"source key not found; ","")&amp;IF((COUNTIFS('أرقام التواصل'!$A$6:$A$505,"proposed_name",'أرقام التواصل'!$B$6:$B$505,A105,'أرقام التواصل'!$I$6:$I$505,"TRUE")+COUNTIFS('أرقام التواصل'!$A$6:$A$505,"proposed_name",'أرقام التواصل'!$B$6:$B$505,A105,'أرقام التواصل'!$C$6:$C$505,1))=0,"missing primary contact in أرقام التواصل; ","")&amp;IF(AND(U105="TRUE",V105=""),"duplicate_type required when duplicate_flag TRUE; ","")))))</f>
        <v/>
      </c>
    </row>
    <row r="106" spans="1:29">
      <c r="A106" s="36"/>
      <c r="B106" s="24"/>
      <c r="C106" s="25"/>
      <c r="D106" s="25"/>
      <c r="E106" s="25"/>
      <c r="F106" s="24"/>
      <c r="G106" s="25"/>
      <c r="H106" s="25"/>
      <c r="I106" s="25"/>
      <c r="J106" s="25"/>
      <c r="K106" s="25"/>
      <c r="L106" s="25"/>
      <c r="M106" s="25"/>
      <c r="N106" s="25" t="str">
        <f t="shared" si="1"/>
        <v/>
      </c>
      <c r="O106" s="25"/>
      <c r="P106" s="25"/>
      <c r="Q106" s="25"/>
      <c r="R106" s="25"/>
      <c r="S106" s="25"/>
      <c r="T106" s="25"/>
      <c r="U106" s="25"/>
      <c r="V106" s="25"/>
      <c r="W106" s="24"/>
      <c r="X106" s="24"/>
      <c r="Y106" s="25"/>
      <c r="Z106" s="25" t="str">
        <f>IF(B106="","",IFERROR(INDEX(الزبائن!$AZ$6:$AZ$505,MATCH(B106,الزبائن!$A$6:$A$505,0)),"source key not found"))</f>
        <v/>
      </c>
      <c r="AA106" s="25" t="str">
        <f>IF(B106="","",IFERROR(INDEX(الزبائن!$BA$6:$BA$505,MATCH(B106,الزبائن!$A$6:$A$505,0)),"source key not found"))</f>
        <v/>
      </c>
      <c r="AB106" s="25" t="str">
        <f>IF(AND(A106="",C106="",D106="",H106="",K106="",L106=""),"",IF(C106="skip","SKIP",IF(OR(A106="",C106="",D106="",H106="",K106="",L106="",S106="",COUNTIF($A$6:$A$505,A106)&gt;1,AND(B106&lt;&gt;"",COUNTIF(الزبائن!$A$6:$A$505,B106)=0),(COUNTIFS('أرقام التواصل'!$A$6:$A$505,"proposed_name",'أرقام التواصل'!$B$6:$B$505,A106,'أرقام التواصل'!$I$6:$I$505,"TRUE")+COUNTIFS('أرقام التواصل'!$A$6:$A$505,"proposed_name",'أرقام التواصل'!$B$6:$B$505,A106,'أرقام التواصل'!$C$6:$C$505,1))=0,AND(U106="TRUE",V106="")),"REVIEW","READY")))</f>
        <v/>
      </c>
      <c r="AC106" s="27" t="str">
        <f>IF(AB106="","",IF(AB106="READY","",IF(AB106="SKIP","Skipped by candidate_import_action",TRIM(IF(A106="","missing proposed_name_key; ","")&amp;IF(AND(A106&lt;&gt;"",COUNTIF($A$6:$A$505,A106)&gt;1),"duplicate proposed_name_key; ","")&amp;IF(C106="","missing candidate_import_action; ","")&amp;IF(D106="","missing move_reason; ","")&amp;IF(H106="","missing branch_id; ","")&amp;IF(K106="","missing first_name; ","")&amp;IF(L106="","missing last_name; ","")&amp;IF(S106="","missing status; ","")&amp;IF(AND(B106&lt;&gt;"",COUNTIF(الزبائن!$A$6:$A$505,B106)=0),"source key not found; ","")&amp;IF((COUNTIFS('أرقام التواصل'!$A$6:$A$505,"proposed_name",'أرقام التواصل'!$B$6:$B$505,A106,'أرقام التواصل'!$I$6:$I$505,"TRUE")+COUNTIFS('أرقام التواصل'!$A$6:$A$505,"proposed_name",'أرقام التواصل'!$B$6:$B$505,A106,'أرقام التواصل'!$C$6:$C$505,1))=0,"missing primary contact in أرقام التواصل; ","")&amp;IF(AND(U106="TRUE",V106=""),"duplicate_type required when duplicate_flag TRUE; ","")))))</f>
        <v/>
      </c>
    </row>
    <row r="107" spans="1:29">
      <c r="A107" s="36"/>
      <c r="B107" s="24"/>
      <c r="C107" s="25"/>
      <c r="D107" s="25"/>
      <c r="E107" s="25"/>
      <c r="F107" s="24"/>
      <c r="G107" s="25"/>
      <c r="H107" s="25"/>
      <c r="I107" s="25"/>
      <c r="J107" s="25"/>
      <c r="K107" s="25"/>
      <c r="L107" s="25"/>
      <c r="M107" s="25"/>
      <c r="N107" s="25" t="str">
        <f t="shared" si="1"/>
        <v/>
      </c>
      <c r="O107" s="25"/>
      <c r="P107" s="25"/>
      <c r="Q107" s="25"/>
      <c r="R107" s="25"/>
      <c r="S107" s="25"/>
      <c r="T107" s="25"/>
      <c r="U107" s="25"/>
      <c r="V107" s="25"/>
      <c r="W107" s="24"/>
      <c r="X107" s="24"/>
      <c r="Y107" s="25"/>
      <c r="Z107" s="25" t="str">
        <f>IF(B107="","",IFERROR(INDEX(الزبائن!$AZ$6:$AZ$505,MATCH(B107,الزبائن!$A$6:$A$505,0)),"source key not found"))</f>
        <v/>
      </c>
      <c r="AA107" s="25" t="str">
        <f>IF(B107="","",IFERROR(INDEX(الزبائن!$BA$6:$BA$505,MATCH(B107,الزبائن!$A$6:$A$505,0)),"source key not found"))</f>
        <v/>
      </c>
      <c r="AB107" s="25" t="str">
        <f>IF(AND(A107="",C107="",D107="",H107="",K107="",L107=""),"",IF(C107="skip","SKIP",IF(OR(A107="",C107="",D107="",H107="",K107="",L107="",S107="",COUNTIF($A$6:$A$505,A107)&gt;1,AND(B107&lt;&gt;"",COUNTIF(الزبائن!$A$6:$A$505,B107)=0),(COUNTIFS('أرقام التواصل'!$A$6:$A$505,"proposed_name",'أرقام التواصل'!$B$6:$B$505,A107,'أرقام التواصل'!$I$6:$I$505,"TRUE")+COUNTIFS('أرقام التواصل'!$A$6:$A$505,"proposed_name",'أرقام التواصل'!$B$6:$B$505,A107,'أرقام التواصل'!$C$6:$C$505,1))=0,AND(U107="TRUE",V107="")),"REVIEW","READY")))</f>
        <v/>
      </c>
      <c r="AC107" s="27" t="str">
        <f>IF(AB107="","",IF(AB107="READY","",IF(AB107="SKIP","Skipped by candidate_import_action",TRIM(IF(A107="","missing proposed_name_key; ","")&amp;IF(AND(A107&lt;&gt;"",COUNTIF($A$6:$A$505,A107)&gt;1),"duplicate proposed_name_key; ","")&amp;IF(C107="","missing candidate_import_action; ","")&amp;IF(D107="","missing move_reason; ","")&amp;IF(H107="","missing branch_id; ","")&amp;IF(K107="","missing first_name; ","")&amp;IF(L107="","missing last_name; ","")&amp;IF(S107="","missing status; ","")&amp;IF(AND(B107&lt;&gt;"",COUNTIF(الزبائن!$A$6:$A$505,B107)=0),"source key not found; ","")&amp;IF((COUNTIFS('أرقام التواصل'!$A$6:$A$505,"proposed_name",'أرقام التواصل'!$B$6:$B$505,A107,'أرقام التواصل'!$I$6:$I$505,"TRUE")+COUNTIFS('أرقام التواصل'!$A$6:$A$505,"proposed_name",'أرقام التواصل'!$B$6:$B$505,A107,'أرقام التواصل'!$C$6:$C$505,1))=0,"missing primary contact in أرقام التواصل; ","")&amp;IF(AND(U107="TRUE",V107=""),"duplicate_type required when duplicate_flag TRUE; ","")))))</f>
        <v/>
      </c>
    </row>
    <row r="108" spans="1:29">
      <c r="A108" s="36"/>
      <c r="B108" s="24"/>
      <c r="C108" s="25"/>
      <c r="D108" s="25"/>
      <c r="E108" s="25"/>
      <c r="F108" s="24"/>
      <c r="G108" s="25"/>
      <c r="H108" s="25"/>
      <c r="I108" s="25"/>
      <c r="J108" s="25"/>
      <c r="K108" s="25"/>
      <c r="L108" s="25"/>
      <c r="M108" s="25"/>
      <c r="N108" s="25" t="str">
        <f t="shared" si="1"/>
        <v/>
      </c>
      <c r="O108" s="25"/>
      <c r="P108" s="25"/>
      <c r="Q108" s="25"/>
      <c r="R108" s="25"/>
      <c r="S108" s="25"/>
      <c r="T108" s="25"/>
      <c r="U108" s="25"/>
      <c r="V108" s="25"/>
      <c r="W108" s="24"/>
      <c r="X108" s="24"/>
      <c r="Y108" s="25"/>
      <c r="Z108" s="25" t="str">
        <f>IF(B108="","",IFERROR(INDEX(الزبائن!$AZ$6:$AZ$505,MATCH(B108,الزبائن!$A$6:$A$505,0)),"source key not found"))</f>
        <v/>
      </c>
      <c r="AA108" s="25" t="str">
        <f>IF(B108="","",IFERROR(INDEX(الزبائن!$BA$6:$BA$505,MATCH(B108,الزبائن!$A$6:$A$505,0)),"source key not found"))</f>
        <v/>
      </c>
      <c r="AB108" s="25" t="str">
        <f>IF(AND(A108="",C108="",D108="",H108="",K108="",L108=""),"",IF(C108="skip","SKIP",IF(OR(A108="",C108="",D108="",H108="",K108="",L108="",S108="",COUNTIF($A$6:$A$505,A108)&gt;1,AND(B108&lt;&gt;"",COUNTIF(الزبائن!$A$6:$A$505,B108)=0),(COUNTIFS('أرقام التواصل'!$A$6:$A$505,"proposed_name",'أرقام التواصل'!$B$6:$B$505,A108,'أرقام التواصل'!$I$6:$I$505,"TRUE")+COUNTIFS('أرقام التواصل'!$A$6:$A$505,"proposed_name",'أرقام التواصل'!$B$6:$B$505,A108,'أرقام التواصل'!$C$6:$C$505,1))=0,AND(U108="TRUE",V108="")),"REVIEW","READY")))</f>
        <v/>
      </c>
      <c r="AC108" s="27" t="str">
        <f>IF(AB108="","",IF(AB108="READY","",IF(AB108="SKIP","Skipped by candidate_import_action",TRIM(IF(A108="","missing proposed_name_key; ","")&amp;IF(AND(A108&lt;&gt;"",COUNTIF($A$6:$A$505,A108)&gt;1),"duplicate proposed_name_key; ","")&amp;IF(C108="","missing candidate_import_action; ","")&amp;IF(D108="","missing move_reason; ","")&amp;IF(H108="","missing branch_id; ","")&amp;IF(K108="","missing first_name; ","")&amp;IF(L108="","missing last_name; ","")&amp;IF(S108="","missing status; ","")&amp;IF(AND(B108&lt;&gt;"",COUNTIF(الزبائن!$A$6:$A$505,B108)=0),"source key not found; ","")&amp;IF((COUNTIFS('أرقام التواصل'!$A$6:$A$505,"proposed_name",'أرقام التواصل'!$B$6:$B$505,A108,'أرقام التواصل'!$I$6:$I$505,"TRUE")+COUNTIFS('أرقام التواصل'!$A$6:$A$505,"proposed_name",'أرقام التواصل'!$B$6:$B$505,A108,'أرقام التواصل'!$C$6:$C$505,1))=0,"missing primary contact in أرقام التواصل; ","")&amp;IF(AND(U108="TRUE",V108=""),"duplicate_type required when duplicate_flag TRUE; ","")))))</f>
        <v/>
      </c>
    </row>
    <row r="109" spans="1:29">
      <c r="A109" s="36"/>
      <c r="B109" s="24"/>
      <c r="C109" s="25"/>
      <c r="D109" s="25"/>
      <c r="E109" s="25"/>
      <c r="F109" s="24"/>
      <c r="G109" s="25"/>
      <c r="H109" s="25"/>
      <c r="I109" s="25"/>
      <c r="J109" s="25"/>
      <c r="K109" s="25"/>
      <c r="L109" s="25"/>
      <c r="M109" s="25"/>
      <c r="N109" s="25" t="str">
        <f t="shared" si="1"/>
        <v/>
      </c>
      <c r="O109" s="25"/>
      <c r="P109" s="25"/>
      <c r="Q109" s="25"/>
      <c r="R109" s="25"/>
      <c r="S109" s="25"/>
      <c r="T109" s="25"/>
      <c r="U109" s="25"/>
      <c r="V109" s="25"/>
      <c r="W109" s="24"/>
      <c r="X109" s="24"/>
      <c r="Y109" s="25"/>
      <c r="Z109" s="25" t="str">
        <f>IF(B109="","",IFERROR(INDEX(الزبائن!$AZ$6:$AZ$505,MATCH(B109,الزبائن!$A$6:$A$505,0)),"source key not found"))</f>
        <v/>
      </c>
      <c r="AA109" s="25" t="str">
        <f>IF(B109="","",IFERROR(INDEX(الزبائن!$BA$6:$BA$505,MATCH(B109,الزبائن!$A$6:$A$505,0)),"source key not found"))</f>
        <v/>
      </c>
      <c r="AB109" s="25" t="str">
        <f>IF(AND(A109="",C109="",D109="",H109="",K109="",L109=""),"",IF(C109="skip","SKIP",IF(OR(A109="",C109="",D109="",H109="",K109="",L109="",S109="",COUNTIF($A$6:$A$505,A109)&gt;1,AND(B109&lt;&gt;"",COUNTIF(الزبائن!$A$6:$A$505,B109)=0),(COUNTIFS('أرقام التواصل'!$A$6:$A$505,"proposed_name",'أرقام التواصل'!$B$6:$B$505,A109,'أرقام التواصل'!$I$6:$I$505,"TRUE")+COUNTIFS('أرقام التواصل'!$A$6:$A$505,"proposed_name",'أرقام التواصل'!$B$6:$B$505,A109,'أرقام التواصل'!$C$6:$C$505,1))=0,AND(U109="TRUE",V109="")),"REVIEW","READY")))</f>
        <v/>
      </c>
      <c r="AC109" s="27" t="str">
        <f>IF(AB109="","",IF(AB109="READY","",IF(AB109="SKIP","Skipped by candidate_import_action",TRIM(IF(A109="","missing proposed_name_key; ","")&amp;IF(AND(A109&lt;&gt;"",COUNTIF($A$6:$A$505,A109)&gt;1),"duplicate proposed_name_key; ","")&amp;IF(C109="","missing candidate_import_action; ","")&amp;IF(D109="","missing move_reason; ","")&amp;IF(H109="","missing branch_id; ","")&amp;IF(K109="","missing first_name; ","")&amp;IF(L109="","missing last_name; ","")&amp;IF(S109="","missing status; ","")&amp;IF(AND(B109&lt;&gt;"",COUNTIF(الزبائن!$A$6:$A$505,B109)=0),"source key not found; ","")&amp;IF((COUNTIFS('أرقام التواصل'!$A$6:$A$505,"proposed_name",'أرقام التواصل'!$B$6:$B$505,A109,'أرقام التواصل'!$I$6:$I$505,"TRUE")+COUNTIFS('أرقام التواصل'!$A$6:$A$505,"proposed_name",'أرقام التواصل'!$B$6:$B$505,A109,'أرقام التواصل'!$C$6:$C$505,1))=0,"missing primary contact in أرقام التواصل; ","")&amp;IF(AND(U109="TRUE",V109=""),"duplicate_type required when duplicate_flag TRUE; ","")))))</f>
        <v/>
      </c>
    </row>
    <row r="110" spans="1:29">
      <c r="A110" s="36"/>
      <c r="B110" s="24"/>
      <c r="C110" s="25"/>
      <c r="D110" s="25"/>
      <c r="E110" s="25"/>
      <c r="F110" s="24"/>
      <c r="G110" s="25"/>
      <c r="H110" s="25"/>
      <c r="I110" s="25"/>
      <c r="J110" s="25"/>
      <c r="K110" s="25"/>
      <c r="L110" s="25"/>
      <c r="M110" s="25"/>
      <c r="N110" s="25" t="str">
        <f t="shared" si="1"/>
        <v/>
      </c>
      <c r="O110" s="25"/>
      <c r="P110" s="25"/>
      <c r="Q110" s="25"/>
      <c r="R110" s="25"/>
      <c r="S110" s="25"/>
      <c r="T110" s="25"/>
      <c r="U110" s="25"/>
      <c r="V110" s="25"/>
      <c r="W110" s="24"/>
      <c r="X110" s="24"/>
      <c r="Y110" s="25"/>
      <c r="Z110" s="25" t="str">
        <f>IF(B110="","",IFERROR(INDEX(الزبائن!$AZ$6:$AZ$505,MATCH(B110,الزبائن!$A$6:$A$505,0)),"source key not found"))</f>
        <v/>
      </c>
      <c r="AA110" s="25" t="str">
        <f>IF(B110="","",IFERROR(INDEX(الزبائن!$BA$6:$BA$505,MATCH(B110,الزبائن!$A$6:$A$505,0)),"source key not found"))</f>
        <v/>
      </c>
      <c r="AB110" s="25" t="str">
        <f>IF(AND(A110="",C110="",D110="",H110="",K110="",L110=""),"",IF(C110="skip","SKIP",IF(OR(A110="",C110="",D110="",H110="",K110="",L110="",S110="",COUNTIF($A$6:$A$505,A110)&gt;1,AND(B110&lt;&gt;"",COUNTIF(الزبائن!$A$6:$A$505,B110)=0),(COUNTIFS('أرقام التواصل'!$A$6:$A$505,"proposed_name",'أرقام التواصل'!$B$6:$B$505,A110,'أرقام التواصل'!$I$6:$I$505,"TRUE")+COUNTIFS('أرقام التواصل'!$A$6:$A$505,"proposed_name",'أرقام التواصل'!$B$6:$B$505,A110,'أرقام التواصل'!$C$6:$C$505,1))=0,AND(U110="TRUE",V110="")),"REVIEW","READY")))</f>
        <v/>
      </c>
      <c r="AC110" s="27" t="str">
        <f>IF(AB110="","",IF(AB110="READY","",IF(AB110="SKIP","Skipped by candidate_import_action",TRIM(IF(A110="","missing proposed_name_key; ","")&amp;IF(AND(A110&lt;&gt;"",COUNTIF($A$6:$A$505,A110)&gt;1),"duplicate proposed_name_key; ","")&amp;IF(C110="","missing candidate_import_action; ","")&amp;IF(D110="","missing move_reason; ","")&amp;IF(H110="","missing branch_id; ","")&amp;IF(K110="","missing first_name; ","")&amp;IF(L110="","missing last_name; ","")&amp;IF(S110="","missing status; ","")&amp;IF(AND(B110&lt;&gt;"",COUNTIF(الزبائن!$A$6:$A$505,B110)=0),"source key not found; ","")&amp;IF((COUNTIFS('أرقام التواصل'!$A$6:$A$505,"proposed_name",'أرقام التواصل'!$B$6:$B$505,A110,'أرقام التواصل'!$I$6:$I$505,"TRUE")+COUNTIFS('أرقام التواصل'!$A$6:$A$505,"proposed_name",'أرقام التواصل'!$B$6:$B$505,A110,'أرقام التواصل'!$C$6:$C$505,1))=0,"missing primary contact in أرقام التواصل; ","")&amp;IF(AND(U110="TRUE",V110=""),"duplicate_type required when duplicate_flag TRUE; ","")))))</f>
        <v/>
      </c>
    </row>
    <row r="111" spans="1:29">
      <c r="A111" s="36"/>
      <c r="B111" s="24"/>
      <c r="C111" s="25"/>
      <c r="D111" s="25"/>
      <c r="E111" s="25"/>
      <c r="F111" s="24"/>
      <c r="G111" s="25"/>
      <c r="H111" s="25"/>
      <c r="I111" s="25"/>
      <c r="J111" s="25"/>
      <c r="K111" s="25"/>
      <c r="L111" s="25"/>
      <c r="M111" s="25"/>
      <c r="N111" s="25" t="str">
        <f t="shared" si="1"/>
        <v/>
      </c>
      <c r="O111" s="25"/>
      <c r="P111" s="25"/>
      <c r="Q111" s="25"/>
      <c r="R111" s="25"/>
      <c r="S111" s="25"/>
      <c r="T111" s="25"/>
      <c r="U111" s="25"/>
      <c r="V111" s="25"/>
      <c r="W111" s="24"/>
      <c r="X111" s="24"/>
      <c r="Y111" s="25"/>
      <c r="Z111" s="25" t="str">
        <f>IF(B111="","",IFERROR(INDEX(الزبائن!$AZ$6:$AZ$505,MATCH(B111,الزبائن!$A$6:$A$505,0)),"source key not found"))</f>
        <v/>
      </c>
      <c r="AA111" s="25" t="str">
        <f>IF(B111="","",IFERROR(INDEX(الزبائن!$BA$6:$BA$505,MATCH(B111,الزبائن!$A$6:$A$505,0)),"source key not found"))</f>
        <v/>
      </c>
      <c r="AB111" s="25" t="str">
        <f>IF(AND(A111="",C111="",D111="",H111="",K111="",L111=""),"",IF(C111="skip","SKIP",IF(OR(A111="",C111="",D111="",H111="",K111="",L111="",S111="",COUNTIF($A$6:$A$505,A111)&gt;1,AND(B111&lt;&gt;"",COUNTIF(الزبائن!$A$6:$A$505,B111)=0),(COUNTIFS('أرقام التواصل'!$A$6:$A$505,"proposed_name",'أرقام التواصل'!$B$6:$B$505,A111,'أرقام التواصل'!$I$6:$I$505,"TRUE")+COUNTIFS('أرقام التواصل'!$A$6:$A$505,"proposed_name",'أرقام التواصل'!$B$6:$B$505,A111,'أرقام التواصل'!$C$6:$C$505,1))=0,AND(U111="TRUE",V111="")),"REVIEW","READY")))</f>
        <v/>
      </c>
      <c r="AC111" s="27" t="str">
        <f>IF(AB111="","",IF(AB111="READY","",IF(AB111="SKIP","Skipped by candidate_import_action",TRIM(IF(A111="","missing proposed_name_key; ","")&amp;IF(AND(A111&lt;&gt;"",COUNTIF($A$6:$A$505,A111)&gt;1),"duplicate proposed_name_key; ","")&amp;IF(C111="","missing candidate_import_action; ","")&amp;IF(D111="","missing move_reason; ","")&amp;IF(H111="","missing branch_id; ","")&amp;IF(K111="","missing first_name; ","")&amp;IF(L111="","missing last_name; ","")&amp;IF(S111="","missing status; ","")&amp;IF(AND(B111&lt;&gt;"",COUNTIF(الزبائن!$A$6:$A$505,B111)=0),"source key not found; ","")&amp;IF((COUNTIFS('أرقام التواصل'!$A$6:$A$505,"proposed_name",'أرقام التواصل'!$B$6:$B$505,A111,'أرقام التواصل'!$I$6:$I$505,"TRUE")+COUNTIFS('أرقام التواصل'!$A$6:$A$505,"proposed_name",'أرقام التواصل'!$B$6:$B$505,A111,'أرقام التواصل'!$C$6:$C$505,1))=0,"missing primary contact in أرقام التواصل; ","")&amp;IF(AND(U111="TRUE",V111=""),"duplicate_type required when duplicate_flag TRUE; ","")))))</f>
        <v/>
      </c>
    </row>
    <row r="112" spans="1:29">
      <c r="A112" s="36"/>
      <c r="B112" s="24"/>
      <c r="C112" s="25"/>
      <c r="D112" s="25"/>
      <c r="E112" s="25"/>
      <c r="F112" s="24"/>
      <c r="G112" s="25"/>
      <c r="H112" s="25"/>
      <c r="I112" s="25"/>
      <c r="J112" s="25"/>
      <c r="K112" s="25"/>
      <c r="L112" s="25"/>
      <c r="M112" s="25"/>
      <c r="N112" s="25" t="str">
        <f t="shared" si="1"/>
        <v/>
      </c>
      <c r="O112" s="25"/>
      <c r="P112" s="25"/>
      <c r="Q112" s="25"/>
      <c r="R112" s="25"/>
      <c r="S112" s="25"/>
      <c r="T112" s="25"/>
      <c r="U112" s="25"/>
      <c r="V112" s="25"/>
      <c r="W112" s="24"/>
      <c r="X112" s="24"/>
      <c r="Y112" s="25"/>
      <c r="Z112" s="25" t="str">
        <f>IF(B112="","",IFERROR(INDEX(الزبائن!$AZ$6:$AZ$505,MATCH(B112,الزبائن!$A$6:$A$505,0)),"source key not found"))</f>
        <v/>
      </c>
      <c r="AA112" s="25" t="str">
        <f>IF(B112="","",IFERROR(INDEX(الزبائن!$BA$6:$BA$505,MATCH(B112,الزبائن!$A$6:$A$505,0)),"source key not found"))</f>
        <v/>
      </c>
      <c r="AB112" s="25" t="str">
        <f>IF(AND(A112="",C112="",D112="",H112="",K112="",L112=""),"",IF(C112="skip","SKIP",IF(OR(A112="",C112="",D112="",H112="",K112="",L112="",S112="",COUNTIF($A$6:$A$505,A112)&gt;1,AND(B112&lt;&gt;"",COUNTIF(الزبائن!$A$6:$A$505,B112)=0),(COUNTIFS('أرقام التواصل'!$A$6:$A$505,"proposed_name",'أرقام التواصل'!$B$6:$B$505,A112,'أرقام التواصل'!$I$6:$I$505,"TRUE")+COUNTIFS('أرقام التواصل'!$A$6:$A$505,"proposed_name",'أرقام التواصل'!$B$6:$B$505,A112,'أرقام التواصل'!$C$6:$C$505,1))=0,AND(U112="TRUE",V112="")),"REVIEW","READY")))</f>
        <v/>
      </c>
      <c r="AC112" s="27" t="str">
        <f>IF(AB112="","",IF(AB112="READY","",IF(AB112="SKIP","Skipped by candidate_import_action",TRIM(IF(A112="","missing proposed_name_key; ","")&amp;IF(AND(A112&lt;&gt;"",COUNTIF($A$6:$A$505,A112)&gt;1),"duplicate proposed_name_key; ","")&amp;IF(C112="","missing candidate_import_action; ","")&amp;IF(D112="","missing move_reason; ","")&amp;IF(H112="","missing branch_id; ","")&amp;IF(K112="","missing first_name; ","")&amp;IF(L112="","missing last_name; ","")&amp;IF(S112="","missing status; ","")&amp;IF(AND(B112&lt;&gt;"",COUNTIF(الزبائن!$A$6:$A$505,B112)=0),"source key not found; ","")&amp;IF((COUNTIFS('أرقام التواصل'!$A$6:$A$505,"proposed_name",'أرقام التواصل'!$B$6:$B$505,A112,'أرقام التواصل'!$I$6:$I$505,"TRUE")+COUNTIFS('أرقام التواصل'!$A$6:$A$505,"proposed_name",'أرقام التواصل'!$B$6:$B$505,A112,'أرقام التواصل'!$C$6:$C$505,1))=0,"missing primary contact in أرقام التواصل; ","")&amp;IF(AND(U112="TRUE",V112=""),"duplicate_type required when duplicate_flag TRUE; ","")))))</f>
        <v/>
      </c>
    </row>
    <row r="113" spans="1:29">
      <c r="A113" s="36"/>
      <c r="B113" s="24"/>
      <c r="C113" s="25"/>
      <c r="D113" s="25"/>
      <c r="E113" s="25"/>
      <c r="F113" s="24"/>
      <c r="G113" s="25"/>
      <c r="H113" s="25"/>
      <c r="I113" s="25"/>
      <c r="J113" s="25"/>
      <c r="K113" s="25"/>
      <c r="L113" s="25"/>
      <c r="M113" s="25"/>
      <c r="N113" s="25" t="str">
        <f t="shared" si="1"/>
        <v/>
      </c>
      <c r="O113" s="25"/>
      <c r="P113" s="25"/>
      <c r="Q113" s="25"/>
      <c r="R113" s="25"/>
      <c r="S113" s="25"/>
      <c r="T113" s="25"/>
      <c r="U113" s="25"/>
      <c r="V113" s="25"/>
      <c r="W113" s="24"/>
      <c r="X113" s="24"/>
      <c r="Y113" s="25"/>
      <c r="Z113" s="25" t="str">
        <f>IF(B113="","",IFERROR(INDEX(الزبائن!$AZ$6:$AZ$505,MATCH(B113,الزبائن!$A$6:$A$505,0)),"source key not found"))</f>
        <v/>
      </c>
      <c r="AA113" s="25" t="str">
        <f>IF(B113="","",IFERROR(INDEX(الزبائن!$BA$6:$BA$505,MATCH(B113,الزبائن!$A$6:$A$505,0)),"source key not found"))</f>
        <v/>
      </c>
      <c r="AB113" s="25" t="str">
        <f>IF(AND(A113="",C113="",D113="",H113="",K113="",L113=""),"",IF(C113="skip","SKIP",IF(OR(A113="",C113="",D113="",H113="",K113="",L113="",S113="",COUNTIF($A$6:$A$505,A113)&gt;1,AND(B113&lt;&gt;"",COUNTIF(الزبائن!$A$6:$A$505,B113)=0),(COUNTIFS('أرقام التواصل'!$A$6:$A$505,"proposed_name",'أرقام التواصل'!$B$6:$B$505,A113,'أرقام التواصل'!$I$6:$I$505,"TRUE")+COUNTIFS('أرقام التواصل'!$A$6:$A$505,"proposed_name",'أرقام التواصل'!$B$6:$B$505,A113,'أرقام التواصل'!$C$6:$C$505,1))=0,AND(U113="TRUE",V113="")),"REVIEW","READY")))</f>
        <v/>
      </c>
      <c r="AC113" s="27" t="str">
        <f>IF(AB113="","",IF(AB113="READY","",IF(AB113="SKIP","Skipped by candidate_import_action",TRIM(IF(A113="","missing proposed_name_key; ","")&amp;IF(AND(A113&lt;&gt;"",COUNTIF($A$6:$A$505,A113)&gt;1),"duplicate proposed_name_key; ","")&amp;IF(C113="","missing candidate_import_action; ","")&amp;IF(D113="","missing move_reason; ","")&amp;IF(H113="","missing branch_id; ","")&amp;IF(K113="","missing first_name; ","")&amp;IF(L113="","missing last_name; ","")&amp;IF(S113="","missing status; ","")&amp;IF(AND(B113&lt;&gt;"",COUNTIF(الزبائن!$A$6:$A$505,B113)=0),"source key not found; ","")&amp;IF((COUNTIFS('أرقام التواصل'!$A$6:$A$505,"proposed_name",'أرقام التواصل'!$B$6:$B$505,A113,'أرقام التواصل'!$I$6:$I$505,"TRUE")+COUNTIFS('أرقام التواصل'!$A$6:$A$505,"proposed_name",'أرقام التواصل'!$B$6:$B$505,A113,'أرقام التواصل'!$C$6:$C$505,1))=0,"missing primary contact in أرقام التواصل; ","")&amp;IF(AND(U113="TRUE",V113=""),"duplicate_type required when duplicate_flag TRUE; ","")))))</f>
        <v/>
      </c>
    </row>
    <row r="114" spans="1:29">
      <c r="A114" s="36"/>
      <c r="B114" s="24"/>
      <c r="C114" s="25"/>
      <c r="D114" s="25"/>
      <c r="E114" s="25"/>
      <c r="F114" s="24"/>
      <c r="G114" s="25"/>
      <c r="H114" s="25"/>
      <c r="I114" s="25"/>
      <c r="J114" s="25"/>
      <c r="K114" s="25"/>
      <c r="L114" s="25"/>
      <c r="M114" s="25"/>
      <c r="N114" s="25" t="str">
        <f t="shared" si="1"/>
        <v/>
      </c>
      <c r="O114" s="25"/>
      <c r="P114" s="25"/>
      <c r="Q114" s="25"/>
      <c r="R114" s="25"/>
      <c r="S114" s="25"/>
      <c r="T114" s="25"/>
      <c r="U114" s="25"/>
      <c r="V114" s="25"/>
      <c r="W114" s="24"/>
      <c r="X114" s="24"/>
      <c r="Y114" s="25"/>
      <c r="Z114" s="25" t="str">
        <f>IF(B114="","",IFERROR(INDEX(الزبائن!$AZ$6:$AZ$505,MATCH(B114,الزبائن!$A$6:$A$505,0)),"source key not found"))</f>
        <v/>
      </c>
      <c r="AA114" s="25" t="str">
        <f>IF(B114="","",IFERROR(INDEX(الزبائن!$BA$6:$BA$505,MATCH(B114,الزبائن!$A$6:$A$505,0)),"source key not found"))</f>
        <v/>
      </c>
      <c r="AB114" s="25" t="str">
        <f>IF(AND(A114="",C114="",D114="",H114="",K114="",L114=""),"",IF(C114="skip","SKIP",IF(OR(A114="",C114="",D114="",H114="",K114="",L114="",S114="",COUNTIF($A$6:$A$505,A114)&gt;1,AND(B114&lt;&gt;"",COUNTIF(الزبائن!$A$6:$A$505,B114)=0),(COUNTIFS('أرقام التواصل'!$A$6:$A$505,"proposed_name",'أرقام التواصل'!$B$6:$B$505,A114,'أرقام التواصل'!$I$6:$I$505,"TRUE")+COUNTIFS('أرقام التواصل'!$A$6:$A$505,"proposed_name",'أرقام التواصل'!$B$6:$B$505,A114,'أرقام التواصل'!$C$6:$C$505,1))=0,AND(U114="TRUE",V114="")),"REVIEW","READY")))</f>
        <v/>
      </c>
      <c r="AC114" s="27" t="str">
        <f>IF(AB114="","",IF(AB114="READY","",IF(AB114="SKIP","Skipped by candidate_import_action",TRIM(IF(A114="","missing proposed_name_key; ","")&amp;IF(AND(A114&lt;&gt;"",COUNTIF($A$6:$A$505,A114)&gt;1),"duplicate proposed_name_key; ","")&amp;IF(C114="","missing candidate_import_action; ","")&amp;IF(D114="","missing move_reason; ","")&amp;IF(H114="","missing branch_id; ","")&amp;IF(K114="","missing first_name; ","")&amp;IF(L114="","missing last_name; ","")&amp;IF(S114="","missing status; ","")&amp;IF(AND(B114&lt;&gt;"",COUNTIF(الزبائن!$A$6:$A$505,B114)=0),"source key not found; ","")&amp;IF((COUNTIFS('أرقام التواصل'!$A$6:$A$505,"proposed_name",'أرقام التواصل'!$B$6:$B$505,A114,'أرقام التواصل'!$I$6:$I$505,"TRUE")+COUNTIFS('أرقام التواصل'!$A$6:$A$505,"proposed_name",'أرقام التواصل'!$B$6:$B$505,A114,'أرقام التواصل'!$C$6:$C$505,1))=0,"missing primary contact in أرقام التواصل; ","")&amp;IF(AND(U114="TRUE",V114=""),"duplicate_type required when duplicate_flag TRUE; ","")))))</f>
        <v/>
      </c>
    </row>
    <row r="115" spans="1:29">
      <c r="A115" s="36"/>
      <c r="B115" s="24"/>
      <c r="C115" s="25"/>
      <c r="D115" s="25"/>
      <c r="E115" s="25"/>
      <c r="F115" s="24"/>
      <c r="G115" s="25"/>
      <c r="H115" s="25"/>
      <c r="I115" s="25"/>
      <c r="J115" s="25"/>
      <c r="K115" s="25"/>
      <c r="L115" s="25"/>
      <c r="M115" s="25"/>
      <c r="N115" s="25" t="str">
        <f t="shared" si="1"/>
        <v/>
      </c>
      <c r="O115" s="25"/>
      <c r="P115" s="25"/>
      <c r="Q115" s="25"/>
      <c r="R115" s="25"/>
      <c r="S115" s="25"/>
      <c r="T115" s="25"/>
      <c r="U115" s="25"/>
      <c r="V115" s="25"/>
      <c r="W115" s="24"/>
      <c r="X115" s="24"/>
      <c r="Y115" s="25"/>
      <c r="Z115" s="25" t="str">
        <f>IF(B115="","",IFERROR(INDEX(الزبائن!$AZ$6:$AZ$505,MATCH(B115,الزبائن!$A$6:$A$505,0)),"source key not found"))</f>
        <v/>
      </c>
      <c r="AA115" s="25" t="str">
        <f>IF(B115="","",IFERROR(INDEX(الزبائن!$BA$6:$BA$505,MATCH(B115,الزبائن!$A$6:$A$505,0)),"source key not found"))</f>
        <v/>
      </c>
      <c r="AB115" s="25" t="str">
        <f>IF(AND(A115="",C115="",D115="",H115="",K115="",L115=""),"",IF(C115="skip","SKIP",IF(OR(A115="",C115="",D115="",H115="",K115="",L115="",S115="",COUNTIF($A$6:$A$505,A115)&gt;1,AND(B115&lt;&gt;"",COUNTIF(الزبائن!$A$6:$A$505,B115)=0),(COUNTIFS('أرقام التواصل'!$A$6:$A$505,"proposed_name",'أرقام التواصل'!$B$6:$B$505,A115,'أرقام التواصل'!$I$6:$I$505,"TRUE")+COUNTIFS('أرقام التواصل'!$A$6:$A$505,"proposed_name",'أرقام التواصل'!$B$6:$B$505,A115,'أرقام التواصل'!$C$6:$C$505,1))=0,AND(U115="TRUE",V115="")),"REVIEW","READY")))</f>
        <v/>
      </c>
      <c r="AC115" s="27" t="str">
        <f>IF(AB115="","",IF(AB115="READY","",IF(AB115="SKIP","Skipped by candidate_import_action",TRIM(IF(A115="","missing proposed_name_key; ","")&amp;IF(AND(A115&lt;&gt;"",COUNTIF($A$6:$A$505,A115)&gt;1),"duplicate proposed_name_key; ","")&amp;IF(C115="","missing candidate_import_action; ","")&amp;IF(D115="","missing move_reason; ","")&amp;IF(H115="","missing branch_id; ","")&amp;IF(K115="","missing first_name; ","")&amp;IF(L115="","missing last_name; ","")&amp;IF(S115="","missing status; ","")&amp;IF(AND(B115&lt;&gt;"",COUNTIF(الزبائن!$A$6:$A$505,B115)=0),"source key not found; ","")&amp;IF((COUNTIFS('أرقام التواصل'!$A$6:$A$505,"proposed_name",'أرقام التواصل'!$B$6:$B$505,A115,'أرقام التواصل'!$I$6:$I$505,"TRUE")+COUNTIFS('أرقام التواصل'!$A$6:$A$505,"proposed_name",'أرقام التواصل'!$B$6:$B$505,A115,'أرقام التواصل'!$C$6:$C$505,1))=0,"missing primary contact in أرقام التواصل; ","")&amp;IF(AND(U115="TRUE",V115=""),"duplicate_type required when duplicate_flag TRUE; ","")))))</f>
        <v/>
      </c>
    </row>
    <row r="116" spans="1:29">
      <c r="A116" s="36"/>
      <c r="B116" s="24"/>
      <c r="C116" s="25"/>
      <c r="D116" s="25"/>
      <c r="E116" s="25"/>
      <c r="F116" s="24"/>
      <c r="G116" s="25"/>
      <c r="H116" s="25"/>
      <c r="I116" s="25"/>
      <c r="J116" s="25"/>
      <c r="K116" s="25"/>
      <c r="L116" s="25"/>
      <c r="M116" s="25"/>
      <c r="N116" s="25" t="str">
        <f t="shared" si="1"/>
        <v/>
      </c>
      <c r="O116" s="25"/>
      <c r="P116" s="25"/>
      <c r="Q116" s="25"/>
      <c r="R116" s="25"/>
      <c r="S116" s="25"/>
      <c r="T116" s="25"/>
      <c r="U116" s="25"/>
      <c r="V116" s="25"/>
      <c r="W116" s="24"/>
      <c r="X116" s="24"/>
      <c r="Y116" s="25"/>
      <c r="Z116" s="25" t="str">
        <f>IF(B116="","",IFERROR(INDEX(الزبائن!$AZ$6:$AZ$505,MATCH(B116,الزبائن!$A$6:$A$505,0)),"source key not found"))</f>
        <v/>
      </c>
      <c r="AA116" s="25" t="str">
        <f>IF(B116="","",IFERROR(INDEX(الزبائن!$BA$6:$BA$505,MATCH(B116,الزبائن!$A$6:$A$505,0)),"source key not found"))</f>
        <v/>
      </c>
      <c r="AB116" s="25" t="str">
        <f>IF(AND(A116="",C116="",D116="",H116="",K116="",L116=""),"",IF(C116="skip","SKIP",IF(OR(A116="",C116="",D116="",H116="",K116="",L116="",S116="",COUNTIF($A$6:$A$505,A116)&gt;1,AND(B116&lt;&gt;"",COUNTIF(الزبائن!$A$6:$A$505,B116)=0),(COUNTIFS('أرقام التواصل'!$A$6:$A$505,"proposed_name",'أرقام التواصل'!$B$6:$B$505,A116,'أرقام التواصل'!$I$6:$I$505,"TRUE")+COUNTIFS('أرقام التواصل'!$A$6:$A$505,"proposed_name",'أرقام التواصل'!$B$6:$B$505,A116,'أرقام التواصل'!$C$6:$C$505,1))=0,AND(U116="TRUE",V116="")),"REVIEW","READY")))</f>
        <v/>
      </c>
      <c r="AC116" s="27" t="str">
        <f>IF(AB116="","",IF(AB116="READY","",IF(AB116="SKIP","Skipped by candidate_import_action",TRIM(IF(A116="","missing proposed_name_key; ","")&amp;IF(AND(A116&lt;&gt;"",COUNTIF($A$6:$A$505,A116)&gt;1),"duplicate proposed_name_key; ","")&amp;IF(C116="","missing candidate_import_action; ","")&amp;IF(D116="","missing move_reason; ","")&amp;IF(H116="","missing branch_id; ","")&amp;IF(K116="","missing first_name; ","")&amp;IF(L116="","missing last_name; ","")&amp;IF(S116="","missing status; ","")&amp;IF(AND(B116&lt;&gt;"",COUNTIF(الزبائن!$A$6:$A$505,B116)=0),"source key not found; ","")&amp;IF((COUNTIFS('أرقام التواصل'!$A$6:$A$505,"proposed_name",'أرقام التواصل'!$B$6:$B$505,A116,'أرقام التواصل'!$I$6:$I$505,"TRUE")+COUNTIFS('أرقام التواصل'!$A$6:$A$505,"proposed_name",'أرقام التواصل'!$B$6:$B$505,A116,'أرقام التواصل'!$C$6:$C$505,1))=0,"missing primary contact in أرقام التواصل; ","")&amp;IF(AND(U116="TRUE",V116=""),"duplicate_type required when duplicate_flag TRUE; ","")))))</f>
        <v/>
      </c>
    </row>
    <row r="117" spans="1:29">
      <c r="A117" s="36"/>
      <c r="B117" s="24"/>
      <c r="C117" s="25"/>
      <c r="D117" s="25"/>
      <c r="E117" s="25"/>
      <c r="F117" s="24"/>
      <c r="G117" s="25"/>
      <c r="H117" s="25"/>
      <c r="I117" s="25"/>
      <c r="J117" s="25"/>
      <c r="K117" s="25"/>
      <c r="L117" s="25"/>
      <c r="M117" s="25"/>
      <c r="N117" s="25" t="str">
        <f t="shared" si="1"/>
        <v/>
      </c>
      <c r="O117" s="25"/>
      <c r="P117" s="25"/>
      <c r="Q117" s="25"/>
      <c r="R117" s="25"/>
      <c r="S117" s="25"/>
      <c r="T117" s="25"/>
      <c r="U117" s="25"/>
      <c r="V117" s="25"/>
      <c r="W117" s="24"/>
      <c r="X117" s="24"/>
      <c r="Y117" s="25"/>
      <c r="Z117" s="25" t="str">
        <f>IF(B117="","",IFERROR(INDEX(الزبائن!$AZ$6:$AZ$505,MATCH(B117,الزبائن!$A$6:$A$505,0)),"source key not found"))</f>
        <v/>
      </c>
      <c r="AA117" s="25" t="str">
        <f>IF(B117="","",IFERROR(INDEX(الزبائن!$BA$6:$BA$505,MATCH(B117,الزبائن!$A$6:$A$505,0)),"source key not found"))</f>
        <v/>
      </c>
      <c r="AB117" s="25" t="str">
        <f>IF(AND(A117="",C117="",D117="",H117="",K117="",L117=""),"",IF(C117="skip","SKIP",IF(OR(A117="",C117="",D117="",H117="",K117="",L117="",S117="",COUNTIF($A$6:$A$505,A117)&gt;1,AND(B117&lt;&gt;"",COUNTIF(الزبائن!$A$6:$A$505,B117)=0),(COUNTIFS('أرقام التواصل'!$A$6:$A$505,"proposed_name",'أرقام التواصل'!$B$6:$B$505,A117,'أرقام التواصل'!$I$6:$I$505,"TRUE")+COUNTIFS('أرقام التواصل'!$A$6:$A$505,"proposed_name",'أرقام التواصل'!$B$6:$B$505,A117,'أرقام التواصل'!$C$6:$C$505,1))=0,AND(U117="TRUE",V117="")),"REVIEW","READY")))</f>
        <v/>
      </c>
      <c r="AC117" s="27" t="str">
        <f>IF(AB117="","",IF(AB117="READY","",IF(AB117="SKIP","Skipped by candidate_import_action",TRIM(IF(A117="","missing proposed_name_key; ","")&amp;IF(AND(A117&lt;&gt;"",COUNTIF($A$6:$A$505,A117)&gt;1),"duplicate proposed_name_key; ","")&amp;IF(C117="","missing candidate_import_action; ","")&amp;IF(D117="","missing move_reason; ","")&amp;IF(H117="","missing branch_id; ","")&amp;IF(K117="","missing first_name; ","")&amp;IF(L117="","missing last_name; ","")&amp;IF(S117="","missing status; ","")&amp;IF(AND(B117&lt;&gt;"",COUNTIF(الزبائن!$A$6:$A$505,B117)=0),"source key not found; ","")&amp;IF((COUNTIFS('أرقام التواصل'!$A$6:$A$505,"proposed_name",'أرقام التواصل'!$B$6:$B$505,A117,'أرقام التواصل'!$I$6:$I$505,"TRUE")+COUNTIFS('أرقام التواصل'!$A$6:$A$505,"proposed_name",'أرقام التواصل'!$B$6:$B$505,A117,'أرقام التواصل'!$C$6:$C$505,1))=0,"missing primary contact in أرقام التواصل; ","")&amp;IF(AND(U117="TRUE",V117=""),"duplicate_type required when duplicate_flag TRUE; ","")))))</f>
        <v/>
      </c>
    </row>
    <row r="118" spans="1:29">
      <c r="A118" s="36"/>
      <c r="B118" s="24"/>
      <c r="C118" s="25"/>
      <c r="D118" s="25"/>
      <c r="E118" s="25"/>
      <c r="F118" s="24"/>
      <c r="G118" s="25"/>
      <c r="H118" s="25"/>
      <c r="I118" s="25"/>
      <c r="J118" s="25"/>
      <c r="K118" s="25"/>
      <c r="L118" s="25"/>
      <c r="M118" s="25"/>
      <c r="N118" s="25" t="str">
        <f t="shared" si="1"/>
        <v/>
      </c>
      <c r="O118" s="25"/>
      <c r="P118" s="25"/>
      <c r="Q118" s="25"/>
      <c r="R118" s="25"/>
      <c r="S118" s="25"/>
      <c r="T118" s="25"/>
      <c r="U118" s="25"/>
      <c r="V118" s="25"/>
      <c r="W118" s="24"/>
      <c r="X118" s="24"/>
      <c r="Y118" s="25"/>
      <c r="Z118" s="25" t="str">
        <f>IF(B118="","",IFERROR(INDEX(الزبائن!$AZ$6:$AZ$505,MATCH(B118,الزبائن!$A$6:$A$505,0)),"source key not found"))</f>
        <v/>
      </c>
      <c r="AA118" s="25" t="str">
        <f>IF(B118="","",IFERROR(INDEX(الزبائن!$BA$6:$BA$505,MATCH(B118,الزبائن!$A$6:$A$505,0)),"source key not found"))</f>
        <v/>
      </c>
      <c r="AB118" s="25" t="str">
        <f>IF(AND(A118="",C118="",D118="",H118="",K118="",L118=""),"",IF(C118="skip","SKIP",IF(OR(A118="",C118="",D118="",H118="",K118="",L118="",S118="",COUNTIF($A$6:$A$505,A118)&gt;1,AND(B118&lt;&gt;"",COUNTIF(الزبائن!$A$6:$A$505,B118)=0),(COUNTIFS('أرقام التواصل'!$A$6:$A$505,"proposed_name",'أرقام التواصل'!$B$6:$B$505,A118,'أرقام التواصل'!$I$6:$I$505,"TRUE")+COUNTIFS('أرقام التواصل'!$A$6:$A$505,"proposed_name",'أرقام التواصل'!$B$6:$B$505,A118,'أرقام التواصل'!$C$6:$C$505,1))=0,AND(U118="TRUE",V118="")),"REVIEW","READY")))</f>
        <v/>
      </c>
      <c r="AC118" s="27" t="str">
        <f>IF(AB118="","",IF(AB118="READY","",IF(AB118="SKIP","Skipped by candidate_import_action",TRIM(IF(A118="","missing proposed_name_key; ","")&amp;IF(AND(A118&lt;&gt;"",COUNTIF($A$6:$A$505,A118)&gt;1),"duplicate proposed_name_key; ","")&amp;IF(C118="","missing candidate_import_action; ","")&amp;IF(D118="","missing move_reason; ","")&amp;IF(H118="","missing branch_id; ","")&amp;IF(K118="","missing first_name; ","")&amp;IF(L118="","missing last_name; ","")&amp;IF(S118="","missing status; ","")&amp;IF(AND(B118&lt;&gt;"",COUNTIF(الزبائن!$A$6:$A$505,B118)=0),"source key not found; ","")&amp;IF((COUNTIFS('أرقام التواصل'!$A$6:$A$505,"proposed_name",'أرقام التواصل'!$B$6:$B$505,A118,'أرقام التواصل'!$I$6:$I$505,"TRUE")+COUNTIFS('أرقام التواصل'!$A$6:$A$505,"proposed_name",'أرقام التواصل'!$B$6:$B$505,A118,'أرقام التواصل'!$C$6:$C$505,1))=0,"missing primary contact in أرقام التواصل; ","")&amp;IF(AND(U118="TRUE",V118=""),"duplicate_type required when duplicate_flag TRUE; ","")))))</f>
        <v/>
      </c>
    </row>
    <row r="119" spans="1:29">
      <c r="A119" s="36"/>
      <c r="B119" s="24"/>
      <c r="C119" s="25"/>
      <c r="D119" s="25"/>
      <c r="E119" s="25"/>
      <c r="F119" s="24"/>
      <c r="G119" s="25"/>
      <c r="H119" s="25"/>
      <c r="I119" s="25"/>
      <c r="J119" s="25"/>
      <c r="K119" s="25"/>
      <c r="L119" s="25"/>
      <c r="M119" s="25"/>
      <c r="N119" s="25" t="str">
        <f t="shared" si="1"/>
        <v/>
      </c>
      <c r="O119" s="25"/>
      <c r="P119" s="25"/>
      <c r="Q119" s="25"/>
      <c r="R119" s="25"/>
      <c r="S119" s="25"/>
      <c r="T119" s="25"/>
      <c r="U119" s="25"/>
      <c r="V119" s="25"/>
      <c r="W119" s="24"/>
      <c r="X119" s="24"/>
      <c r="Y119" s="25"/>
      <c r="Z119" s="25" t="str">
        <f>IF(B119="","",IFERROR(INDEX(الزبائن!$AZ$6:$AZ$505,MATCH(B119,الزبائن!$A$6:$A$505,0)),"source key not found"))</f>
        <v/>
      </c>
      <c r="AA119" s="25" t="str">
        <f>IF(B119="","",IFERROR(INDEX(الزبائن!$BA$6:$BA$505,MATCH(B119,الزبائن!$A$6:$A$505,0)),"source key not found"))</f>
        <v/>
      </c>
      <c r="AB119" s="25" t="str">
        <f>IF(AND(A119="",C119="",D119="",H119="",K119="",L119=""),"",IF(C119="skip","SKIP",IF(OR(A119="",C119="",D119="",H119="",K119="",L119="",S119="",COUNTIF($A$6:$A$505,A119)&gt;1,AND(B119&lt;&gt;"",COUNTIF(الزبائن!$A$6:$A$505,B119)=0),(COUNTIFS('أرقام التواصل'!$A$6:$A$505,"proposed_name",'أرقام التواصل'!$B$6:$B$505,A119,'أرقام التواصل'!$I$6:$I$505,"TRUE")+COUNTIFS('أرقام التواصل'!$A$6:$A$505,"proposed_name",'أرقام التواصل'!$B$6:$B$505,A119,'أرقام التواصل'!$C$6:$C$505,1))=0,AND(U119="TRUE",V119="")),"REVIEW","READY")))</f>
        <v/>
      </c>
      <c r="AC119" s="27" t="str">
        <f>IF(AB119="","",IF(AB119="READY","",IF(AB119="SKIP","Skipped by candidate_import_action",TRIM(IF(A119="","missing proposed_name_key; ","")&amp;IF(AND(A119&lt;&gt;"",COUNTIF($A$6:$A$505,A119)&gt;1),"duplicate proposed_name_key; ","")&amp;IF(C119="","missing candidate_import_action; ","")&amp;IF(D119="","missing move_reason; ","")&amp;IF(H119="","missing branch_id; ","")&amp;IF(K119="","missing first_name; ","")&amp;IF(L119="","missing last_name; ","")&amp;IF(S119="","missing status; ","")&amp;IF(AND(B119&lt;&gt;"",COUNTIF(الزبائن!$A$6:$A$505,B119)=0),"source key not found; ","")&amp;IF((COUNTIFS('أرقام التواصل'!$A$6:$A$505,"proposed_name",'أرقام التواصل'!$B$6:$B$505,A119,'أرقام التواصل'!$I$6:$I$505,"TRUE")+COUNTIFS('أرقام التواصل'!$A$6:$A$505,"proposed_name",'أرقام التواصل'!$B$6:$B$505,A119,'أرقام التواصل'!$C$6:$C$505,1))=0,"missing primary contact in أرقام التواصل; ","")&amp;IF(AND(U119="TRUE",V119=""),"duplicate_type required when duplicate_flag TRUE; ","")))))</f>
        <v/>
      </c>
    </row>
    <row r="120" spans="1:29">
      <c r="A120" s="36"/>
      <c r="B120" s="24"/>
      <c r="C120" s="25"/>
      <c r="D120" s="25"/>
      <c r="E120" s="25"/>
      <c r="F120" s="24"/>
      <c r="G120" s="25"/>
      <c r="H120" s="25"/>
      <c r="I120" s="25"/>
      <c r="J120" s="25"/>
      <c r="K120" s="25"/>
      <c r="L120" s="25"/>
      <c r="M120" s="25"/>
      <c r="N120" s="25" t="str">
        <f t="shared" si="1"/>
        <v/>
      </c>
      <c r="O120" s="25"/>
      <c r="P120" s="25"/>
      <c r="Q120" s="25"/>
      <c r="R120" s="25"/>
      <c r="S120" s="25"/>
      <c r="T120" s="25"/>
      <c r="U120" s="25"/>
      <c r="V120" s="25"/>
      <c r="W120" s="24"/>
      <c r="X120" s="24"/>
      <c r="Y120" s="25"/>
      <c r="Z120" s="25" t="str">
        <f>IF(B120="","",IFERROR(INDEX(الزبائن!$AZ$6:$AZ$505,MATCH(B120,الزبائن!$A$6:$A$505,0)),"source key not found"))</f>
        <v/>
      </c>
      <c r="AA120" s="25" t="str">
        <f>IF(B120="","",IFERROR(INDEX(الزبائن!$BA$6:$BA$505,MATCH(B120,الزبائن!$A$6:$A$505,0)),"source key not found"))</f>
        <v/>
      </c>
      <c r="AB120" s="25" t="str">
        <f>IF(AND(A120="",C120="",D120="",H120="",K120="",L120=""),"",IF(C120="skip","SKIP",IF(OR(A120="",C120="",D120="",H120="",K120="",L120="",S120="",COUNTIF($A$6:$A$505,A120)&gt;1,AND(B120&lt;&gt;"",COUNTIF(الزبائن!$A$6:$A$505,B120)=0),(COUNTIFS('أرقام التواصل'!$A$6:$A$505,"proposed_name",'أرقام التواصل'!$B$6:$B$505,A120,'أرقام التواصل'!$I$6:$I$505,"TRUE")+COUNTIFS('أرقام التواصل'!$A$6:$A$505,"proposed_name",'أرقام التواصل'!$B$6:$B$505,A120,'أرقام التواصل'!$C$6:$C$505,1))=0,AND(U120="TRUE",V120="")),"REVIEW","READY")))</f>
        <v/>
      </c>
      <c r="AC120" s="27" t="str">
        <f>IF(AB120="","",IF(AB120="READY","",IF(AB120="SKIP","Skipped by candidate_import_action",TRIM(IF(A120="","missing proposed_name_key; ","")&amp;IF(AND(A120&lt;&gt;"",COUNTIF($A$6:$A$505,A120)&gt;1),"duplicate proposed_name_key; ","")&amp;IF(C120="","missing candidate_import_action; ","")&amp;IF(D120="","missing move_reason; ","")&amp;IF(H120="","missing branch_id; ","")&amp;IF(K120="","missing first_name; ","")&amp;IF(L120="","missing last_name; ","")&amp;IF(S120="","missing status; ","")&amp;IF(AND(B120&lt;&gt;"",COUNTIF(الزبائن!$A$6:$A$505,B120)=0),"source key not found; ","")&amp;IF((COUNTIFS('أرقام التواصل'!$A$6:$A$505,"proposed_name",'أرقام التواصل'!$B$6:$B$505,A120,'أرقام التواصل'!$I$6:$I$505,"TRUE")+COUNTIFS('أرقام التواصل'!$A$6:$A$505,"proposed_name",'أرقام التواصل'!$B$6:$B$505,A120,'أرقام التواصل'!$C$6:$C$505,1))=0,"missing primary contact in أرقام التواصل; ","")&amp;IF(AND(U120="TRUE",V120=""),"duplicate_type required when duplicate_flag TRUE; ","")))))</f>
        <v/>
      </c>
    </row>
    <row r="121" spans="1:29">
      <c r="A121" s="36"/>
      <c r="B121" s="24"/>
      <c r="C121" s="25"/>
      <c r="D121" s="25"/>
      <c r="E121" s="25"/>
      <c r="F121" s="24"/>
      <c r="G121" s="25"/>
      <c r="H121" s="25"/>
      <c r="I121" s="25"/>
      <c r="J121" s="25"/>
      <c r="K121" s="25"/>
      <c r="L121" s="25"/>
      <c r="M121" s="25"/>
      <c r="N121" s="25" t="str">
        <f t="shared" si="1"/>
        <v/>
      </c>
      <c r="O121" s="25"/>
      <c r="P121" s="25"/>
      <c r="Q121" s="25"/>
      <c r="R121" s="25"/>
      <c r="S121" s="25"/>
      <c r="T121" s="25"/>
      <c r="U121" s="25"/>
      <c r="V121" s="25"/>
      <c r="W121" s="24"/>
      <c r="X121" s="24"/>
      <c r="Y121" s="25"/>
      <c r="Z121" s="25" t="str">
        <f>IF(B121="","",IFERROR(INDEX(الزبائن!$AZ$6:$AZ$505,MATCH(B121,الزبائن!$A$6:$A$505,0)),"source key not found"))</f>
        <v/>
      </c>
      <c r="AA121" s="25" t="str">
        <f>IF(B121="","",IFERROR(INDEX(الزبائن!$BA$6:$BA$505,MATCH(B121,الزبائن!$A$6:$A$505,0)),"source key not found"))</f>
        <v/>
      </c>
      <c r="AB121" s="25" t="str">
        <f>IF(AND(A121="",C121="",D121="",H121="",K121="",L121=""),"",IF(C121="skip","SKIP",IF(OR(A121="",C121="",D121="",H121="",K121="",L121="",S121="",COUNTIF($A$6:$A$505,A121)&gt;1,AND(B121&lt;&gt;"",COUNTIF(الزبائن!$A$6:$A$505,B121)=0),(COUNTIFS('أرقام التواصل'!$A$6:$A$505,"proposed_name",'أرقام التواصل'!$B$6:$B$505,A121,'أرقام التواصل'!$I$6:$I$505,"TRUE")+COUNTIFS('أرقام التواصل'!$A$6:$A$505,"proposed_name",'أرقام التواصل'!$B$6:$B$505,A121,'أرقام التواصل'!$C$6:$C$505,1))=0,AND(U121="TRUE",V121="")),"REVIEW","READY")))</f>
        <v/>
      </c>
      <c r="AC121" s="27" t="str">
        <f>IF(AB121="","",IF(AB121="READY","",IF(AB121="SKIP","Skipped by candidate_import_action",TRIM(IF(A121="","missing proposed_name_key; ","")&amp;IF(AND(A121&lt;&gt;"",COUNTIF($A$6:$A$505,A121)&gt;1),"duplicate proposed_name_key; ","")&amp;IF(C121="","missing candidate_import_action; ","")&amp;IF(D121="","missing move_reason; ","")&amp;IF(H121="","missing branch_id; ","")&amp;IF(K121="","missing first_name; ","")&amp;IF(L121="","missing last_name; ","")&amp;IF(S121="","missing status; ","")&amp;IF(AND(B121&lt;&gt;"",COUNTIF(الزبائن!$A$6:$A$505,B121)=0),"source key not found; ","")&amp;IF((COUNTIFS('أرقام التواصل'!$A$6:$A$505,"proposed_name",'أرقام التواصل'!$B$6:$B$505,A121,'أرقام التواصل'!$I$6:$I$505,"TRUE")+COUNTIFS('أرقام التواصل'!$A$6:$A$505,"proposed_name",'أرقام التواصل'!$B$6:$B$505,A121,'أرقام التواصل'!$C$6:$C$505,1))=0,"missing primary contact in أرقام التواصل; ","")&amp;IF(AND(U121="TRUE",V121=""),"duplicate_type required when duplicate_flag TRUE; ","")))))</f>
        <v/>
      </c>
    </row>
    <row r="122" spans="1:29">
      <c r="A122" s="36"/>
      <c r="B122" s="24"/>
      <c r="C122" s="25"/>
      <c r="D122" s="25"/>
      <c r="E122" s="25"/>
      <c r="F122" s="24"/>
      <c r="G122" s="25"/>
      <c r="H122" s="25"/>
      <c r="I122" s="25"/>
      <c r="J122" s="25"/>
      <c r="K122" s="25"/>
      <c r="L122" s="25"/>
      <c r="M122" s="25"/>
      <c r="N122" s="25" t="str">
        <f t="shared" si="1"/>
        <v/>
      </c>
      <c r="O122" s="25"/>
      <c r="P122" s="25"/>
      <c r="Q122" s="25"/>
      <c r="R122" s="25"/>
      <c r="S122" s="25"/>
      <c r="T122" s="25"/>
      <c r="U122" s="25"/>
      <c r="V122" s="25"/>
      <c r="W122" s="24"/>
      <c r="X122" s="24"/>
      <c r="Y122" s="25"/>
      <c r="Z122" s="25" t="str">
        <f>IF(B122="","",IFERROR(INDEX(الزبائن!$AZ$6:$AZ$505,MATCH(B122,الزبائن!$A$6:$A$505,0)),"source key not found"))</f>
        <v/>
      </c>
      <c r="AA122" s="25" t="str">
        <f>IF(B122="","",IFERROR(INDEX(الزبائن!$BA$6:$BA$505,MATCH(B122,الزبائن!$A$6:$A$505,0)),"source key not found"))</f>
        <v/>
      </c>
      <c r="AB122" s="25" t="str">
        <f>IF(AND(A122="",C122="",D122="",H122="",K122="",L122=""),"",IF(C122="skip","SKIP",IF(OR(A122="",C122="",D122="",H122="",K122="",L122="",S122="",COUNTIF($A$6:$A$505,A122)&gt;1,AND(B122&lt;&gt;"",COUNTIF(الزبائن!$A$6:$A$505,B122)=0),(COUNTIFS('أرقام التواصل'!$A$6:$A$505,"proposed_name",'أرقام التواصل'!$B$6:$B$505,A122,'أرقام التواصل'!$I$6:$I$505,"TRUE")+COUNTIFS('أرقام التواصل'!$A$6:$A$505,"proposed_name",'أرقام التواصل'!$B$6:$B$505,A122,'أرقام التواصل'!$C$6:$C$505,1))=0,AND(U122="TRUE",V122="")),"REVIEW","READY")))</f>
        <v/>
      </c>
      <c r="AC122" s="27" t="str">
        <f>IF(AB122="","",IF(AB122="READY","",IF(AB122="SKIP","Skipped by candidate_import_action",TRIM(IF(A122="","missing proposed_name_key; ","")&amp;IF(AND(A122&lt;&gt;"",COUNTIF($A$6:$A$505,A122)&gt;1),"duplicate proposed_name_key; ","")&amp;IF(C122="","missing candidate_import_action; ","")&amp;IF(D122="","missing move_reason; ","")&amp;IF(H122="","missing branch_id; ","")&amp;IF(K122="","missing first_name; ","")&amp;IF(L122="","missing last_name; ","")&amp;IF(S122="","missing status; ","")&amp;IF(AND(B122&lt;&gt;"",COUNTIF(الزبائن!$A$6:$A$505,B122)=0),"source key not found; ","")&amp;IF((COUNTIFS('أرقام التواصل'!$A$6:$A$505,"proposed_name",'أرقام التواصل'!$B$6:$B$505,A122,'أرقام التواصل'!$I$6:$I$505,"TRUE")+COUNTIFS('أرقام التواصل'!$A$6:$A$505,"proposed_name",'أرقام التواصل'!$B$6:$B$505,A122,'أرقام التواصل'!$C$6:$C$505,1))=0,"missing primary contact in أرقام التواصل; ","")&amp;IF(AND(U122="TRUE",V122=""),"duplicate_type required when duplicate_flag TRUE; ","")))))</f>
        <v/>
      </c>
    </row>
    <row r="123" spans="1:29">
      <c r="A123" s="36"/>
      <c r="B123" s="24"/>
      <c r="C123" s="25"/>
      <c r="D123" s="25"/>
      <c r="E123" s="25"/>
      <c r="F123" s="24"/>
      <c r="G123" s="25"/>
      <c r="H123" s="25"/>
      <c r="I123" s="25"/>
      <c r="J123" s="25"/>
      <c r="K123" s="25"/>
      <c r="L123" s="25"/>
      <c r="M123" s="25"/>
      <c r="N123" s="25" t="str">
        <f t="shared" si="1"/>
        <v/>
      </c>
      <c r="O123" s="25"/>
      <c r="P123" s="25"/>
      <c r="Q123" s="25"/>
      <c r="R123" s="25"/>
      <c r="S123" s="25"/>
      <c r="T123" s="25"/>
      <c r="U123" s="25"/>
      <c r="V123" s="25"/>
      <c r="W123" s="24"/>
      <c r="X123" s="24"/>
      <c r="Y123" s="25"/>
      <c r="Z123" s="25" t="str">
        <f>IF(B123="","",IFERROR(INDEX(الزبائن!$AZ$6:$AZ$505,MATCH(B123,الزبائن!$A$6:$A$505,0)),"source key not found"))</f>
        <v/>
      </c>
      <c r="AA123" s="25" t="str">
        <f>IF(B123="","",IFERROR(INDEX(الزبائن!$BA$6:$BA$505,MATCH(B123,الزبائن!$A$6:$A$505,0)),"source key not found"))</f>
        <v/>
      </c>
      <c r="AB123" s="25" t="str">
        <f>IF(AND(A123="",C123="",D123="",H123="",K123="",L123=""),"",IF(C123="skip","SKIP",IF(OR(A123="",C123="",D123="",H123="",K123="",L123="",S123="",COUNTIF($A$6:$A$505,A123)&gt;1,AND(B123&lt;&gt;"",COUNTIF(الزبائن!$A$6:$A$505,B123)=0),(COUNTIFS('أرقام التواصل'!$A$6:$A$505,"proposed_name",'أرقام التواصل'!$B$6:$B$505,A123,'أرقام التواصل'!$I$6:$I$505,"TRUE")+COUNTIFS('أرقام التواصل'!$A$6:$A$505,"proposed_name",'أرقام التواصل'!$B$6:$B$505,A123,'أرقام التواصل'!$C$6:$C$505,1))=0,AND(U123="TRUE",V123="")),"REVIEW","READY")))</f>
        <v/>
      </c>
      <c r="AC123" s="27" t="str">
        <f>IF(AB123="","",IF(AB123="READY","",IF(AB123="SKIP","Skipped by candidate_import_action",TRIM(IF(A123="","missing proposed_name_key; ","")&amp;IF(AND(A123&lt;&gt;"",COUNTIF($A$6:$A$505,A123)&gt;1),"duplicate proposed_name_key; ","")&amp;IF(C123="","missing candidate_import_action; ","")&amp;IF(D123="","missing move_reason; ","")&amp;IF(H123="","missing branch_id; ","")&amp;IF(K123="","missing first_name; ","")&amp;IF(L123="","missing last_name; ","")&amp;IF(S123="","missing status; ","")&amp;IF(AND(B123&lt;&gt;"",COUNTIF(الزبائن!$A$6:$A$505,B123)=0),"source key not found; ","")&amp;IF((COUNTIFS('أرقام التواصل'!$A$6:$A$505,"proposed_name",'أرقام التواصل'!$B$6:$B$505,A123,'أرقام التواصل'!$I$6:$I$505,"TRUE")+COUNTIFS('أرقام التواصل'!$A$6:$A$505,"proposed_name",'أرقام التواصل'!$B$6:$B$505,A123,'أرقام التواصل'!$C$6:$C$505,1))=0,"missing primary contact in أرقام التواصل; ","")&amp;IF(AND(U123="TRUE",V123=""),"duplicate_type required when duplicate_flag TRUE; ","")))))</f>
        <v/>
      </c>
    </row>
    <row r="124" spans="1:29">
      <c r="A124" s="36"/>
      <c r="B124" s="24"/>
      <c r="C124" s="25"/>
      <c r="D124" s="25"/>
      <c r="E124" s="25"/>
      <c r="F124" s="24"/>
      <c r="G124" s="25"/>
      <c r="H124" s="25"/>
      <c r="I124" s="25"/>
      <c r="J124" s="25"/>
      <c r="K124" s="25"/>
      <c r="L124" s="25"/>
      <c r="M124" s="25"/>
      <c r="N124" s="25" t="str">
        <f t="shared" si="1"/>
        <v/>
      </c>
      <c r="O124" s="25"/>
      <c r="P124" s="25"/>
      <c r="Q124" s="25"/>
      <c r="R124" s="25"/>
      <c r="S124" s="25"/>
      <c r="T124" s="25"/>
      <c r="U124" s="25"/>
      <c r="V124" s="25"/>
      <c r="W124" s="24"/>
      <c r="X124" s="24"/>
      <c r="Y124" s="25"/>
      <c r="Z124" s="25" t="str">
        <f>IF(B124="","",IFERROR(INDEX(الزبائن!$AZ$6:$AZ$505,MATCH(B124,الزبائن!$A$6:$A$505,0)),"source key not found"))</f>
        <v/>
      </c>
      <c r="AA124" s="25" t="str">
        <f>IF(B124="","",IFERROR(INDEX(الزبائن!$BA$6:$BA$505,MATCH(B124,الزبائن!$A$6:$A$505,0)),"source key not found"))</f>
        <v/>
      </c>
      <c r="AB124" s="25" t="str">
        <f>IF(AND(A124="",C124="",D124="",H124="",K124="",L124=""),"",IF(C124="skip","SKIP",IF(OR(A124="",C124="",D124="",H124="",K124="",L124="",S124="",COUNTIF($A$6:$A$505,A124)&gt;1,AND(B124&lt;&gt;"",COUNTIF(الزبائن!$A$6:$A$505,B124)=0),(COUNTIFS('أرقام التواصل'!$A$6:$A$505,"proposed_name",'أرقام التواصل'!$B$6:$B$505,A124,'أرقام التواصل'!$I$6:$I$505,"TRUE")+COUNTIFS('أرقام التواصل'!$A$6:$A$505,"proposed_name",'أرقام التواصل'!$B$6:$B$505,A124,'أرقام التواصل'!$C$6:$C$505,1))=0,AND(U124="TRUE",V124="")),"REVIEW","READY")))</f>
        <v/>
      </c>
      <c r="AC124" s="27" t="str">
        <f>IF(AB124="","",IF(AB124="READY","",IF(AB124="SKIP","Skipped by candidate_import_action",TRIM(IF(A124="","missing proposed_name_key; ","")&amp;IF(AND(A124&lt;&gt;"",COUNTIF($A$6:$A$505,A124)&gt;1),"duplicate proposed_name_key; ","")&amp;IF(C124="","missing candidate_import_action; ","")&amp;IF(D124="","missing move_reason; ","")&amp;IF(H124="","missing branch_id; ","")&amp;IF(K124="","missing first_name; ","")&amp;IF(L124="","missing last_name; ","")&amp;IF(S124="","missing status; ","")&amp;IF(AND(B124&lt;&gt;"",COUNTIF(الزبائن!$A$6:$A$505,B124)=0),"source key not found; ","")&amp;IF((COUNTIFS('أرقام التواصل'!$A$6:$A$505,"proposed_name",'أرقام التواصل'!$B$6:$B$505,A124,'أرقام التواصل'!$I$6:$I$505,"TRUE")+COUNTIFS('أرقام التواصل'!$A$6:$A$505,"proposed_name",'أرقام التواصل'!$B$6:$B$505,A124,'أرقام التواصل'!$C$6:$C$505,1))=0,"missing primary contact in أرقام التواصل; ","")&amp;IF(AND(U124="TRUE",V124=""),"duplicate_type required when duplicate_flag TRUE; ","")))))</f>
        <v/>
      </c>
    </row>
    <row r="125" spans="1:29">
      <c r="A125" s="36"/>
      <c r="B125" s="24"/>
      <c r="C125" s="25"/>
      <c r="D125" s="25"/>
      <c r="E125" s="25"/>
      <c r="F125" s="24"/>
      <c r="G125" s="25"/>
      <c r="H125" s="25"/>
      <c r="I125" s="25"/>
      <c r="J125" s="25"/>
      <c r="K125" s="25"/>
      <c r="L125" s="25"/>
      <c r="M125" s="25"/>
      <c r="N125" s="25" t="str">
        <f t="shared" si="1"/>
        <v/>
      </c>
      <c r="O125" s="25"/>
      <c r="P125" s="25"/>
      <c r="Q125" s="25"/>
      <c r="R125" s="25"/>
      <c r="S125" s="25"/>
      <c r="T125" s="25"/>
      <c r="U125" s="25"/>
      <c r="V125" s="25"/>
      <c r="W125" s="24"/>
      <c r="X125" s="24"/>
      <c r="Y125" s="25"/>
      <c r="Z125" s="25" t="str">
        <f>IF(B125="","",IFERROR(INDEX(الزبائن!$AZ$6:$AZ$505,MATCH(B125,الزبائن!$A$6:$A$505,0)),"source key not found"))</f>
        <v/>
      </c>
      <c r="AA125" s="25" t="str">
        <f>IF(B125="","",IFERROR(INDEX(الزبائن!$BA$6:$BA$505,MATCH(B125,الزبائن!$A$6:$A$505,0)),"source key not found"))</f>
        <v/>
      </c>
      <c r="AB125" s="25" t="str">
        <f>IF(AND(A125="",C125="",D125="",H125="",K125="",L125=""),"",IF(C125="skip","SKIP",IF(OR(A125="",C125="",D125="",H125="",K125="",L125="",S125="",COUNTIF($A$6:$A$505,A125)&gt;1,AND(B125&lt;&gt;"",COUNTIF(الزبائن!$A$6:$A$505,B125)=0),(COUNTIFS('أرقام التواصل'!$A$6:$A$505,"proposed_name",'أرقام التواصل'!$B$6:$B$505,A125,'أرقام التواصل'!$I$6:$I$505,"TRUE")+COUNTIFS('أرقام التواصل'!$A$6:$A$505,"proposed_name",'أرقام التواصل'!$B$6:$B$505,A125,'أرقام التواصل'!$C$6:$C$505,1))=0,AND(U125="TRUE",V125="")),"REVIEW","READY")))</f>
        <v/>
      </c>
      <c r="AC125" s="27" t="str">
        <f>IF(AB125="","",IF(AB125="READY","",IF(AB125="SKIP","Skipped by candidate_import_action",TRIM(IF(A125="","missing proposed_name_key; ","")&amp;IF(AND(A125&lt;&gt;"",COUNTIF($A$6:$A$505,A125)&gt;1),"duplicate proposed_name_key; ","")&amp;IF(C125="","missing candidate_import_action; ","")&amp;IF(D125="","missing move_reason; ","")&amp;IF(H125="","missing branch_id; ","")&amp;IF(K125="","missing first_name; ","")&amp;IF(L125="","missing last_name; ","")&amp;IF(S125="","missing status; ","")&amp;IF(AND(B125&lt;&gt;"",COUNTIF(الزبائن!$A$6:$A$505,B125)=0),"source key not found; ","")&amp;IF((COUNTIFS('أرقام التواصل'!$A$6:$A$505,"proposed_name",'أرقام التواصل'!$B$6:$B$505,A125,'أرقام التواصل'!$I$6:$I$505,"TRUE")+COUNTIFS('أرقام التواصل'!$A$6:$A$505,"proposed_name",'أرقام التواصل'!$B$6:$B$505,A125,'أرقام التواصل'!$C$6:$C$505,1))=0,"missing primary contact in أرقام التواصل; ","")&amp;IF(AND(U125="TRUE",V125=""),"duplicate_type required when duplicate_flag TRUE; ","")))))</f>
        <v/>
      </c>
    </row>
    <row r="126" spans="1:29">
      <c r="A126" s="36"/>
      <c r="B126" s="24"/>
      <c r="C126" s="25"/>
      <c r="D126" s="25"/>
      <c r="E126" s="25"/>
      <c r="F126" s="24"/>
      <c r="G126" s="25"/>
      <c r="H126" s="25"/>
      <c r="I126" s="25"/>
      <c r="J126" s="25"/>
      <c r="K126" s="25"/>
      <c r="L126" s="25"/>
      <c r="M126" s="25"/>
      <c r="N126" s="25" t="str">
        <f t="shared" si="1"/>
        <v/>
      </c>
      <c r="O126" s="25"/>
      <c r="P126" s="25"/>
      <c r="Q126" s="25"/>
      <c r="R126" s="25"/>
      <c r="S126" s="25"/>
      <c r="T126" s="25"/>
      <c r="U126" s="25"/>
      <c r="V126" s="25"/>
      <c r="W126" s="24"/>
      <c r="X126" s="24"/>
      <c r="Y126" s="25"/>
      <c r="Z126" s="25" t="str">
        <f>IF(B126="","",IFERROR(INDEX(الزبائن!$AZ$6:$AZ$505,MATCH(B126,الزبائن!$A$6:$A$505,0)),"source key not found"))</f>
        <v/>
      </c>
      <c r="AA126" s="25" t="str">
        <f>IF(B126="","",IFERROR(INDEX(الزبائن!$BA$6:$BA$505,MATCH(B126,الزبائن!$A$6:$A$505,0)),"source key not found"))</f>
        <v/>
      </c>
      <c r="AB126" s="25" t="str">
        <f>IF(AND(A126="",C126="",D126="",H126="",K126="",L126=""),"",IF(C126="skip","SKIP",IF(OR(A126="",C126="",D126="",H126="",K126="",L126="",S126="",COUNTIF($A$6:$A$505,A126)&gt;1,AND(B126&lt;&gt;"",COUNTIF(الزبائن!$A$6:$A$505,B126)=0),(COUNTIFS('أرقام التواصل'!$A$6:$A$505,"proposed_name",'أرقام التواصل'!$B$6:$B$505,A126,'أرقام التواصل'!$I$6:$I$505,"TRUE")+COUNTIFS('أرقام التواصل'!$A$6:$A$505,"proposed_name",'أرقام التواصل'!$B$6:$B$505,A126,'أرقام التواصل'!$C$6:$C$505,1))=0,AND(U126="TRUE",V126="")),"REVIEW","READY")))</f>
        <v/>
      </c>
      <c r="AC126" s="27" t="str">
        <f>IF(AB126="","",IF(AB126="READY","",IF(AB126="SKIP","Skipped by candidate_import_action",TRIM(IF(A126="","missing proposed_name_key; ","")&amp;IF(AND(A126&lt;&gt;"",COUNTIF($A$6:$A$505,A126)&gt;1),"duplicate proposed_name_key; ","")&amp;IF(C126="","missing candidate_import_action; ","")&amp;IF(D126="","missing move_reason; ","")&amp;IF(H126="","missing branch_id; ","")&amp;IF(K126="","missing first_name; ","")&amp;IF(L126="","missing last_name; ","")&amp;IF(S126="","missing status; ","")&amp;IF(AND(B126&lt;&gt;"",COUNTIF(الزبائن!$A$6:$A$505,B126)=0),"source key not found; ","")&amp;IF((COUNTIFS('أرقام التواصل'!$A$6:$A$505,"proposed_name",'أرقام التواصل'!$B$6:$B$505,A126,'أرقام التواصل'!$I$6:$I$505,"TRUE")+COUNTIFS('أرقام التواصل'!$A$6:$A$505,"proposed_name",'أرقام التواصل'!$B$6:$B$505,A126,'أرقام التواصل'!$C$6:$C$505,1))=0,"missing primary contact in أرقام التواصل; ","")&amp;IF(AND(U126="TRUE",V126=""),"duplicate_type required when duplicate_flag TRUE; ","")))))</f>
        <v/>
      </c>
    </row>
    <row r="127" spans="1:29">
      <c r="A127" s="36"/>
      <c r="B127" s="24"/>
      <c r="C127" s="25"/>
      <c r="D127" s="25"/>
      <c r="E127" s="25"/>
      <c r="F127" s="24"/>
      <c r="G127" s="25"/>
      <c r="H127" s="25"/>
      <c r="I127" s="25"/>
      <c r="J127" s="25"/>
      <c r="K127" s="25"/>
      <c r="L127" s="25"/>
      <c r="M127" s="25"/>
      <c r="N127" s="25" t="str">
        <f t="shared" si="1"/>
        <v/>
      </c>
      <c r="O127" s="25"/>
      <c r="P127" s="25"/>
      <c r="Q127" s="25"/>
      <c r="R127" s="25"/>
      <c r="S127" s="25"/>
      <c r="T127" s="25"/>
      <c r="U127" s="25"/>
      <c r="V127" s="25"/>
      <c r="W127" s="24"/>
      <c r="X127" s="24"/>
      <c r="Y127" s="25"/>
      <c r="Z127" s="25" t="str">
        <f>IF(B127="","",IFERROR(INDEX(الزبائن!$AZ$6:$AZ$505,MATCH(B127,الزبائن!$A$6:$A$505,0)),"source key not found"))</f>
        <v/>
      </c>
      <c r="AA127" s="25" t="str">
        <f>IF(B127="","",IFERROR(INDEX(الزبائن!$BA$6:$BA$505,MATCH(B127,الزبائن!$A$6:$A$505,0)),"source key not found"))</f>
        <v/>
      </c>
      <c r="AB127" s="25" t="str">
        <f>IF(AND(A127="",C127="",D127="",H127="",K127="",L127=""),"",IF(C127="skip","SKIP",IF(OR(A127="",C127="",D127="",H127="",K127="",L127="",S127="",COUNTIF($A$6:$A$505,A127)&gt;1,AND(B127&lt;&gt;"",COUNTIF(الزبائن!$A$6:$A$505,B127)=0),(COUNTIFS('أرقام التواصل'!$A$6:$A$505,"proposed_name",'أرقام التواصل'!$B$6:$B$505,A127,'أرقام التواصل'!$I$6:$I$505,"TRUE")+COUNTIFS('أرقام التواصل'!$A$6:$A$505,"proposed_name",'أرقام التواصل'!$B$6:$B$505,A127,'أرقام التواصل'!$C$6:$C$505,1))=0,AND(U127="TRUE",V127="")),"REVIEW","READY")))</f>
        <v/>
      </c>
      <c r="AC127" s="27" t="str">
        <f>IF(AB127="","",IF(AB127="READY","",IF(AB127="SKIP","Skipped by candidate_import_action",TRIM(IF(A127="","missing proposed_name_key; ","")&amp;IF(AND(A127&lt;&gt;"",COUNTIF($A$6:$A$505,A127)&gt;1),"duplicate proposed_name_key; ","")&amp;IF(C127="","missing candidate_import_action; ","")&amp;IF(D127="","missing move_reason; ","")&amp;IF(H127="","missing branch_id; ","")&amp;IF(K127="","missing first_name; ","")&amp;IF(L127="","missing last_name; ","")&amp;IF(S127="","missing status; ","")&amp;IF(AND(B127&lt;&gt;"",COUNTIF(الزبائن!$A$6:$A$505,B127)=0),"source key not found; ","")&amp;IF((COUNTIFS('أرقام التواصل'!$A$6:$A$505,"proposed_name",'أرقام التواصل'!$B$6:$B$505,A127,'أرقام التواصل'!$I$6:$I$505,"TRUE")+COUNTIFS('أرقام التواصل'!$A$6:$A$505,"proposed_name",'أرقام التواصل'!$B$6:$B$505,A127,'أرقام التواصل'!$C$6:$C$505,1))=0,"missing primary contact in أرقام التواصل; ","")&amp;IF(AND(U127="TRUE",V127=""),"duplicate_type required when duplicate_flag TRUE; ","")))))</f>
        <v/>
      </c>
    </row>
    <row r="128" spans="1:29">
      <c r="A128" s="36"/>
      <c r="B128" s="24"/>
      <c r="C128" s="25"/>
      <c r="D128" s="25"/>
      <c r="E128" s="25"/>
      <c r="F128" s="24"/>
      <c r="G128" s="25"/>
      <c r="H128" s="25"/>
      <c r="I128" s="25"/>
      <c r="J128" s="25"/>
      <c r="K128" s="25"/>
      <c r="L128" s="25"/>
      <c r="M128" s="25"/>
      <c r="N128" s="25" t="str">
        <f t="shared" si="1"/>
        <v/>
      </c>
      <c r="O128" s="25"/>
      <c r="P128" s="25"/>
      <c r="Q128" s="25"/>
      <c r="R128" s="25"/>
      <c r="S128" s="25"/>
      <c r="T128" s="25"/>
      <c r="U128" s="25"/>
      <c r="V128" s="25"/>
      <c r="W128" s="24"/>
      <c r="X128" s="24"/>
      <c r="Y128" s="25"/>
      <c r="Z128" s="25" t="str">
        <f>IF(B128="","",IFERROR(INDEX(الزبائن!$AZ$6:$AZ$505,MATCH(B128,الزبائن!$A$6:$A$505,0)),"source key not found"))</f>
        <v/>
      </c>
      <c r="AA128" s="25" t="str">
        <f>IF(B128="","",IFERROR(INDEX(الزبائن!$BA$6:$BA$505,MATCH(B128,الزبائن!$A$6:$A$505,0)),"source key not found"))</f>
        <v/>
      </c>
      <c r="AB128" s="25" t="str">
        <f>IF(AND(A128="",C128="",D128="",H128="",K128="",L128=""),"",IF(C128="skip","SKIP",IF(OR(A128="",C128="",D128="",H128="",K128="",L128="",S128="",COUNTIF($A$6:$A$505,A128)&gt;1,AND(B128&lt;&gt;"",COUNTIF(الزبائن!$A$6:$A$505,B128)=0),(COUNTIFS('أرقام التواصل'!$A$6:$A$505,"proposed_name",'أرقام التواصل'!$B$6:$B$505,A128,'أرقام التواصل'!$I$6:$I$505,"TRUE")+COUNTIFS('أرقام التواصل'!$A$6:$A$505,"proposed_name",'أرقام التواصل'!$B$6:$B$505,A128,'أرقام التواصل'!$C$6:$C$505,1))=0,AND(U128="TRUE",V128="")),"REVIEW","READY")))</f>
        <v/>
      </c>
      <c r="AC128" s="27" t="str">
        <f>IF(AB128="","",IF(AB128="READY","",IF(AB128="SKIP","Skipped by candidate_import_action",TRIM(IF(A128="","missing proposed_name_key; ","")&amp;IF(AND(A128&lt;&gt;"",COUNTIF($A$6:$A$505,A128)&gt;1),"duplicate proposed_name_key; ","")&amp;IF(C128="","missing candidate_import_action; ","")&amp;IF(D128="","missing move_reason; ","")&amp;IF(H128="","missing branch_id; ","")&amp;IF(K128="","missing first_name; ","")&amp;IF(L128="","missing last_name; ","")&amp;IF(S128="","missing status; ","")&amp;IF(AND(B128&lt;&gt;"",COUNTIF(الزبائن!$A$6:$A$505,B128)=0),"source key not found; ","")&amp;IF((COUNTIFS('أرقام التواصل'!$A$6:$A$505,"proposed_name",'أرقام التواصل'!$B$6:$B$505,A128,'أرقام التواصل'!$I$6:$I$505,"TRUE")+COUNTIFS('أرقام التواصل'!$A$6:$A$505,"proposed_name",'أرقام التواصل'!$B$6:$B$505,A128,'أرقام التواصل'!$C$6:$C$505,1))=0,"missing primary contact in أرقام التواصل; ","")&amp;IF(AND(U128="TRUE",V128=""),"duplicate_type required when duplicate_flag TRUE; ","")))))</f>
        <v/>
      </c>
    </row>
    <row r="129" spans="1:29">
      <c r="A129" s="36"/>
      <c r="B129" s="24"/>
      <c r="C129" s="25"/>
      <c r="D129" s="25"/>
      <c r="E129" s="25"/>
      <c r="F129" s="24"/>
      <c r="G129" s="25"/>
      <c r="H129" s="25"/>
      <c r="I129" s="25"/>
      <c r="J129" s="25"/>
      <c r="K129" s="25"/>
      <c r="L129" s="25"/>
      <c r="M129" s="25"/>
      <c r="N129" s="25" t="str">
        <f t="shared" si="1"/>
        <v/>
      </c>
      <c r="O129" s="25"/>
      <c r="P129" s="25"/>
      <c r="Q129" s="25"/>
      <c r="R129" s="25"/>
      <c r="S129" s="25"/>
      <c r="T129" s="25"/>
      <c r="U129" s="25"/>
      <c r="V129" s="25"/>
      <c r="W129" s="24"/>
      <c r="X129" s="24"/>
      <c r="Y129" s="25"/>
      <c r="Z129" s="25" t="str">
        <f>IF(B129="","",IFERROR(INDEX(الزبائن!$AZ$6:$AZ$505,MATCH(B129,الزبائن!$A$6:$A$505,0)),"source key not found"))</f>
        <v/>
      </c>
      <c r="AA129" s="25" t="str">
        <f>IF(B129="","",IFERROR(INDEX(الزبائن!$BA$6:$BA$505,MATCH(B129,الزبائن!$A$6:$A$505,0)),"source key not found"))</f>
        <v/>
      </c>
      <c r="AB129" s="25" t="str">
        <f>IF(AND(A129="",C129="",D129="",H129="",K129="",L129=""),"",IF(C129="skip","SKIP",IF(OR(A129="",C129="",D129="",H129="",K129="",L129="",S129="",COUNTIF($A$6:$A$505,A129)&gt;1,AND(B129&lt;&gt;"",COUNTIF(الزبائن!$A$6:$A$505,B129)=0),(COUNTIFS('أرقام التواصل'!$A$6:$A$505,"proposed_name",'أرقام التواصل'!$B$6:$B$505,A129,'أرقام التواصل'!$I$6:$I$505,"TRUE")+COUNTIFS('أرقام التواصل'!$A$6:$A$505,"proposed_name",'أرقام التواصل'!$B$6:$B$505,A129,'أرقام التواصل'!$C$6:$C$505,1))=0,AND(U129="TRUE",V129="")),"REVIEW","READY")))</f>
        <v/>
      </c>
      <c r="AC129" s="27" t="str">
        <f>IF(AB129="","",IF(AB129="READY","",IF(AB129="SKIP","Skipped by candidate_import_action",TRIM(IF(A129="","missing proposed_name_key; ","")&amp;IF(AND(A129&lt;&gt;"",COUNTIF($A$6:$A$505,A129)&gt;1),"duplicate proposed_name_key; ","")&amp;IF(C129="","missing candidate_import_action; ","")&amp;IF(D129="","missing move_reason; ","")&amp;IF(H129="","missing branch_id; ","")&amp;IF(K129="","missing first_name; ","")&amp;IF(L129="","missing last_name; ","")&amp;IF(S129="","missing status; ","")&amp;IF(AND(B129&lt;&gt;"",COUNTIF(الزبائن!$A$6:$A$505,B129)=0),"source key not found; ","")&amp;IF((COUNTIFS('أرقام التواصل'!$A$6:$A$505,"proposed_name",'أرقام التواصل'!$B$6:$B$505,A129,'أرقام التواصل'!$I$6:$I$505,"TRUE")+COUNTIFS('أرقام التواصل'!$A$6:$A$505,"proposed_name",'أرقام التواصل'!$B$6:$B$505,A129,'أرقام التواصل'!$C$6:$C$505,1))=0,"missing primary contact in أرقام التواصل; ","")&amp;IF(AND(U129="TRUE",V129=""),"duplicate_type required when duplicate_flag TRUE; ","")))))</f>
        <v/>
      </c>
    </row>
    <row r="130" spans="1:29">
      <c r="A130" s="36"/>
      <c r="B130" s="24"/>
      <c r="C130" s="25"/>
      <c r="D130" s="25"/>
      <c r="E130" s="25"/>
      <c r="F130" s="24"/>
      <c r="G130" s="25"/>
      <c r="H130" s="25"/>
      <c r="I130" s="25"/>
      <c r="J130" s="25"/>
      <c r="K130" s="25"/>
      <c r="L130" s="25"/>
      <c r="M130" s="25"/>
      <c r="N130" s="25" t="str">
        <f t="shared" si="1"/>
        <v/>
      </c>
      <c r="O130" s="25"/>
      <c r="P130" s="25"/>
      <c r="Q130" s="25"/>
      <c r="R130" s="25"/>
      <c r="S130" s="25"/>
      <c r="T130" s="25"/>
      <c r="U130" s="25"/>
      <c r="V130" s="25"/>
      <c r="W130" s="24"/>
      <c r="X130" s="24"/>
      <c r="Y130" s="25"/>
      <c r="Z130" s="25" t="str">
        <f>IF(B130="","",IFERROR(INDEX(الزبائن!$AZ$6:$AZ$505,MATCH(B130,الزبائن!$A$6:$A$505,0)),"source key not found"))</f>
        <v/>
      </c>
      <c r="AA130" s="25" t="str">
        <f>IF(B130="","",IFERROR(INDEX(الزبائن!$BA$6:$BA$505,MATCH(B130,الزبائن!$A$6:$A$505,0)),"source key not found"))</f>
        <v/>
      </c>
      <c r="AB130" s="25" t="str">
        <f>IF(AND(A130="",C130="",D130="",H130="",K130="",L130=""),"",IF(C130="skip","SKIP",IF(OR(A130="",C130="",D130="",H130="",K130="",L130="",S130="",COUNTIF($A$6:$A$505,A130)&gt;1,AND(B130&lt;&gt;"",COUNTIF(الزبائن!$A$6:$A$505,B130)=0),(COUNTIFS('أرقام التواصل'!$A$6:$A$505,"proposed_name",'أرقام التواصل'!$B$6:$B$505,A130,'أرقام التواصل'!$I$6:$I$505,"TRUE")+COUNTIFS('أرقام التواصل'!$A$6:$A$505,"proposed_name",'أرقام التواصل'!$B$6:$B$505,A130,'أرقام التواصل'!$C$6:$C$505,1))=0,AND(U130="TRUE",V130="")),"REVIEW","READY")))</f>
        <v/>
      </c>
      <c r="AC130" s="27" t="str">
        <f>IF(AB130="","",IF(AB130="READY","",IF(AB130="SKIP","Skipped by candidate_import_action",TRIM(IF(A130="","missing proposed_name_key; ","")&amp;IF(AND(A130&lt;&gt;"",COUNTIF($A$6:$A$505,A130)&gt;1),"duplicate proposed_name_key; ","")&amp;IF(C130="","missing candidate_import_action; ","")&amp;IF(D130="","missing move_reason; ","")&amp;IF(H130="","missing branch_id; ","")&amp;IF(K130="","missing first_name; ","")&amp;IF(L130="","missing last_name; ","")&amp;IF(S130="","missing status; ","")&amp;IF(AND(B130&lt;&gt;"",COUNTIF(الزبائن!$A$6:$A$505,B130)=0),"source key not found; ","")&amp;IF((COUNTIFS('أرقام التواصل'!$A$6:$A$505,"proposed_name",'أرقام التواصل'!$B$6:$B$505,A130,'أرقام التواصل'!$I$6:$I$505,"TRUE")+COUNTIFS('أرقام التواصل'!$A$6:$A$505,"proposed_name",'أرقام التواصل'!$B$6:$B$505,A130,'أرقام التواصل'!$C$6:$C$505,1))=0,"missing primary contact in أرقام التواصل; ","")&amp;IF(AND(U130="TRUE",V130=""),"duplicate_type required when duplicate_flag TRUE; ","")))))</f>
        <v/>
      </c>
    </row>
    <row r="131" spans="1:29">
      <c r="A131" s="36"/>
      <c r="B131" s="24"/>
      <c r="C131" s="25"/>
      <c r="D131" s="25"/>
      <c r="E131" s="25"/>
      <c r="F131" s="24"/>
      <c r="G131" s="25"/>
      <c r="H131" s="25"/>
      <c r="I131" s="25"/>
      <c r="J131" s="25"/>
      <c r="K131" s="25"/>
      <c r="L131" s="25"/>
      <c r="M131" s="25"/>
      <c r="N131" s="25" t="str">
        <f t="shared" si="1"/>
        <v/>
      </c>
      <c r="O131" s="25"/>
      <c r="P131" s="25"/>
      <c r="Q131" s="25"/>
      <c r="R131" s="25"/>
      <c r="S131" s="25"/>
      <c r="T131" s="25"/>
      <c r="U131" s="25"/>
      <c r="V131" s="25"/>
      <c r="W131" s="24"/>
      <c r="X131" s="24"/>
      <c r="Y131" s="25"/>
      <c r="Z131" s="25" t="str">
        <f>IF(B131="","",IFERROR(INDEX(الزبائن!$AZ$6:$AZ$505,MATCH(B131,الزبائن!$A$6:$A$505,0)),"source key not found"))</f>
        <v/>
      </c>
      <c r="AA131" s="25" t="str">
        <f>IF(B131="","",IFERROR(INDEX(الزبائن!$BA$6:$BA$505,MATCH(B131,الزبائن!$A$6:$A$505,0)),"source key not found"))</f>
        <v/>
      </c>
      <c r="AB131" s="25" t="str">
        <f>IF(AND(A131="",C131="",D131="",H131="",K131="",L131=""),"",IF(C131="skip","SKIP",IF(OR(A131="",C131="",D131="",H131="",K131="",L131="",S131="",COUNTIF($A$6:$A$505,A131)&gt;1,AND(B131&lt;&gt;"",COUNTIF(الزبائن!$A$6:$A$505,B131)=0),(COUNTIFS('أرقام التواصل'!$A$6:$A$505,"proposed_name",'أرقام التواصل'!$B$6:$B$505,A131,'أرقام التواصل'!$I$6:$I$505,"TRUE")+COUNTIFS('أرقام التواصل'!$A$6:$A$505,"proposed_name",'أرقام التواصل'!$B$6:$B$505,A131,'أرقام التواصل'!$C$6:$C$505,1))=0,AND(U131="TRUE",V131="")),"REVIEW","READY")))</f>
        <v/>
      </c>
      <c r="AC131" s="27" t="str">
        <f>IF(AB131="","",IF(AB131="READY","",IF(AB131="SKIP","Skipped by candidate_import_action",TRIM(IF(A131="","missing proposed_name_key; ","")&amp;IF(AND(A131&lt;&gt;"",COUNTIF($A$6:$A$505,A131)&gt;1),"duplicate proposed_name_key; ","")&amp;IF(C131="","missing candidate_import_action; ","")&amp;IF(D131="","missing move_reason; ","")&amp;IF(H131="","missing branch_id; ","")&amp;IF(K131="","missing first_name; ","")&amp;IF(L131="","missing last_name; ","")&amp;IF(S131="","missing status; ","")&amp;IF(AND(B131&lt;&gt;"",COUNTIF(الزبائن!$A$6:$A$505,B131)=0),"source key not found; ","")&amp;IF((COUNTIFS('أرقام التواصل'!$A$6:$A$505,"proposed_name",'أرقام التواصل'!$B$6:$B$505,A131,'أرقام التواصل'!$I$6:$I$505,"TRUE")+COUNTIFS('أرقام التواصل'!$A$6:$A$505,"proposed_name",'أرقام التواصل'!$B$6:$B$505,A131,'أرقام التواصل'!$C$6:$C$505,1))=0,"missing primary contact in أرقام التواصل; ","")&amp;IF(AND(U131="TRUE",V131=""),"duplicate_type required when duplicate_flag TRUE; ","")))))</f>
        <v/>
      </c>
    </row>
    <row r="132" spans="1:29">
      <c r="A132" s="36"/>
      <c r="B132" s="24"/>
      <c r="C132" s="25"/>
      <c r="D132" s="25"/>
      <c r="E132" s="25"/>
      <c r="F132" s="24"/>
      <c r="G132" s="25"/>
      <c r="H132" s="25"/>
      <c r="I132" s="25"/>
      <c r="J132" s="25"/>
      <c r="K132" s="25"/>
      <c r="L132" s="25"/>
      <c r="M132" s="25"/>
      <c r="N132" s="25" t="str">
        <f t="shared" si="1"/>
        <v/>
      </c>
      <c r="O132" s="25"/>
      <c r="P132" s="25"/>
      <c r="Q132" s="25"/>
      <c r="R132" s="25"/>
      <c r="S132" s="25"/>
      <c r="T132" s="25"/>
      <c r="U132" s="25"/>
      <c r="V132" s="25"/>
      <c r="W132" s="24"/>
      <c r="X132" s="24"/>
      <c r="Y132" s="25"/>
      <c r="Z132" s="25" t="str">
        <f>IF(B132="","",IFERROR(INDEX(الزبائن!$AZ$6:$AZ$505,MATCH(B132,الزبائن!$A$6:$A$505,0)),"source key not found"))</f>
        <v/>
      </c>
      <c r="AA132" s="25" t="str">
        <f>IF(B132="","",IFERROR(INDEX(الزبائن!$BA$6:$BA$505,MATCH(B132,الزبائن!$A$6:$A$505,0)),"source key not found"))</f>
        <v/>
      </c>
      <c r="AB132" s="25" t="str">
        <f>IF(AND(A132="",C132="",D132="",H132="",K132="",L132=""),"",IF(C132="skip","SKIP",IF(OR(A132="",C132="",D132="",H132="",K132="",L132="",S132="",COUNTIF($A$6:$A$505,A132)&gt;1,AND(B132&lt;&gt;"",COUNTIF(الزبائن!$A$6:$A$505,B132)=0),(COUNTIFS('أرقام التواصل'!$A$6:$A$505,"proposed_name",'أرقام التواصل'!$B$6:$B$505,A132,'أرقام التواصل'!$I$6:$I$505,"TRUE")+COUNTIFS('أرقام التواصل'!$A$6:$A$505,"proposed_name",'أرقام التواصل'!$B$6:$B$505,A132,'أرقام التواصل'!$C$6:$C$505,1))=0,AND(U132="TRUE",V132="")),"REVIEW","READY")))</f>
        <v/>
      </c>
      <c r="AC132" s="27" t="str">
        <f>IF(AB132="","",IF(AB132="READY","",IF(AB132="SKIP","Skipped by candidate_import_action",TRIM(IF(A132="","missing proposed_name_key; ","")&amp;IF(AND(A132&lt;&gt;"",COUNTIF($A$6:$A$505,A132)&gt;1),"duplicate proposed_name_key; ","")&amp;IF(C132="","missing candidate_import_action; ","")&amp;IF(D132="","missing move_reason; ","")&amp;IF(H132="","missing branch_id; ","")&amp;IF(K132="","missing first_name; ","")&amp;IF(L132="","missing last_name; ","")&amp;IF(S132="","missing status; ","")&amp;IF(AND(B132&lt;&gt;"",COUNTIF(الزبائن!$A$6:$A$505,B132)=0),"source key not found; ","")&amp;IF((COUNTIFS('أرقام التواصل'!$A$6:$A$505,"proposed_name",'أرقام التواصل'!$B$6:$B$505,A132,'أرقام التواصل'!$I$6:$I$505,"TRUE")+COUNTIFS('أرقام التواصل'!$A$6:$A$505,"proposed_name",'أرقام التواصل'!$B$6:$B$505,A132,'أرقام التواصل'!$C$6:$C$505,1))=0,"missing primary contact in أرقام التواصل; ","")&amp;IF(AND(U132="TRUE",V132=""),"duplicate_type required when duplicate_flag TRUE; ","")))))</f>
        <v/>
      </c>
    </row>
    <row r="133" spans="1:29">
      <c r="A133" s="36"/>
      <c r="B133" s="24"/>
      <c r="C133" s="25"/>
      <c r="D133" s="25"/>
      <c r="E133" s="25"/>
      <c r="F133" s="24"/>
      <c r="G133" s="25"/>
      <c r="H133" s="25"/>
      <c r="I133" s="25"/>
      <c r="J133" s="25"/>
      <c r="K133" s="25"/>
      <c r="L133" s="25"/>
      <c r="M133" s="25"/>
      <c r="N133" s="25" t="str">
        <f t="shared" si="1"/>
        <v/>
      </c>
      <c r="O133" s="25"/>
      <c r="P133" s="25"/>
      <c r="Q133" s="25"/>
      <c r="R133" s="25"/>
      <c r="S133" s="25"/>
      <c r="T133" s="25"/>
      <c r="U133" s="25"/>
      <c r="V133" s="25"/>
      <c r="W133" s="24"/>
      <c r="X133" s="24"/>
      <c r="Y133" s="25"/>
      <c r="Z133" s="25" t="str">
        <f>IF(B133="","",IFERROR(INDEX(الزبائن!$AZ$6:$AZ$505,MATCH(B133,الزبائن!$A$6:$A$505,0)),"source key not found"))</f>
        <v/>
      </c>
      <c r="AA133" s="25" t="str">
        <f>IF(B133="","",IFERROR(INDEX(الزبائن!$BA$6:$BA$505,MATCH(B133,الزبائن!$A$6:$A$505,0)),"source key not found"))</f>
        <v/>
      </c>
      <c r="AB133" s="25" t="str">
        <f>IF(AND(A133="",C133="",D133="",H133="",K133="",L133=""),"",IF(C133="skip","SKIP",IF(OR(A133="",C133="",D133="",H133="",K133="",L133="",S133="",COUNTIF($A$6:$A$505,A133)&gt;1,AND(B133&lt;&gt;"",COUNTIF(الزبائن!$A$6:$A$505,B133)=0),(COUNTIFS('أرقام التواصل'!$A$6:$A$505,"proposed_name",'أرقام التواصل'!$B$6:$B$505,A133,'أرقام التواصل'!$I$6:$I$505,"TRUE")+COUNTIFS('أرقام التواصل'!$A$6:$A$505,"proposed_name",'أرقام التواصل'!$B$6:$B$505,A133,'أرقام التواصل'!$C$6:$C$505,1))=0,AND(U133="TRUE",V133="")),"REVIEW","READY")))</f>
        <v/>
      </c>
      <c r="AC133" s="27" t="str">
        <f>IF(AB133="","",IF(AB133="READY","",IF(AB133="SKIP","Skipped by candidate_import_action",TRIM(IF(A133="","missing proposed_name_key; ","")&amp;IF(AND(A133&lt;&gt;"",COUNTIF($A$6:$A$505,A133)&gt;1),"duplicate proposed_name_key; ","")&amp;IF(C133="","missing candidate_import_action; ","")&amp;IF(D133="","missing move_reason; ","")&amp;IF(H133="","missing branch_id; ","")&amp;IF(K133="","missing first_name; ","")&amp;IF(L133="","missing last_name; ","")&amp;IF(S133="","missing status; ","")&amp;IF(AND(B133&lt;&gt;"",COUNTIF(الزبائن!$A$6:$A$505,B133)=0),"source key not found; ","")&amp;IF((COUNTIFS('أرقام التواصل'!$A$6:$A$505,"proposed_name",'أرقام التواصل'!$B$6:$B$505,A133,'أرقام التواصل'!$I$6:$I$505,"TRUE")+COUNTIFS('أرقام التواصل'!$A$6:$A$505,"proposed_name",'أرقام التواصل'!$B$6:$B$505,A133,'أرقام التواصل'!$C$6:$C$505,1))=0,"missing primary contact in أرقام التواصل; ","")&amp;IF(AND(U133="TRUE",V133=""),"duplicate_type required when duplicate_flag TRUE; ","")))))</f>
        <v/>
      </c>
    </row>
    <row r="134" spans="1:29">
      <c r="A134" s="36"/>
      <c r="B134" s="24"/>
      <c r="C134" s="25"/>
      <c r="D134" s="25"/>
      <c r="E134" s="25"/>
      <c r="F134" s="24"/>
      <c r="G134" s="25"/>
      <c r="H134" s="25"/>
      <c r="I134" s="25"/>
      <c r="J134" s="25"/>
      <c r="K134" s="25"/>
      <c r="L134" s="25"/>
      <c r="M134" s="25"/>
      <c r="N134" s="25" t="str">
        <f t="shared" ref="N134:N197" si="2">IF(TRIM(K134&amp;" "&amp;L134&amp;IF(M134&lt;&gt;""," ("&amp;M134&amp;")",""))="","",TRIM(K134&amp;" "&amp;L134&amp;IF(M134&lt;&gt;""," ("&amp;M134&amp;")","")))</f>
        <v/>
      </c>
      <c r="O134" s="25"/>
      <c r="P134" s="25"/>
      <c r="Q134" s="25"/>
      <c r="R134" s="25"/>
      <c r="S134" s="25"/>
      <c r="T134" s="25"/>
      <c r="U134" s="25"/>
      <c r="V134" s="25"/>
      <c r="W134" s="24"/>
      <c r="X134" s="24"/>
      <c r="Y134" s="25"/>
      <c r="Z134" s="25" t="str">
        <f>IF(B134="","",IFERROR(INDEX(الزبائن!$AZ$6:$AZ$505,MATCH(B134,الزبائن!$A$6:$A$505,0)),"source key not found"))</f>
        <v/>
      </c>
      <c r="AA134" s="25" t="str">
        <f>IF(B134="","",IFERROR(INDEX(الزبائن!$BA$6:$BA$505,MATCH(B134,الزبائن!$A$6:$A$505,0)),"source key not found"))</f>
        <v/>
      </c>
      <c r="AB134" s="25" t="str">
        <f>IF(AND(A134="",C134="",D134="",H134="",K134="",L134=""),"",IF(C134="skip","SKIP",IF(OR(A134="",C134="",D134="",H134="",K134="",L134="",S134="",COUNTIF($A$6:$A$505,A134)&gt;1,AND(B134&lt;&gt;"",COUNTIF(الزبائن!$A$6:$A$505,B134)=0),(COUNTIFS('أرقام التواصل'!$A$6:$A$505,"proposed_name",'أرقام التواصل'!$B$6:$B$505,A134,'أرقام التواصل'!$I$6:$I$505,"TRUE")+COUNTIFS('أرقام التواصل'!$A$6:$A$505,"proposed_name",'أرقام التواصل'!$B$6:$B$505,A134,'أرقام التواصل'!$C$6:$C$505,1))=0,AND(U134="TRUE",V134="")),"REVIEW","READY")))</f>
        <v/>
      </c>
      <c r="AC134" s="27" t="str">
        <f>IF(AB134="","",IF(AB134="READY","",IF(AB134="SKIP","Skipped by candidate_import_action",TRIM(IF(A134="","missing proposed_name_key; ","")&amp;IF(AND(A134&lt;&gt;"",COUNTIF($A$6:$A$505,A134)&gt;1),"duplicate proposed_name_key; ","")&amp;IF(C134="","missing candidate_import_action; ","")&amp;IF(D134="","missing move_reason; ","")&amp;IF(H134="","missing branch_id; ","")&amp;IF(K134="","missing first_name; ","")&amp;IF(L134="","missing last_name; ","")&amp;IF(S134="","missing status; ","")&amp;IF(AND(B134&lt;&gt;"",COUNTIF(الزبائن!$A$6:$A$505,B134)=0),"source key not found; ","")&amp;IF((COUNTIFS('أرقام التواصل'!$A$6:$A$505,"proposed_name",'أرقام التواصل'!$B$6:$B$505,A134,'أرقام التواصل'!$I$6:$I$505,"TRUE")+COUNTIFS('أرقام التواصل'!$A$6:$A$505,"proposed_name",'أرقام التواصل'!$B$6:$B$505,A134,'أرقام التواصل'!$C$6:$C$505,1))=0,"missing primary contact in أرقام التواصل; ","")&amp;IF(AND(U134="TRUE",V134=""),"duplicate_type required when duplicate_flag TRUE; ","")))))</f>
        <v/>
      </c>
    </row>
    <row r="135" spans="1:29">
      <c r="A135" s="36"/>
      <c r="B135" s="24"/>
      <c r="C135" s="25"/>
      <c r="D135" s="25"/>
      <c r="E135" s="25"/>
      <c r="F135" s="24"/>
      <c r="G135" s="25"/>
      <c r="H135" s="25"/>
      <c r="I135" s="25"/>
      <c r="J135" s="25"/>
      <c r="K135" s="25"/>
      <c r="L135" s="25"/>
      <c r="M135" s="25"/>
      <c r="N135" s="25" t="str">
        <f t="shared" si="2"/>
        <v/>
      </c>
      <c r="O135" s="25"/>
      <c r="P135" s="25"/>
      <c r="Q135" s="25"/>
      <c r="R135" s="25"/>
      <c r="S135" s="25"/>
      <c r="T135" s="25"/>
      <c r="U135" s="25"/>
      <c r="V135" s="25"/>
      <c r="W135" s="24"/>
      <c r="X135" s="24"/>
      <c r="Y135" s="25"/>
      <c r="Z135" s="25" t="str">
        <f>IF(B135="","",IFERROR(INDEX(الزبائن!$AZ$6:$AZ$505,MATCH(B135,الزبائن!$A$6:$A$505,0)),"source key not found"))</f>
        <v/>
      </c>
      <c r="AA135" s="25" t="str">
        <f>IF(B135="","",IFERROR(INDEX(الزبائن!$BA$6:$BA$505,MATCH(B135,الزبائن!$A$6:$A$505,0)),"source key not found"))</f>
        <v/>
      </c>
      <c r="AB135" s="25" t="str">
        <f>IF(AND(A135="",C135="",D135="",H135="",K135="",L135=""),"",IF(C135="skip","SKIP",IF(OR(A135="",C135="",D135="",H135="",K135="",L135="",S135="",COUNTIF($A$6:$A$505,A135)&gt;1,AND(B135&lt;&gt;"",COUNTIF(الزبائن!$A$6:$A$505,B135)=0),(COUNTIFS('أرقام التواصل'!$A$6:$A$505,"proposed_name",'أرقام التواصل'!$B$6:$B$505,A135,'أرقام التواصل'!$I$6:$I$505,"TRUE")+COUNTIFS('أرقام التواصل'!$A$6:$A$505,"proposed_name",'أرقام التواصل'!$B$6:$B$505,A135,'أرقام التواصل'!$C$6:$C$505,1))=0,AND(U135="TRUE",V135="")),"REVIEW","READY")))</f>
        <v/>
      </c>
      <c r="AC135" s="27" t="str">
        <f>IF(AB135="","",IF(AB135="READY","",IF(AB135="SKIP","Skipped by candidate_import_action",TRIM(IF(A135="","missing proposed_name_key; ","")&amp;IF(AND(A135&lt;&gt;"",COUNTIF($A$6:$A$505,A135)&gt;1),"duplicate proposed_name_key; ","")&amp;IF(C135="","missing candidate_import_action; ","")&amp;IF(D135="","missing move_reason; ","")&amp;IF(H135="","missing branch_id; ","")&amp;IF(K135="","missing first_name; ","")&amp;IF(L135="","missing last_name; ","")&amp;IF(S135="","missing status; ","")&amp;IF(AND(B135&lt;&gt;"",COUNTIF(الزبائن!$A$6:$A$505,B135)=0),"source key not found; ","")&amp;IF((COUNTIFS('أرقام التواصل'!$A$6:$A$505,"proposed_name",'أرقام التواصل'!$B$6:$B$505,A135,'أرقام التواصل'!$I$6:$I$505,"TRUE")+COUNTIFS('أرقام التواصل'!$A$6:$A$505,"proposed_name",'أرقام التواصل'!$B$6:$B$505,A135,'أرقام التواصل'!$C$6:$C$505,1))=0,"missing primary contact in أرقام التواصل; ","")&amp;IF(AND(U135="TRUE",V135=""),"duplicate_type required when duplicate_flag TRUE; ","")))))</f>
        <v/>
      </c>
    </row>
    <row r="136" spans="1:29">
      <c r="A136" s="36"/>
      <c r="B136" s="24"/>
      <c r="C136" s="25"/>
      <c r="D136" s="25"/>
      <c r="E136" s="25"/>
      <c r="F136" s="24"/>
      <c r="G136" s="25"/>
      <c r="H136" s="25"/>
      <c r="I136" s="25"/>
      <c r="J136" s="25"/>
      <c r="K136" s="25"/>
      <c r="L136" s="25"/>
      <c r="M136" s="25"/>
      <c r="N136" s="25" t="str">
        <f t="shared" si="2"/>
        <v/>
      </c>
      <c r="O136" s="25"/>
      <c r="P136" s="25"/>
      <c r="Q136" s="25"/>
      <c r="R136" s="25"/>
      <c r="S136" s="25"/>
      <c r="T136" s="25"/>
      <c r="U136" s="25"/>
      <c r="V136" s="25"/>
      <c r="W136" s="24"/>
      <c r="X136" s="24"/>
      <c r="Y136" s="25"/>
      <c r="Z136" s="25" t="str">
        <f>IF(B136="","",IFERROR(INDEX(الزبائن!$AZ$6:$AZ$505,MATCH(B136,الزبائن!$A$6:$A$505,0)),"source key not found"))</f>
        <v/>
      </c>
      <c r="AA136" s="25" t="str">
        <f>IF(B136="","",IFERROR(INDEX(الزبائن!$BA$6:$BA$505,MATCH(B136,الزبائن!$A$6:$A$505,0)),"source key not found"))</f>
        <v/>
      </c>
      <c r="AB136" s="25" t="str">
        <f>IF(AND(A136="",C136="",D136="",H136="",K136="",L136=""),"",IF(C136="skip","SKIP",IF(OR(A136="",C136="",D136="",H136="",K136="",L136="",S136="",COUNTIF($A$6:$A$505,A136)&gt;1,AND(B136&lt;&gt;"",COUNTIF(الزبائن!$A$6:$A$505,B136)=0),(COUNTIFS('أرقام التواصل'!$A$6:$A$505,"proposed_name",'أرقام التواصل'!$B$6:$B$505,A136,'أرقام التواصل'!$I$6:$I$505,"TRUE")+COUNTIFS('أرقام التواصل'!$A$6:$A$505,"proposed_name",'أرقام التواصل'!$B$6:$B$505,A136,'أرقام التواصل'!$C$6:$C$505,1))=0,AND(U136="TRUE",V136="")),"REVIEW","READY")))</f>
        <v/>
      </c>
      <c r="AC136" s="27" t="str">
        <f>IF(AB136="","",IF(AB136="READY","",IF(AB136="SKIP","Skipped by candidate_import_action",TRIM(IF(A136="","missing proposed_name_key; ","")&amp;IF(AND(A136&lt;&gt;"",COUNTIF($A$6:$A$505,A136)&gt;1),"duplicate proposed_name_key; ","")&amp;IF(C136="","missing candidate_import_action; ","")&amp;IF(D136="","missing move_reason; ","")&amp;IF(H136="","missing branch_id; ","")&amp;IF(K136="","missing first_name; ","")&amp;IF(L136="","missing last_name; ","")&amp;IF(S136="","missing status; ","")&amp;IF(AND(B136&lt;&gt;"",COUNTIF(الزبائن!$A$6:$A$505,B136)=0),"source key not found; ","")&amp;IF((COUNTIFS('أرقام التواصل'!$A$6:$A$505,"proposed_name",'أرقام التواصل'!$B$6:$B$505,A136,'أرقام التواصل'!$I$6:$I$505,"TRUE")+COUNTIFS('أرقام التواصل'!$A$6:$A$505,"proposed_name",'أرقام التواصل'!$B$6:$B$505,A136,'أرقام التواصل'!$C$6:$C$505,1))=0,"missing primary contact in أرقام التواصل; ","")&amp;IF(AND(U136="TRUE",V136=""),"duplicate_type required when duplicate_flag TRUE; ","")))))</f>
        <v/>
      </c>
    </row>
    <row r="137" spans="1:29">
      <c r="A137" s="36"/>
      <c r="B137" s="24"/>
      <c r="C137" s="25"/>
      <c r="D137" s="25"/>
      <c r="E137" s="25"/>
      <c r="F137" s="24"/>
      <c r="G137" s="25"/>
      <c r="H137" s="25"/>
      <c r="I137" s="25"/>
      <c r="J137" s="25"/>
      <c r="K137" s="25"/>
      <c r="L137" s="25"/>
      <c r="M137" s="25"/>
      <c r="N137" s="25" t="str">
        <f t="shared" si="2"/>
        <v/>
      </c>
      <c r="O137" s="25"/>
      <c r="P137" s="25"/>
      <c r="Q137" s="25"/>
      <c r="R137" s="25"/>
      <c r="S137" s="25"/>
      <c r="T137" s="25"/>
      <c r="U137" s="25"/>
      <c r="V137" s="25"/>
      <c r="W137" s="24"/>
      <c r="X137" s="24"/>
      <c r="Y137" s="25"/>
      <c r="Z137" s="25" t="str">
        <f>IF(B137="","",IFERROR(INDEX(الزبائن!$AZ$6:$AZ$505,MATCH(B137,الزبائن!$A$6:$A$505,0)),"source key not found"))</f>
        <v/>
      </c>
      <c r="AA137" s="25" t="str">
        <f>IF(B137="","",IFERROR(INDEX(الزبائن!$BA$6:$BA$505,MATCH(B137,الزبائن!$A$6:$A$505,0)),"source key not found"))</f>
        <v/>
      </c>
      <c r="AB137" s="25" t="str">
        <f>IF(AND(A137="",C137="",D137="",H137="",K137="",L137=""),"",IF(C137="skip","SKIP",IF(OR(A137="",C137="",D137="",H137="",K137="",L137="",S137="",COUNTIF($A$6:$A$505,A137)&gt;1,AND(B137&lt;&gt;"",COUNTIF(الزبائن!$A$6:$A$505,B137)=0),(COUNTIFS('أرقام التواصل'!$A$6:$A$505,"proposed_name",'أرقام التواصل'!$B$6:$B$505,A137,'أرقام التواصل'!$I$6:$I$505,"TRUE")+COUNTIFS('أرقام التواصل'!$A$6:$A$505,"proposed_name",'أرقام التواصل'!$B$6:$B$505,A137,'أرقام التواصل'!$C$6:$C$505,1))=0,AND(U137="TRUE",V137="")),"REVIEW","READY")))</f>
        <v/>
      </c>
      <c r="AC137" s="27" t="str">
        <f>IF(AB137="","",IF(AB137="READY","",IF(AB137="SKIP","Skipped by candidate_import_action",TRIM(IF(A137="","missing proposed_name_key; ","")&amp;IF(AND(A137&lt;&gt;"",COUNTIF($A$6:$A$505,A137)&gt;1),"duplicate proposed_name_key; ","")&amp;IF(C137="","missing candidate_import_action; ","")&amp;IF(D137="","missing move_reason; ","")&amp;IF(H137="","missing branch_id; ","")&amp;IF(K137="","missing first_name; ","")&amp;IF(L137="","missing last_name; ","")&amp;IF(S137="","missing status; ","")&amp;IF(AND(B137&lt;&gt;"",COUNTIF(الزبائن!$A$6:$A$505,B137)=0),"source key not found; ","")&amp;IF((COUNTIFS('أرقام التواصل'!$A$6:$A$505,"proposed_name",'أرقام التواصل'!$B$6:$B$505,A137,'أرقام التواصل'!$I$6:$I$505,"TRUE")+COUNTIFS('أرقام التواصل'!$A$6:$A$505,"proposed_name",'أرقام التواصل'!$B$6:$B$505,A137,'أرقام التواصل'!$C$6:$C$505,1))=0,"missing primary contact in أرقام التواصل; ","")&amp;IF(AND(U137="TRUE",V137=""),"duplicate_type required when duplicate_flag TRUE; ","")))))</f>
        <v/>
      </c>
    </row>
    <row r="138" spans="1:29">
      <c r="A138" s="36"/>
      <c r="B138" s="24"/>
      <c r="C138" s="25"/>
      <c r="D138" s="25"/>
      <c r="E138" s="25"/>
      <c r="F138" s="24"/>
      <c r="G138" s="25"/>
      <c r="H138" s="25"/>
      <c r="I138" s="25"/>
      <c r="J138" s="25"/>
      <c r="K138" s="25"/>
      <c r="L138" s="25"/>
      <c r="M138" s="25"/>
      <c r="N138" s="25" t="str">
        <f t="shared" si="2"/>
        <v/>
      </c>
      <c r="O138" s="25"/>
      <c r="P138" s="25"/>
      <c r="Q138" s="25"/>
      <c r="R138" s="25"/>
      <c r="S138" s="25"/>
      <c r="T138" s="25"/>
      <c r="U138" s="25"/>
      <c r="V138" s="25"/>
      <c r="W138" s="24"/>
      <c r="X138" s="24"/>
      <c r="Y138" s="25"/>
      <c r="Z138" s="25" t="str">
        <f>IF(B138="","",IFERROR(INDEX(الزبائن!$AZ$6:$AZ$505,MATCH(B138,الزبائن!$A$6:$A$505,0)),"source key not found"))</f>
        <v/>
      </c>
      <c r="AA138" s="25" t="str">
        <f>IF(B138="","",IFERROR(INDEX(الزبائن!$BA$6:$BA$505,MATCH(B138,الزبائن!$A$6:$A$505,0)),"source key not found"))</f>
        <v/>
      </c>
      <c r="AB138" s="25" t="str">
        <f>IF(AND(A138="",C138="",D138="",H138="",K138="",L138=""),"",IF(C138="skip","SKIP",IF(OR(A138="",C138="",D138="",H138="",K138="",L138="",S138="",COUNTIF($A$6:$A$505,A138)&gt;1,AND(B138&lt;&gt;"",COUNTIF(الزبائن!$A$6:$A$505,B138)=0),(COUNTIFS('أرقام التواصل'!$A$6:$A$505,"proposed_name",'أرقام التواصل'!$B$6:$B$505,A138,'أرقام التواصل'!$I$6:$I$505,"TRUE")+COUNTIFS('أرقام التواصل'!$A$6:$A$505,"proposed_name",'أرقام التواصل'!$B$6:$B$505,A138,'أرقام التواصل'!$C$6:$C$505,1))=0,AND(U138="TRUE",V138="")),"REVIEW","READY")))</f>
        <v/>
      </c>
      <c r="AC138" s="27" t="str">
        <f>IF(AB138="","",IF(AB138="READY","",IF(AB138="SKIP","Skipped by candidate_import_action",TRIM(IF(A138="","missing proposed_name_key; ","")&amp;IF(AND(A138&lt;&gt;"",COUNTIF($A$6:$A$505,A138)&gt;1),"duplicate proposed_name_key; ","")&amp;IF(C138="","missing candidate_import_action; ","")&amp;IF(D138="","missing move_reason; ","")&amp;IF(H138="","missing branch_id; ","")&amp;IF(K138="","missing first_name; ","")&amp;IF(L138="","missing last_name; ","")&amp;IF(S138="","missing status; ","")&amp;IF(AND(B138&lt;&gt;"",COUNTIF(الزبائن!$A$6:$A$505,B138)=0),"source key not found; ","")&amp;IF((COUNTIFS('أرقام التواصل'!$A$6:$A$505,"proposed_name",'أرقام التواصل'!$B$6:$B$505,A138,'أرقام التواصل'!$I$6:$I$505,"TRUE")+COUNTIFS('أرقام التواصل'!$A$6:$A$505,"proposed_name",'أرقام التواصل'!$B$6:$B$505,A138,'أرقام التواصل'!$C$6:$C$505,1))=0,"missing primary contact in أرقام التواصل; ","")&amp;IF(AND(U138="TRUE",V138=""),"duplicate_type required when duplicate_flag TRUE; ","")))))</f>
        <v/>
      </c>
    </row>
    <row r="139" spans="1:29">
      <c r="A139" s="36"/>
      <c r="B139" s="24"/>
      <c r="C139" s="25"/>
      <c r="D139" s="25"/>
      <c r="E139" s="25"/>
      <c r="F139" s="24"/>
      <c r="G139" s="25"/>
      <c r="H139" s="25"/>
      <c r="I139" s="25"/>
      <c r="J139" s="25"/>
      <c r="K139" s="25"/>
      <c r="L139" s="25"/>
      <c r="M139" s="25"/>
      <c r="N139" s="25" t="str">
        <f t="shared" si="2"/>
        <v/>
      </c>
      <c r="O139" s="25"/>
      <c r="P139" s="25"/>
      <c r="Q139" s="25"/>
      <c r="R139" s="25"/>
      <c r="S139" s="25"/>
      <c r="T139" s="25"/>
      <c r="U139" s="25"/>
      <c r="V139" s="25"/>
      <c r="W139" s="24"/>
      <c r="X139" s="24"/>
      <c r="Y139" s="25"/>
      <c r="Z139" s="25" t="str">
        <f>IF(B139="","",IFERROR(INDEX(الزبائن!$AZ$6:$AZ$505,MATCH(B139,الزبائن!$A$6:$A$505,0)),"source key not found"))</f>
        <v/>
      </c>
      <c r="AA139" s="25" t="str">
        <f>IF(B139="","",IFERROR(INDEX(الزبائن!$BA$6:$BA$505,MATCH(B139,الزبائن!$A$6:$A$505,0)),"source key not found"))</f>
        <v/>
      </c>
      <c r="AB139" s="25" t="str">
        <f>IF(AND(A139="",C139="",D139="",H139="",K139="",L139=""),"",IF(C139="skip","SKIP",IF(OR(A139="",C139="",D139="",H139="",K139="",L139="",S139="",COUNTIF($A$6:$A$505,A139)&gt;1,AND(B139&lt;&gt;"",COUNTIF(الزبائن!$A$6:$A$505,B139)=0),(COUNTIFS('أرقام التواصل'!$A$6:$A$505,"proposed_name",'أرقام التواصل'!$B$6:$B$505,A139,'أرقام التواصل'!$I$6:$I$505,"TRUE")+COUNTIFS('أرقام التواصل'!$A$6:$A$505,"proposed_name",'أرقام التواصل'!$B$6:$B$505,A139,'أرقام التواصل'!$C$6:$C$505,1))=0,AND(U139="TRUE",V139="")),"REVIEW","READY")))</f>
        <v/>
      </c>
      <c r="AC139" s="27" t="str">
        <f>IF(AB139="","",IF(AB139="READY","",IF(AB139="SKIP","Skipped by candidate_import_action",TRIM(IF(A139="","missing proposed_name_key; ","")&amp;IF(AND(A139&lt;&gt;"",COUNTIF($A$6:$A$505,A139)&gt;1),"duplicate proposed_name_key; ","")&amp;IF(C139="","missing candidate_import_action; ","")&amp;IF(D139="","missing move_reason; ","")&amp;IF(H139="","missing branch_id; ","")&amp;IF(K139="","missing first_name; ","")&amp;IF(L139="","missing last_name; ","")&amp;IF(S139="","missing status; ","")&amp;IF(AND(B139&lt;&gt;"",COUNTIF(الزبائن!$A$6:$A$505,B139)=0),"source key not found; ","")&amp;IF((COUNTIFS('أرقام التواصل'!$A$6:$A$505,"proposed_name",'أرقام التواصل'!$B$6:$B$505,A139,'أرقام التواصل'!$I$6:$I$505,"TRUE")+COUNTIFS('أرقام التواصل'!$A$6:$A$505,"proposed_name",'أرقام التواصل'!$B$6:$B$505,A139,'أرقام التواصل'!$C$6:$C$505,1))=0,"missing primary contact in أرقام التواصل; ","")&amp;IF(AND(U139="TRUE",V139=""),"duplicate_type required when duplicate_flag TRUE; ","")))))</f>
        <v/>
      </c>
    </row>
    <row r="140" spans="1:29">
      <c r="A140" s="36"/>
      <c r="B140" s="24"/>
      <c r="C140" s="25"/>
      <c r="D140" s="25"/>
      <c r="E140" s="25"/>
      <c r="F140" s="24"/>
      <c r="G140" s="25"/>
      <c r="H140" s="25"/>
      <c r="I140" s="25"/>
      <c r="J140" s="25"/>
      <c r="K140" s="25"/>
      <c r="L140" s="25"/>
      <c r="M140" s="25"/>
      <c r="N140" s="25" t="str">
        <f t="shared" si="2"/>
        <v/>
      </c>
      <c r="O140" s="25"/>
      <c r="P140" s="25"/>
      <c r="Q140" s="25"/>
      <c r="R140" s="25"/>
      <c r="S140" s="25"/>
      <c r="T140" s="25"/>
      <c r="U140" s="25"/>
      <c r="V140" s="25"/>
      <c r="W140" s="24"/>
      <c r="X140" s="24"/>
      <c r="Y140" s="25"/>
      <c r="Z140" s="25" t="str">
        <f>IF(B140="","",IFERROR(INDEX(الزبائن!$AZ$6:$AZ$505,MATCH(B140,الزبائن!$A$6:$A$505,0)),"source key not found"))</f>
        <v/>
      </c>
      <c r="AA140" s="25" t="str">
        <f>IF(B140="","",IFERROR(INDEX(الزبائن!$BA$6:$BA$505,MATCH(B140,الزبائن!$A$6:$A$505,0)),"source key not found"))</f>
        <v/>
      </c>
      <c r="AB140" s="25" t="str">
        <f>IF(AND(A140="",C140="",D140="",H140="",K140="",L140=""),"",IF(C140="skip","SKIP",IF(OR(A140="",C140="",D140="",H140="",K140="",L140="",S140="",COUNTIF($A$6:$A$505,A140)&gt;1,AND(B140&lt;&gt;"",COUNTIF(الزبائن!$A$6:$A$505,B140)=0),(COUNTIFS('أرقام التواصل'!$A$6:$A$505,"proposed_name",'أرقام التواصل'!$B$6:$B$505,A140,'أرقام التواصل'!$I$6:$I$505,"TRUE")+COUNTIFS('أرقام التواصل'!$A$6:$A$505,"proposed_name",'أرقام التواصل'!$B$6:$B$505,A140,'أرقام التواصل'!$C$6:$C$505,1))=0,AND(U140="TRUE",V140="")),"REVIEW","READY")))</f>
        <v/>
      </c>
      <c r="AC140" s="27" t="str">
        <f>IF(AB140="","",IF(AB140="READY","",IF(AB140="SKIP","Skipped by candidate_import_action",TRIM(IF(A140="","missing proposed_name_key; ","")&amp;IF(AND(A140&lt;&gt;"",COUNTIF($A$6:$A$505,A140)&gt;1),"duplicate proposed_name_key; ","")&amp;IF(C140="","missing candidate_import_action; ","")&amp;IF(D140="","missing move_reason; ","")&amp;IF(H140="","missing branch_id; ","")&amp;IF(K140="","missing first_name; ","")&amp;IF(L140="","missing last_name; ","")&amp;IF(S140="","missing status; ","")&amp;IF(AND(B140&lt;&gt;"",COUNTIF(الزبائن!$A$6:$A$505,B140)=0),"source key not found; ","")&amp;IF((COUNTIFS('أرقام التواصل'!$A$6:$A$505,"proposed_name",'أرقام التواصل'!$B$6:$B$505,A140,'أرقام التواصل'!$I$6:$I$505,"TRUE")+COUNTIFS('أرقام التواصل'!$A$6:$A$505,"proposed_name",'أرقام التواصل'!$B$6:$B$505,A140,'أرقام التواصل'!$C$6:$C$505,1))=0,"missing primary contact in أرقام التواصل; ","")&amp;IF(AND(U140="TRUE",V140=""),"duplicate_type required when duplicate_flag TRUE; ","")))))</f>
        <v/>
      </c>
    </row>
    <row r="141" spans="1:29">
      <c r="A141" s="36"/>
      <c r="B141" s="24"/>
      <c r="C141" s="25"/>
      <c r="D141" s="25"/>
      <c r="E141" s="25"/>
      <c r="F141" s="24"/>
      <c r="G141" s="25"/>
      <c r="H141" s="25"/>
      <c r="I141" s="25"/>
      <c r="J141" s="25"/>
      <c r="K141" s="25"/>
      <c r="L141" s="25"/>
      <c r="M141" s="25"/>
      <c r="N141" s="25" t="str">
        <f t="shared" si="2"/>
        <v/>
      </c>
      <c r="O141" s="25"/>
      <c r="P141" s="25"/>
      <c r="Q141" s="25"/>
      <c r="R141" s="25"/>
      <c r="S141" s="25"/>
      <c r="T141" s="25"/>
      <c r="U141" s="25"/>
      <c r="V141" s="25"/>
      <c r="W141" s="24"/>
      <c r="X141" s="24"/>
      <c r="Y141" s="25"/>
      <c r="Z141" s="25" t="str">
        <f>IF(B141="","",IFERROR(INDEX(الزبائن!$AZ$6:$AZ$505,MATCH(B141,الزبائن!$A$6:$A$505,0)),"source key not found"))</f>
        <v/>
      </c>
      <c r="AA141" s="25" t="str">
        <f>IF(B141="","",IFERROR(INDEX(الزبائن!$BA$6:$BA$505,MATCH(B141,الزبائن!$A$6:$A$505,0)),"source key not found"))</f>
        <v/>
      </c>
      <c r="AB141" s="25" t="str">
        <f>IF(AND(A141="",C141="",D141="",H141="",K141="",L141=""),"",IF(C141="skip","SKIP",IF(OR(A141="",C141="",D141="",H141="",K141="",L141="",S141="",COUNTIF($A$6:$A$505,A141)&gt;1,AND(B141&lt;&gt;"",COUNTIF(الزبائن!$A$6:$A$505,B141)=0),(COUNTIFS('أرقام التواصل'!$A$6:$A$505,"proposed_name",'أرقام التواصل'!$B$6:$B$505,A141,'أرقام التواصل'!$I$6:$I$505,"TRUE")+COUNTIFS('أرقام التواصل'!$A$6:$A$505,"proposed_name",'أرقام التواصل'!$B$6:$B$505,A141,'أرقام التواصل'!$C$6:$C$505,1))=0,AND(U141="TRUE",V141="")),"REVIEW","READY")))</f>
        <v/>
      </c>
      <c r="AC141" s="27" t="str">
        <f>IF(AB141="","",IF(AB141="READY","",IF(AB141="SKIP","Skipped by candidate_import_action",TRIM(IF(A141="","missing proposed_name_key; ","")&amp;IF(AND(A141&lt;&gt;"",COUNTIF($A$6:$A$505,A141)&gt;1),"duplicate proposed_name_key; ","")&amp;IF(C141="","missing candidate_import_action; ","")&amp;IF(D141="","missing move_reason; ","")&amp;IF(H141="","missing branch_id; ","")&amp;IF(K141="","missing first_name; ","")&amp;IF(L141="","missing last_name; ","")&amp;IF(S141="","missing status; ","")&amp;IF(AND(B141&lt;&gt;"",COUNTIF(الزبائن!$A$6:$A$505,B141)=0),"source key not found; ","")&amp;IF((COUNTIFS('أرقام التواصل'!$A$6:$A$505,"proposed_name",'أرقام التواصل'!$B$6:$B$505,A141,'أرقام التواصل'!$I$6:$I$505,"TRUE")+COUNTIFS('أرقام التواصل'!$A$6:$A$505,"proposed_name",'أرقام التواصل'!$B$6:$B$505,A141,'أرقام التواصل'!$C$6:$C$505,1))=0,"missing primary contact in أرقام التواصل; ","")&amp;IF(AND(U141="TRUE",V141=""),"duplicate_type required when duplicate_flag TRUE; ","")))))</f>
        <v/>
      </c>
    </row>
    <row r="142" spans="1:29">
      <c r="A142" s="36"/>
      <c r="B142" s="24"/>
      <c r="C142" s="25"/>
      <c r="D142" s="25"/>
      <c r="E142" s="25"/>
      <c r="F142" s="24"/>
      <c r="G142" s="25"/>
      <c r="H142" s="25"/>
      <c r="I142" s="25"/>
      <c r="J142" s="25"/>
      <c r="K142" s="25"/>
      <c r="L142" s="25"/>
      <c r="M142" s="25"/>
      <c r="N142" s="25" t="str">
        <f t="shared" si="2"/>
        <v/>
      </c>
      <c r="O142" s="25"/>
      <c r="P142" s="25"/>
      <c r="Q142" s="25"/>
      <c r="R142" s="25"/>
      <c r="S142" s="25"/>
      <c r="T142" s="25"/>
      <c r="U142" s="25"/>
      <c r="V142" s="25"/>
      <c r="W142" s="24"/>
      <c r="X142" s="24"/>
      <c r="Y142" s="25"/>
      <c r="Z142" s="25" t="str">
        <f>IF(B142="","",IFERROR(INDEX(الزبائن!$AZ$6:$AZ$505,MATCH(B142,الزبائن!$A$6:$A$505,0)),"source key not found"))</f>
        <v/>
      </c>
      <c r="AA142" s="25" t="str">
        <f>IF(B142="","",IFERROR(INDEX(الزبائن!$BA$6:$BA$505,MATCH(B142,الزبائن!$A$6:$A$505,0)),"source key not found"))</f>
        <v/>
      </c>
      <c r="AB142" s="25" t="str">
        <f>IF(AND(A142="",C142="",D142="",H142="",K142="",L142=""),"",IF(C142="skip","SKIP",IF(OR(A142="",C142="",D142="",H142="",K142="",L142="",S142="",COUNTIF($A$6:$A$505,A142)&gt;1,AND(B142&lt;&gt;"",COUNTIF(الزبائن!$A$6:$A$505,B142)=0),(COUNTIFS('أرقام التواصل'!$A$6:$A$505,"proposed_name",'أرقام التواصل'!$B$6:$B$505,A142,'أرقام التواصل'!$I$6:$I$505,"TRUE")+COUNTIFS('أرقام التواصل'!$A$6:$A$505,"proposed_name",'أرقام التواصل'!$B$6:$B$505,A142,'أرقام التواصل'!$C$6:$C$505,1))=0,AND(U142="TRUE",V142="")),"REVIEW","READY")))</f>
        <v/>
      </c>
      <c r="AC142" s="27" t="str">
        <f>IF(AB142="","",IF(AB142="READY","",IF(AB142="SKIP","Skipped by candidate_import_action",TRIM(IF(A142="","missing proposed_name_key; ","")&amp;IF(AND(A142&lt;&gt;"",COUNTIF($A$6:$A$505,A142)&gt;1),"duplicate proposed_name_key; ","")&amp;IF(C142="","missing candidate_import_action; ","")&amp;IF(D142="","missing move_reason; ","")&amp;IF(H142="","missing branch_id; ","")&amp;IF(K142="","missing first_name; ","")&amp;IF(L142="","missing last_name; ","")&amp;IF(S142="","missing status; ","")&amp;IF(AND(B142&lt;&gt;"",COUNTIF(الزبائن!$A$6:$A$505,B142)=0),"source key not found; ","")&amp;IF((COUNTIFS('أرقام التواصل'!$A$6:$A$505,"proposed_name",'أرقام التواصل'!$B$6:$B$505,A142,'أرقام التواصل'!$I$6:$I$505,"TRUE")+COUNTIFS('أرقام التواصل'!$A$6:$A$505,"proposed_name",'أرقام التواصل'!$B$6:$B$505,A142,'أرقام التواصل'!$C$6:$C$505,1))=0,"missing primary contact in أرقام التواصل; ","")&amp;IF(AND(U142="TRUE",V142=""),"duplicate_type required when duplicate_flag TRUE; ","")))))</f>
        <v/>
      </c>
    </row>
    <row r="143" spans="1:29">
      <c r="A143" s="36"/>
      <c r="B143" s="24"/>
      <c r="C143" s="25"/>
      <c r="D143" s="25"/>
      <c r="E143" s="25"/>
      <c r="F143" s="24"/>
      <c r="G143" s="25"/>
      <c r="H143" s="25"/>
      <c r="I143" s="25"/>
      <c r="J143" s="25"/>
      <c r="K143" s="25"/>
      <c r="L143" s="25"/>
      <c r="M143" s="25"/>
      <c r="N143" s="25" t="str">
        <f t="shared" si="2"/>
        <v/>
      </c>
      <c r="O143" s="25"/>
      <c r="P143" s="25"/>
      <c r="Q143" s="25"/>
      <c r="R143" s="25"/>
      <c r="S143" s="25"/>
      <c r="T143" s="25"/>
      <c r="U143" s="25"/>
      <c r="V143" s="25"/>
      <c r="W143" s="24"/>
      <c r="X143" s="24"/>
      <c r="Y143" s="25"/>
      <c r="Z143" s="25" t="str">
        <f>IF(B143="","",IFERROR(INDEX(الزبائن!$AZ$6:$AZ$505,MATCH(B143,الزبائن!$A$6:$A$505,0)),"source key not found"))</f>
        <v/>
      </c>
      <c r="AA143" s="25" t="str">
        <f>IF(B143="","",IFERROR(INDEX(الزبائن!$BA$6:$BA$505,MATCH(B143,الزبائن!$A$6:$A$505,0)),"source key not found"))</f>
        <v/>
      </c>
      <c r="AB143" s="25" t="str">
        <f>IF(AND(A143="",C143="",D143="",H143="",K143="",L143=""),"",IF(C143="skip","SKIP",IF(OR(A143="",C143="",D143="",H143="",K143="",L143="",S143="",COUNTIF($A$6:$A$505,A143)&gt;1,AND(B143&lt;&gt;"",COUNTIF(الزبائن!$A$6:$A$505,B143)=0),(COUNTIFS('أرقام التواصل'!$A$6:$A$505,"proposed_name",'أرقام التواصل'!$B$6:$B$505,A143,'أرقام التواصل'!$I$6:$I$505,"TRUE")+COUNTIFS('أرقام التواصل'!$A$6:$A$505,"proposed_name",'أرقام التواصل'!$B$6:$B$505,A143,'أرقام التواصل'!$C$6:$C$505,1))=0,AND(U143="TRUE",V143="")),"REVIEW","READY")))</f>
        <v/>
      </c>
      <c r="AC143" s="27" t="str">
        <f>IF(AB143="","",IF(AB143="READY","",IF(AB143="SKIP","Skipped by candidate_import_action",TRIM(IF(A143="","missing proposed_name_key; ","")&amp;IF(AND(A143&lt;&gt;"",COUNTIF($A$6:$A$505,A143)&gt;1),"duplicate proposed_name_key; ","")&amp;IF(C143="","missing candidate_import_action; ","")&amp;IF(D143="","missing move_reason; ","")&amp;IF(H143="","missing branch_id; ","")&amp;IF(K143="","missing first_name; ","")&amp;IF(L143="","missing last_name; ","")&amp;IF(S143="","missing status; ","")&amp;IF(AND(B143&lt;&gt;"",COUNTIF(الزبائن!$A$6:$A$505,B143)=0),"source key not found; ","")&amp;IF((COUNTIFS('أرقام التواصل'!$A$6:$A$505,"proposed_name",'أرقام التواصل'!$B$6:$B$505,A143,'أرقام التواصل'!$I$6:$I$505,"TRUE")+COUNTIFS('أرقام التواصل'!$A$6:$A$505,"proposed_name",'أرقام التواصل'!$B$6:$B$505,A143,'أرقام التواصل'!$C$6:$C$505,1))=0,"missing primary contact in أرقام التواصل; ","")&amp;IF(AND(U143="TRUE",V143=""),"duplicate_type required when duplicate_flag TRUE; ","")))))</f>
        <v/>
      </c>
    </row>
    <row r="144" spans="1:29">
      <c r="A144" s="36"/>
      <c r="B144" s="24"/>
      <c r="C144" s="25"/>
      <c r="D144" s="25"/>
      <c r="E144" s="25"/>
      <c r="F144" s="24"/>
      <c r="G144" s="25"/>
      <c r="H144" s="25"/>
      <c r="I144" s="25"/>
      <c r="J144" s="25"/>
      <c r="K144" s="25"/>
      <c r="L144" s="25"/>
      <c r="M144" s="25"/>
      <c r="N144" s="25" t="str">
        <f t="shared" si="2"/>
        <v/>
      </c>
      <c r="O144" s="25"/>
      <c r="P144" s="25"/>
      <c r="Q144" s="25"/>
      <c r="R144" s="25"/>
      <c r="S144" s="25"/>
      <c r="T144" s="25"/>
      <c r="U144" s="25"/>
      <c r="V144" s="25"/>
      <c r="W144" s="24"/>
      <c r="X144" s="24"/>
      <c r="Y144" s="25"/>
      <c r="Z144" s="25" t="str">
        <f>IF(B144="","",IFERROR(INDEX(الزبائن!$AZ$6:$AZ$505,MATCH(B144,الزبائن!$A$6:$A$505,0)),"source key not found"))</f>
        <v/>
      </c>
      <c r="AA144" s="25" t="str">
        <f>IF(B144="","",IFERROR(INDEX(الزبائن!$BA$6:$BA$505,MATCH(B144,الزبائن!$A$6:$A$505,0)),"source key not found"))</f>
        <v/>
      </c>
      <c r="AB144" s="25" t="str">
        <f>IF(AND(A144="",C144="",D144="",H144="",K144="",L144=""),"",IF(C144="skip","SKIP",IF(OR(A144="",C144="",D144="",H144="",K144="",L144="",S144="",COUNTIF($A$6:$A$505,A144)&gt;1,AND(B144&lt;&gt;"",COUNTIF(الزبائن!$A$6:$A$505,B144)=0),(COUNTIFS('أرقام التواصل'!$A$6:$A$505,"proposed_name",'أرقام التواصل'!$B$6:$B$505,A144,'أرقام التواصل'!$I$6:$I$505,"TRUE")+COUNTIFS('أرقام التواصل'!$A$6:$A$505,"proposed_name",'أرقام التواصل'!$B$6:$B$505,A144,'أرقام التواصل'!$C$6:$C$505,1))=0,AND(U144="TRUE",V144="")),"REVIEW","READY")))</f>
        <v/>
      </c>
      <c r="AC144" s="27" t="str">
        <f>IF(AB144="","",IF(AB144="READY","",IF(AB144="SKIP","Skipped by candidate_import_action",TRIM(IF(A144="","missing proposed_name_key; ","")&amp;IF(AND(A144&lt;&gt;"",COUNTIF($A$6:$A$505,A144)&gt;1),"duplicate proposed_name_key; ","")&amp;IF(C144="","missing candidate_import_action; ","")&amp;IF(D144="","missing move_reason; ","")&amp;IF(H144="","missing branch_id; ","")&amp;IF(K144="","missing first_name; ","")&amp;IF(L144="","missing last_name; ","")&amp;IF(S144="","missing status; ","")&amp;IF(AND(B144&lt;&gt;"",COUNTIF(الزبائن!$A$6:$A$505,B144)=0),"source key not found; ","")&amp;IF((COUNTIFS('أرقام التواصل'!$A$6:$A$505,"proposed_name",'أرقام التواصل'!$B$6:$B$505,A144,'أرقام التواصل'!$I$6:$I$505,"TRUE")+COUNTIFS('أرقام التواصل'!$A$6:$A$505,"proposed_name",'أرقام التواصل'!$B$6:$B$505,A144,'أرقام التواصل'!$C$6:$C$505,1))=0,"missing primary contact in أرقام التواصل; ","")&amp;IF(AND(U144="TRUE",V144=""),"duplicate_type required when duplicate_flag TRUE; ","")))))</f>
        <v/>
      </c>
    </row>
    <row r="145" spans="1:29">
      <c r="A145" s="36"/>
      <c r="B145" s="24"/>
      <c r="C145" s="25"/>
      <c r="D145" s="25"/>
      <c r="E145" s="25"/>
      <c r="F145" s="24"/>
      <c r="G145" s="25"/>
      <c r="H145" s="25"/>
      <c r="I145" s="25"/>
      <c r="J145" s="25"/>
      <c r="K145" s="25"/>
      <c r="L145" s="25"/>
      <c r="M145" s="25"/>
      <c r="N145" s="25" t="str">
        <f t="shared" si="2"/>
        <v/>
      </c>
      <c r="O145" s="25"/>
      <c r="P145" s="25"/>
      <c r="Q145" s="25"/>
      <c r="R145" s="25"/>
      <c r="S145" s="25"/>
      <c r="T145" s="25"/>
      <c r="U145" s="25"/>
      <c r="V145" s="25"/>
      <c r="W145" s="24"/>
      <c r="X145" s="24"/>
      <c r="Y145" s="25"/>
      <c r="Z145" s="25" t="str">
        <f>IF(B145="","",IFERROR(INDEX(الزبائن!$AZ$6:$AZ$505,MATCH(B145,الزبائن!$A$6:$A$505,0)),"source key not found"))</f>
        <v/>
      </c>
      <c r="AA145" s="25" t="str">
        <f>IF(B145="","",IFERROR(INDEX(الزبائن!$BA$6:$BA$505,MATCH(B145,الزبائن!$A$6:$A$505,0)),"source key not found"))</f>
        <v/>
      </c>
      <c r="AB145" s="25" t="str">
        <f>IF(AND(A145="",C145="",D145="",H145="",K145="",L145=""),"",IF(C145="skip","SKIP",IF(OR(A145="",C145="",D145="",H145="",K145="",L145="",S145="",COUNTIF($A$6:$A$505,A145)&gt;1,AND(B145&lt;&gt;"",COUNTIF(الزبائن!$A$6:$A$505,B145)=0),(COUNTIFS('أرقام التواصل'!$A$6:$A$505,"proposed_name",'أرقام التواصل'!$B$6:$B$505,A145,'أرقام التواصل'!$I$6:$I$505,"TRUE")+COUNTIFS('أرقام التواصل'!$A$6:$A$505,"proposed_name",'أرقام التواصل'!$B$6:$B$505,A145,'أرقام التواصل'!$C$6:$C$505,1))=0,AND(U145="TRUE",V145="")),"REVIEW","READY")))</f>
        <v/>
      </c>
      <c r="AC145" s="27" t="str">
        <f>IF(AB145="","",IF(AB145="READY","",IF(AB145="SKIP","Skipped by candidate_import_action",TRIM(IF(A145="","missing proposed_name_key; ","")&amp;IF(AND(A145&lt;&gt;"",COUNTIF($A$6:$A$505,A145)&gt;1),"duplicate proposed_name_key; ","")&amp;IF(C145="","missing candidate_import_action; ","")&amp;IF(D145="","missing move_reason; ","")&amp;IF(H145="","missing branch_id; ","")&amp;IF(K145="","missing first_name; ","")&amp;IF(L145="","missing last_name; ","")&amp;IF(S145="","missing status; ","")&amp;IF(AND(B145&lt;&gt;"",COUNTIF(الزبائن!$A$6:$A$505,B145)=0),"source key not found; ","")&amp;IF((COUNTIFS('أرقام التواصل'!$A$6:$A$505,"proposed_name",'أرقام التواصل'!$B$6:$B$505,A145,'أرقام التواصل'!$I$6:$I$505,"TRUE")+COUNTIFS('أرقام التواصل'!$A$6:$A$505,"proposed_name",'أرقام التواصل'!$B$6:$B$505,A145,'أرقام التواصل'!$C$6:$C$505,1))=0,"missing primary contact in أرقام التواصل; ","")&amp;IF(AND(U145="TRUE",V145=""),"duplicate_type required when duplicate_flag TRUE; ","")))))</f>
        <v/>
      </c>
    </row>
    <row r="146" spans="1:29">
      <c r="A146" s="36"/>
      <c r="B146" s="24"/>
      <c r="C146" s="25"/>
      <c r="D146" s="25"/>
      <c r="E146" s="25"/>
      <c r="F146" s="24"/>
      <c r="G146" s="25"/>
      <c r="H146" s="25"/>
      <c r="I146" s="25"/>
      <c r="J146" s="25"/>
      <c r="K146" s="25"/>
      <c r="L146" s="25"/>
      <c r="M146" s="25"/>
      <c r="N146" s="25" t="str">
        <f t="shared" si="2"/>
        <v/>
      </c>
      <c r="O146" s="25"/>
      <c r="P146" s="25"/>
      <c r="Q146" s="25"/>
      <c r="R146" s="25"/>
      <c r="S146" s="25"/>
      <c r="T146" s="25"/>
      <c r="U146" s="25"/>
      <c r="V146" s="25"/>
      <c r="W146" s="24"/>
      <c r="X146" s="24"/>
      <c r="Y146" s="25"/>
      <c r="Z146" s="25" t="str">
        <f>IF(B146="","",IFERROR(INDEX(الزبائن!$AZ$6:$AZ$505,MATCH(B146,الزبائن!$A$6:$A$505,0)),"source key not found"))</f>
        <v/>
      </c>
      <c r="AA146" s="25" t="str">
        <f>IF(B146="","",IFERROR(INDEX(الزبائن!$BA$6:$BA$505,MATCH(B146,الزبائن!$A$6:$A$505,0)),"source key not found"))</f>
        <v/>
      </c>
      <c r="AB146" s="25" t="str">
        <f>IF(AND(A146="",C146="",D146="",H146="",K146="",L146=""),"",IF(C146="skip","SKIP",IF(OR(A146="",C146="",D146="",H146="",K146="",L146="",S146="",COUNTIF($A$6:$A$505,A146)&gt;1,AND(B146&lt;&gt;"",COUNTIF(الزبائن!$A$6:$A$505,B146)=0),(COUNTIFS('أرقام التواصل'!$A$6:$A$505,"proposed_name",'أرقام التواصل'!$B$6:$B$505,A146,'أرقام التواصل'!$I$6:$I$505,"TRUE")+COUNTIFS('أرقام التواصل'!$A$6:$A$505,"proposed_name",'أرقام التواصل'!$B$6:$B$505,A146,'أرقام التواصل'!$C$6:$C$505,1))=0,AND(U146="TRUE",V146="")),"REVIEW","READY")))</f>
        <v/>
      </c>
      <c r="AC146" s="27" t="str">
        <f>IF(AB146="","",IF(AB146="READY","",IF(AB146="SKIP","Skipped by candidate_import_action",TRIM(IF(A146="","missing proposed_name_key; ","")&amp;IF(AND(A146&lt;&gt;"",COUNTIF($A$6:$A$505,A146)&gt;1),"duplicate proposed_name_key; ","")&amp;IF(C146="","missing candidate_import_action; ","")&amp;IF(D146="","missing move_reason; ","")&amp;IF(H146="","missing branch_id; ","")&amp;IF(K146="","missing first_name; ","")&amp;IF(L146="","missing last_name; ","")&amp;IF(S146="","missing status; ","")&amp;IF(AND(B146&lt;&gt;"",COUNTIF(الزبائن!$A$6:$A$505,B146)=0),"source key not found; ","")&amp;IF((COUNTIFS('أرقام التواصل'!$A$6:$A$505,"proposed_name",'أرقام التواصل'!$B$6:$B$505,A146,'أرقام التواصل'!$I$6:$I$505,"TRUE")+COUNTIFS('أرقام التواصل'!$A$6:$A$505,"proposed_name",'أرقام التواصل'!$B$6:$B$505,A146,'أرقام التواصل'!$C$6:$C$505,1))=0,"missing primary contact in أرقام التواصل; ","")&amp;IF(AND(U146="TRUE",V146=""),"duplicate_type required when duplicate_flag TRUE; ","")))))</f>
        <v/>
      </c>
    </row>
    <row r="147" spans="1:29">
      <c r="A147" s="36"/>
      <c r="B147" s="24"/>
      <c r="C147" s="25"/>
      <c r="D147" s="25"/>
      <c r="E147" s="25"/>
      <c r="F147" s="24"/>
      <c r="G147" s="25"/>
      <c r="H147" s="25"/>
      <c r="I147" s="25"/>
      <c r="J147" s="25"/>
      <c r="K147" s="25"/>
      <c r="L147" s="25"/>
      <c r="M147" s="25"/>
      <c r="N147" s="25" t="str">
        <f t="shared" si="2"/>
        <v/>
      </c>
      <c r="O147" s="25"/>
      <c r="P147" s="25"/>
      <c r="Q147" s="25"/>
      <c r="R147" s="25"/>
      <c r="S147" s="25"/>
      <c r="T147" s="25"/>
      <c r="U147" s="25"/>
      <c r="V147" s="25"/>
      <c r="W147" s="24"/>
      <c r="X147" s="24"/>
      <c r="Y147" s="25"/>
      <c r="Z147" s="25" t="str">
        <f>IF(B147="","",IFERROR(INDEX(الزبائن!$AZ$6:$AZ$505,MATCH(B147,الزبائن!$A$6:$A$505,0)),"source key not found"))</f>
        <v/>
      </c>
      <c r="AA147" s="25" t="str">
        <f>IF(B147="","",IFERROR(INDEX(الزبائن!$BA$6:$BA$505,MATCH(B147,الزبائن!$A$6:$A$505,0)),"source key not found"))</f>
        <v/>
      </c>
      <c r="AB147" s="25" t="str">
        <f>IF(AND(A147="",C147="",D147="",H147="",K147="",L147=""),"",IF(C147="skip","SKIP",IF(OR(A147="",C147="",D147="",H147="",K147="",L147="",S147="",COUNTIF($A$6:$A$505,A147)&gt;1,AND(B147&lt;&gt;"",COUNTIF(الزبائن!$A$6:$A$505,B147)=0),(COUNTIFS('أرقام التواصل'!$A$6:$A$505,"proposed_name",'أرقام التواصل'!$B$6:$B$505,A147,'أرقام التواصل'!$I$6:$I$505,"TRUE")+COUNTIFS('أرقام التواصل'!$A$6:$A$505,"proposed_name",'أرقام التواصل'!$B$6:$B$505,A147,'أرقام التواصل'!$C$6:$C$505,1))=0,AND(U147="TRUE",V147="")),"REVIEW","READY")))</f>
        <v/>
      </c>
      <c r="AC147" s="27" t="str">
        <f>IF(AB147="","",IF(AB147="READY","",IF(AB147="SKIP","Skipped by candidate_import_action",TRIM(IF(A147="","missing proposed_name_key; ","")&amp;IF(AND(A147&lt;&gt;"",COUNTIF($A$6:$A$505,A147)&gt;1),"duplicate proposed_name_key; ","")&amp;IF(C147="","missing candidate_import_action; ","")&amp;IF(D147="","missing move_reason; ","")&amp;IF(H147="","missing branch_id; ","")&amp;IF(K147="","missing first_name; ","")&amp;IF(L147="","missing last_name; ","")&amp;IF(S147="","missing status; ","")&amp;IF(AND(B147&lt;&gt;"",COUNTIF(الزبائن!$A$6:$A$505,B147)=0),"source key not found; ","")&amp;IF((COUNTIFS('أرقام التواصل'!$A$6:$A$505,"proposed_name",'أرقام التواصل'!$B$6:$B$505,A147,'أرقام التواصل'!$I$6:$I$505,"TRUE")+COUNTIFS('أرقام التواصل'!$A$6:$A$505,"proposed_name",'أرقام التواصل'!$B$6:$B$505,A147,'أرقام التواصل'!$C$6:$C$505,1))=0,"missing primary contact in أرقام التواصل; ","")&amp;IF(AND(U147="TRUE",V147=""),"duplicate_type required when duplicate_flag TRUE; ","")))))</f>
        <v/>
      </c>
    </row>
    <row r="148" spans="1:29">
      <c r="A148" s="36"/>
      <c r="B148" s="24"/>
      <c r="C148" s="25"/>
      <c r="D148" s="25"/>
      <c r="E148" s="25"/>
      <c r="F148" s="24"/>
      <c r="G148" s="25"/>
      <c r="H148" s="25"/>
      <c r="I148" s="25"/>
      <c r="J148" s="25"/>
      <c r="K148" s="25"/>
      <c r="L148" s="25"/>
      <c r="M148" s="25"/>
      <c r="N148" s="25" t="str">
        <f t="shared" si="2"/>
        <v/>
      </c>
      <c r="O148" s="25"/>
      <c r="P148" s="25"/>
      <c r="Q148" s="25"/>
      <c r="R148" s="25"/>
      <c r="S148" s="25"/>
      <c r="T148" s="25"/>
      <c r="U148" s="25"/>
      <c r="V148" s="25"/>
      <c r="W148" s="24"/>
      <c r="X148" s="24"/>
      <c r="Y148" s="25"/>
      <c r="Z148" s="25" t="str">
        <f>IF(B148="","",IFERROR(INDEX(الزبائن!$AZ$6:$AZ$505,MATCH(B148,الزبائن!$A$6:$A$505,0)),"source key not found"))</f>
        <v/>
      </c>
      <c r="AA148" s="25" t="str">
        <f>IF(B148="","",IFERROR(INDEX(الزبائن!$BA$6:$BA$505,MATCH(B148,الزبائن!$A$6:$A$505,0)),"source key not found"))</f>
        <v/>
      </c>
      <c r="AB148" s="25" t="str">
        <f>IF(AND(A148="",C148="",D148="",H148="",K148="",L148=""),"",IF(C148="skip","SKIP",IF(OR(A148="",C148="",D148="",H148="",K148="",L148="",S148="",COUNTIF($A$6:$A$505,A148)&gt;1,AND(B148&lt;&gt;"",COUNTIF(الزبائن!$A$6:$A$505,B148)=0),(COUNTIFS('أرقام التواصل'!$A$6:$A$505,"proposed_name",'أرقام التواصل'!$B$6:$B$505,A148,'أرقام التواصل'!$I$6:$I$505,"TRUE")+COUNTIFS('أرقام التواصل'!$A$6:$A$505,"proposed_name",'أرقام التواصل'!$B$6:$B$505,A148,'أرقام التواصل'!$C$6:$C$505,1))=0,AND(U148="TRUE",V148="")),"REVIEW","READY")))</f>
        <v/>
      </c>
      <c r="AC148" s="27" t="str">
        <f>IF(AB148="","",IF(AB148="READY","",IF(AB148="SKIP","Skipped by candidate_import_action",TRIM(IF(A148="","missing proposed_name_key; ","")&amp;IF(AND(A148&lt;&gt;"",COUNTIF($A$6:$A$505,A148)&gt;1),"duplicate proposed_name_key; ","")&amp;IF(C148="","missing candidate_import_action; ","")&amp;IF(D148="","missing move_reason; ","")&amp;IF(H148="","missing branch_id; ","")&amp;IF(K148="","missing first_name; ","")&amp;IF(L148="","missing last_name; ","")&amp;IF(S148="","missing status; ","")&amp;IF(AND(B148&lt;&gt;"",COUNTIF(الزبائن!$A$6:$A$505,B148)=0),"source key not found; ","")&amp;IF((COUNTIFS('أرقام التواصل'!$A$6:$A$505,"proposed_name",'أرقام التواصل'!$B$6:$B$505,A148,'أرقام التواصل'!$I$6:$I$505,"TRUE")+COUNTIFS('أرقام التواصل'!$A$6:$A$505,"proposed_name",'أرقام التواصل'!$B$6:$B$505,A148,'أرقام التواصل'!$C$6:$C$505,1))=0,"missing primary contact in أرقام التواصل; ","")&amp;IF(AND(U148="TRUE",V148=""),"duplicate_type required when duplicate_flag TRUE; ","")))))</f>
        <v/>
      </c>
    </row>
    <row r="149" spans="1:29">
      <c r="A149" s="36"/>
      <c r="B149" s="24"/>
      <c r="C149" s="25"/>
      <c r="D149" s="25"/>
      <c r="E149" s="25"/>
      <c r="F149" s="24"/>
      <c r="G149" s="25"/>
      <c r="H149" s="25"/>
      <c r="I149" s="25"/>
      <c r="J149" s="25"/>
      <c r="K149" s="25"/>
      <c r="L149" s="25"/>
      <c r="M149" s="25"/>
      <c r="N149" s="25" t="str">
        <f t="shared" si="2"/>
        <v/>
      </c>
      <c r="O149" s="25"/>
      <c r="P149" s="25"/>
      <c r="Q149" s="25"/>
      <c r="R149" s="25"/>
      <c r="S149" s="25"/>
      <c r="T149" s="25"/>
      <c r="U149" s="25"/>
      <c r="V149" s="25"/>
      <c r="W149" s="24"/>
      <c r="X149" s="24"/>
      <c r="Y149" s="25"/>
      <c r="Z149" s="25" t="str">
        <f>IF(B149="","",IFERROR(INDEX(الزبائن!$AZ$6:$AZ$505,MATCH(B149,الزبائن!$A$6:$A$505,0)),"source key not found"))</f>
        <v/>
      </c>
      <c r="AA149" s="25" t="str">
        <f>IF(B149="","",IFERROR(INDEX(الزبائن!$BA$6:$BA$505,MATCH(B149,الزبائن!$A$6:$A$505,0)),"source key not found"))</f>
        <v/>
      </c>
      <c r="AB149" s="25" t="str">
        <f>IF(AND(A149="",C149="",D149="",H149="",K149="",L149=""),"",IF(C149="skip","SKIP",IF(OR(A149="",C149="",D149="",H149="",K149="",L149="",S149="",COUNTIF($A$6:$A$505,A149)&gt;1,AND(B149&lt;&gt;"",COUNTIF(الزبائن!$A$6:$A$505,B149)=0),(COUNTIFS('أرقام التواصل'!$A$6:$A$505,"proposed_name",'أرقام التواصل'!$B$6:$B$505,A149,'أرقام التواصل'!$I$6:$I$505,"TRUE")+COUNTIFS('أرقام التواصل'!$A$6:$A$505,"proposed_name",'أرقام التواصل'!$B$6:$B$505,A149,'أرقام التواصل'!$C$6:$C$505,1))=0,AND(U149="TRUE",V149="")),"REVIEW","READY")))</f>
        <v/>
      </c>
      <c r="AC149" s="27" t="str">
        <f>IF(AB149="","",IF(AB149="READY","",IF(AB149="SKIP","Skipped by candidate_import_action",TRIM(IF(A149="","missing proposed_name_key; ","")&amp;IF(AND(A149&lt;&gt;"",COUNTIF($A$6:$A$505,A149)&gt;1),"duplicate proposed_name_key; ","")&amp;IF(C149="","missing candidate_import_action; ","")&amp;IF(D149="","missing move_reason; ","")&amp;IF(H149="","missing branch_id; ","")&amp;IF(K149="","missing first_name; ","")&amp;IF(L149="","missing last_name; ","")&amp;IF(S149="","missing status; ","")&amp;IF(AND(B149&lt;&gt;"",COUNTIF(الزبائن!$A$6:$A$505,B149)=0),"source key not found; ","")&amp;IF((COUNTIFS('أرقام التواصل'!$A$6:$A$505,"proposed_name",'أرقام التواصل'!$B$6:$B$505,A149,'أرقام التواصل'!$I$6:$I$505,"TRUE")+COUNTIFS('أرقام التواصل'!$A$6:$A$505,"proposed_name",'أرقام التواصل'!$B$6:$B$505,A149,'أرقام التواصل'!$C$6:$C$505,1))=0,"missing primary contact in أرقام التواصل; ","")&amp;IF(AND(U149="TRUE",V149=""),"duplicate_type required when duplicate_flag TRUE; ","")))))</f>
        <v/>
      </c>
    </row>
    <row r="150" spans="1:29">
      <c r="A150" s="36"/>
      <c r="B150" s="24"/>
      <c r="C150" s="25"/>
      <c r="D150" s="25"/>
      <c r="E150" s="25"/>
      <c r="F150" s="24"/>
      <c r="G150" s="25"/>
      <c r="H150" s="25"/>
      <c r="I150" s="25"/>
      <c r="J150" s="25"/>
      <c r="K150" s="25"/>
      <c r="L150" s="25"/>
      <c r="M150" s="25"/>
      <c r="N150" s="25" t="str">
        <f t="shared" si="2"/>
        <v/>
      </c>
      <c r="O150" s="25"/>
      <c r="P150" s="25"/>
      <c r="Q150" s="25"/>
      <c r="R150" s="25"/>
      <c r="S150" s="25"/>
      <c r="T150" s="25"/>
      <c r="U150" s="25"/>
      <c r="V150" s="25"/>
      <c r="W150" s="24"/>
      <c r="X150" s="24"/>
      <c r="Y150" s="25"/>
      <c r="Z150" s="25" t="str">
        <f>IF(B150="","",IFERROR(INDEX(الزبائن!$AZ$6:$AZ$505,MATCH(B150,الزبائن!$A$6:$A$505,0)),"source key not found"))</f>
        <v/>
      </c>
      <c r="AA150" s="25" t="str">
        <f>IF(B150="","",IFERROR(INDEX(الزبائن!$BA$6:$BA$505,MATCH(B150,الزبائن!$A$6:$A$505,0)),"source key not found"))</f>
        <v/>
      </c>
      <c r="AB150" s="25" t="str">
        <f>IF(AND(A150="",C150="",D150="",H150="",K150="",L150=""),"",IF(C150="skip","SKIP",IF(OR(A150="",C150="",D150="",H150="",K150="",L150="",S150="",COUNTIF($A$6:$A$505,A150)&gt;1,AND(B150&lt;&gt;"",COUNTIF(الزبائن!$A$6:$A$505,B150)=0),(COUNTIFS('أرقام التواصل'!$A$6:$A$505,"proposed_name",'أرقام التواصل'!$B$6:$B$505,A150,'أرقام التواصل'!$I$6:$I$505,"TRUE")+COUNTIFS('أرقام التواصل'!$A$6:$A$505,"proposed_name",'أرقام التواصل'!$B$6:$B$505,A150,'أرقام التواصل'!$C$6:$C$505,1))=0,AND(U150="TRUE",V150="")),"REVIEW","READY")))</f>
        <v/>
      </c>
      <c r="AC150" s="27" t="str">
        <f>IF(AB150="","",IF(AB150="READY","",IF(AB150="SKIP","Skipped by candidate_import_action",TRIM(IF(A150="","missing proposed_name_key; ","")&amp;IF(AND(A150&lt;&gt;"",COUNTIF($A$6:$A$505,A150)&gt;1),"duplicate proposed_name_key; ","")&amp;IF(C150="","missing candidate_import_action; ","")&amp;IF(D150="","missing move_reason; ","")&amp;IF(H150="","missing branch_id; ","")&amp;IF(K150="","missing first_name; ","")&amp;IF(L150="","missing last_name; ","")&amp;IF(S150="","missing status; ","")&amp;IF(AND(B150&lt;&gt;"",COUNTIF(الزبائن!$A$6:$A$505,B150)=0),"source key not found; ","")&amp;IF((COUNTIFS('أرقام التواصل'!$A$6:$A$505,"proposed_name",'أرقام التواصل'!$B$6:$B$505,A150,'أرقام التواصل'!$I$6:$I$505,"TRUE")+COUNTIFS('أرقام التواصل'!$A$6:$A$505,"proposed_name",'أرقام التواصل'!$B$6:$B$505,A150,'أرقام التواصل'!$C$6:$C$505,1))=0,"missing primary contact in أرقام التواصل; ","")&amp;IF(AND(U150="TRUE",V150=""),"duplicate_type required when duplicate_flag TRUE; ","")))))</f>
        <v/>
      </c>
    </row>
    <row r="151" spans="1:29">
      <c r="A151" s="36"/>
      <c r="B151" s="24"/>
      <c r="C151" s="25"/>
      <c r="D151" s="25"/>
      <c r="E151" s="25"/>
      <c r="F151" s="24"/>
      <c r="G151" s="25"/>
      <c r="H151" s="25"/>
      <c r="I151" s="25"/>
      <c r="J151" s="25"/>
      <c r="K151" s="25"/>
      <c r="L151" s="25"/>
      <c r="M151" s="25"/>
      <c r="N151" s="25" t="str">
        <f t="shared" si="2"/>
        <v/>
      </c>
      <c r="O151" s="25"/>
      <c r="P151" s="25"/>
      <c r="Q151" s="25"/>
      <c r="R151" s="25"/>
      <c r="S151" s="25"/>
      <c r="T151" s="25"/>
      <c r="U151" s="25"/>
      <c r="V151" s="25"/>
      <c r="W151" s="24"/>
      <c r="X151" s="24"/>
      <c r="Y151" s="25"/>
      <c r="Z151" s="25" t="str">
        <f>IF(B151="","",IFERROR(INDEX(الزبائن!$AZ$6:$AZ$505,MATCH(B151,الزبائن!$A$6:$A$505,0)),"source key not found"))</f>
        <v/>
      </c>
      <c r="AA151" s="25" t="str">
        <f>IF(B151="","",IFERROR(INDEX(الزبائن!$BA$6:$BA$505,MATCH(B151,الزبائن!$A$6:$A$505,0)),"source key not found"))</f>
        <v/>
      </c>
      <c r="AB151" s="25" t="str">
        <f>IF(AND(A151="",C151="",D151="",H151="",K151="",L151=""),"",IF(C151="skip","SKIP",IF(OR(A151="",C151="",D151="",H151="",K151="",L151="",S151="",COUNTIF($A$6:$A$505,A151)&gt;1,AND(B151&lt;&gt;"",COUNTIF(الزبائن!$A$6:$A$505,B151)=0),(COUNTIFS('أرقام التواصل'!$A$6:$A$505,"proposed_name",'أرقام التواصل'!$B$6:$B$505,A151,'أرقام التواصل'!$I$6:$I$505,"TRUE")+COUNTIFS('أرقام التواصل'!$A$6:$A$505,"proposed_name",'أرقام التواصل'!$B$6:$B$505,A151,'أرقام التواصل'!$C$6:$C$505,1))=0,AND(U151="TRUE",V151="")),"REVIEW","READY")))</f>
        <v/>
      </c>
      <c r="AC151" s="27" t="str">
        <f>IF(AB151="","",IF(AB151="READY","",IF(AB151="SKIP","Skipped by candidate_import_action",TRIM(IF(A151="","missing proposed_name_key; ","")&amp;IF(AND(A151&lt;&gt;"",COUNTIF($A$6:$A$505,A151)&gt;1),"duplicate proposed_name_key; ","")&amp;IF(C151="","missing candidate_import_action; ","")&amp;IF(D151="","missing move_reason; ","")&amp;IF(H151="","missing branch_id; ","")&amp;IF(K151="","missing first_name; ","")&amp;IF(L151="","missing last_name; ","")&amp;IF(S151="","missing status; ","")&amp;IF(AND(B151&lt;&gt;"",COUNTIF(الزبائن!$A$6:$A$505,B151)=0),"source key not found; ","")&amp;IF((COUNTIFS('أرقام التواصل'!$A$6:$A$505,"proposed_name",'أرقام التواصل'!$B$6:$B$505,A151,'أرقام التواصل'!$I$6:$I$505,"TRUE")+COUNTIFS('أرقام التواصل'!$A$6:$A$505,"proposed_name",'أرقام التواصل'!$B$6:$B$505,A151,'أرقام التواصل'!$C$6:$C$505,1))=0,"missing primary contact in أرقام التواصل; ","")&amp;IF(AND(U151="TRUE",V151=""),"duplicate_type required when duplicate_flag TRUE; ","")))))</f>
        <v/>
      </c>
    </row>
    <row r="152" spans="1:29">
      <c r="A152" s="36"/>
      <c r="B152" s="24"/>
      <c r="C152" s="25"/>
      <c r="D152" s="25"/>
      <c r="E152" s="25"/>
      <c r="F152" s="24"/>
      <c r="G152" s="25"/>
      <c r="H152" s="25"/>
      <c r="I152" s="25"/>
      <c r="J152" s="25"/>
      <c r="K152" s="25"/>
      <c r="L152" s="25"/>
      <c r="M152" s="25"/>
      <c r="N152" s="25" t="str">
        <f t="shared" si="2"/>
        <v/>
      </c>
      <c r="O152" s="25"/>
      <c r="P152" s="25"/>
      <c r="Q152" s="25"/>
      <c r="R152" s="25"/>
      <c r="S152" s="25"/>
      <c r="T152" s="25"/>
      <c r="U152" s="25"/>
      <c r="V152" s="25"/>
      <c r="W152" s="24"/>
      <c r="X152" s="24"/>
      <c r="Y152" s="25"/>
      <c r="Z152" s="25" t="str">
        <f>IF(B152="","",IFERROR(INDEX(الزبائن!$AZ$6:$AZ$505,MATCH(B152,الزبائن!$A$6:$A$505,0)),"source key not found"))</f>
        <v/>
      </c>
      <c r="AA152" s="25" t="str">
        <f>IF(B152="","",IFERROR(INDEX(الزبائن!$BA$6:$BA$505,MATCH(B152,الزبائن!$A$6:$A$505,0)),"source key not found"))</f>
        <v/>
      </c>
      <c r="AB152" s="25" t="str">
        <f>IF(AND(A152="",C152="",D152="",H152="",K152="",L152=""),"",IF(C152="skip","SKIP",IF(OR(A152="",C152="",D152="",H152="",K152="",L152="",S152="",COUNTIF($A$6:$A$505,A152)&gt;1,AND(B152&lt;&gt;"",COUNTIF(الزبائن!$A$6:$A$505,B152)=0),(COUNTIFS('أرقام التواصل'!$A$6:$A$505,"proposed_name",'أرقام التواصل'!$B$6:$B$505,A152,'أرقام التواصل'!$I$6:$I$505,"TRUE")+COUNTIFS('أرقام التواصل'!$A$6:$A$505,"proposed_name",'أرقام التواصل'!$B$6:$B$505,A152,'أرقام التواصل'!$C$6:$C$505,1))=0,AND(U152="TRUE",V152="")),"REVIEW","READY")))</f>
        <v/>
      </c>
      <c r="AC152" s="27" t="str">
        <f>IF(AB152="","",IF(AB152="READY","",IF(AB152="SKIP","Skipped by candidate_import_action",TRIM(IF(A152="","missing proposed_name_key; ","")&amp;IF(AND(A152&lt;&gt;"",COUNTIF($A$6:$A$505,A152)&gt;1),"duplicate proposed_name_key; ","")&amp;IF(C152="","missing candidate_import_action; ","")&amp;IF(D152="","missing move_reason; ","")&amp;IF(H152="","missing branch_id; ","")&amp;IF(K152="","missing first_name; ","")&amp;IF(L152="","missing last_name; ","")&amp;IF(S152="","missing status; ","")&amp;IF(AND(B152&lt;&gt;"",COUNTIF(الزبائن!$A$6:$A$505,B152)=0),"source key not found; ","")&amp;IF((COUNTIFS('أرقام التواصل'!$A$6:$A$505,"proposed_name",'أرقام التواصل'!$B$6:$B$505,A152,'أرقام التواصل'!$I$6:$I$505,"TRUE")+COUNTIFS('أرقام التواصل'!$A$6:$A$505,"proposed_name",'أرقام التواصل'!$B$6:$B$505,A152,'أرقام التواصل'!$C$6:$C$505,1))=0,"missing primary contact in أرقام التواصل; ","")&amp;IF(AND(U152="TRUE",V152=""),"duplicate_type required when duplicate_flag TRUE; ","")))))</f>
        <v/>
      </c>
    </row>
    <row r="153" spans="1:29">
      <c r="A153" s="36"/>
      <c r="B153" s="24"/>
      <c r="C153" s="25"/>
      <c r="D153" s="25"/>
      <c r="E153" s="25"/>
      <c r="F153" s="24"/>
      <c r="G153" s="25"/>
      <c r="H153" s="25"/>
      <c r="I153" s="25"/>
      <c r="J153" s="25"/>
      <c r="K153" s="25"/>
      <c r="L153" s="25"/>
      <c r="M153" s="25"/>
      <c r="N153" s="25" t="str">
        <f t="shared" si="2"/>
        <v/>
      </c>
      <c r="O153" s="25"/>
      <c r="P153" s="25"/>
      <c r="Q153" s="25"/>
      <c r="R153" s="25"/>
      <c r="S153" s="25"/>
      <c r="T153" s="25"/>
      <c r="U153" s="25"/>
      <c r="V153" s="25"/>
      <c r="W153" s="24"/>
      <c r="X153" s="24"/>
      <c r="Y153" s="25"/>
      <c r="Z153" s="25" t="str">
        <f>IF(B153="","",IFERROR(INDEX(الزبائن!$AZ$6:$AZ$505,MATCH(B153,الزبائن!$A$6:$A$505,0)),"source key not found"))</f>
        <v/>
      </c>
      <c r="AA153" s="25" t="str">
        <f>IF(B153="","",IFERROR(INDEX(الزبائن!$BA$6:$BA$505,MATCH(B153,الزبائن!$A$6:$A$505,0)),"source key not found"))</f>
        <v/>
      </c>
      <c r="AB153" s="25" t="str">
        <f>IF(AND(A153="",C153="",D153="",H153="",K153="",L153=""),"",IF(C153="skip","SKIP",IF(OR(A153="",C153="",D153="",H153="",K153="",L153="",S153="",COUNTIF($A$6:$A$505,A153)&gt;1,AND(B153&lt;&gt;"",COUNTIF(الزبائن!$A$6:$A$505,B153)=0),(COUNTIFS('أرقام التواصل'!$A$6:$A$505,"proposed_name",'أرقام التواصل'!$B$6:$B$505,A153,'أرقام التواصل'!$I$6:$I$505,"TRUE")+COUNTIFS('أرقام التواصل'!$A$6:$A$505,"proposed_name",'أرقام التواصل'!$B$6:$B$505,A153,'أرقام التواصل'!$C$6:$C$505,1))=0,AND(U153="TRUE",V153="")),"REVIEW","READY")))</f>
        <v/>
      </c>
      <c r="AC153" s="27" t="str">
        <f>IF(AB153="","",IF(AB153="READY","",IF(AB153="SKIP","Skipped by candidate_import_action",TRIM(IF(A153="","missing proposed_name_key; ","")&amp;IF(AND(A153&lt;&gt;"",COUNTIF($A$6:$A$505,A153)&gt;1),"duplicate proposed_name_key; ","")&amp;IF(C153="","missing candidate_import_action; ","")&amp;IF(D153="","missing move_reason; ","")&amp;IF(H153="","missing branch_id; ","")&amp;IF(K153="","missing first_name; ","")&amp;IF(L153="","missing last_name; ","")&amp;IF(S153="","missing status; ","")&amp;IF(AND(B153&lt;&gt;"",COUNTIF(الزبائن!$A$6:$A$505,B153)=0),"source key not found; ","")&amp;IF((COUNTIFS('أرقام التواصل'!$A$6:$A$505,"proposed_name",'أرقام التواصل'!$B$6:$B$505,A153,'أرقام التواصل'!$I$6:$I$505,"TRUE")+COUNTIFS('أرقام التواصل'!$A$6:$A$505,"proposed_name",'أرقام التواصل'!$B$6:$B$505,A153,'أرقام التواصل'!$C$6:$C$505,1))=0,"missing primary contact in أرقام التواصل; ","")&amp;IF(AND(U153="TRUE",V153=""),"duplicate_type required when duplicate_flag TRUE; ","")))))</f>
        <v/>
      </c>
    </row>
    <row r="154" spans="1:29">
      <c r="A154" s="36"/>
      <c r="B154" s="24"/>
      <c r="C154" s="25"/>
      <c r="D154" s="25"/>
      <c r="E154" s="25"/>
      <c r="F154" s="24"/>
      <c r="G154" s="25"/>
      <c r="H154" s="25"/>
      <c r="I154" s="25"/>
      <c r="J154" s="25"/>
      <c r="K154" s="25"/>
      <c r="L154" s="25"/>
      <c r="M154" s="25"/>
      <c r="N154" s="25" t="str">
        <f t="shared" si="2"/>
        <v/>
      </c>
      <c r="O154" s="25"/>
      <c r="P154" s="25"/>
      <c r="Q154" s="25"/>
      <c r="R154" s="25"/>
      <c r="S154" s="25"/>
      <c r="T154" s="25"/>
      <c r="U154" s="25"/>
      <c r="V154" s="25"/>
      <c r="W154" s="24"/>
      <c r="X154" s="24"/>
      <c r="Y154" s="25"/>
      <c r="Z154" s="25" t="str">
        <f>IF(B154="","",IFERROR(INDEX(الزبائن!$AZ$6:$AZ$505,MATCH(B154,الزبائن!$A$6:$A$505,0)),"source key not found"))</f>
        <v/>
      </c>
      <c r="AA154" s="25" t="str">
        <f>IF(B154="","",IFERROR(INDEX(الزبائن!$BA$6:$BA$505,MATCH(B154,الزبائن!$A$6:$A$505,0)),"source key not found"))</f>
        <v/>
      </c>
      <c r="AB154" s="25" t="str">
        <f>IF(AND(A154="",C154="",D154="",H154="",K154="",L154=""),"",IF(C154="skip","SKIP",IF(OR(A154="",C154="",D154="",H154="",K154="",L154="",S154="",COUNTIF($A$6:$A$505,A154)&gt;1,AND(B154&lt;&gt;"",COUNTIF(الزبائن!$A$6:$A$505,B154)=0),(COUNTIFS('أرقام التواصل'!$A$6:$A$505,"proposed_name",'أرقام التواصل'!$B$6:$B$505,A154,'أرقام التواصل'!$I$6:$I$505,"TRUE")+COUNTIFS('أرقام التواصل'!$A$6:$A$505,"proposed_name",'أرقام التواصل'!$B$6:$B$505,A154,'أرقام التواصل'!$C$6:$C$505,1))=0,AND(U154="TRUE",V154="")),"REVIEW","READY")))</f>
        <v/>
      </c>
      <c r="AC154" s="27" t="str">
        <f>IF(AB154="","",IF(AB154="READY","",IF(AB154="SKIP","Skipped by candidate_import_action",TRIM(IF(A154="","missing proposed_name_key; ","")&amp;IF(AND(A154&lt;&gt;"",COUNTIF($A$6:$A$505,A154)&gt;1),"duplicate proposed_name_key; ","")&amp;IF(C154="","missing candidate_import_action; ","")&amp;IF(D154="","missing move_reason; ","")&amp;IF(H154="","missing branch_id; ","")&amp;IF(K154="","missing first_name; ","")&amp;IF(L154="","missing last_name; ","")&amp;IF(S154="","missing status; ","")&amp;IF(AND(B154&lt;&gt;"",COUNTIF(الزبائن!$A$6:$A$505,B154)=0),"source key not found; ","")&amp;IF((COUNTIFS('أرقام التواصل'!$A$6:$A$505,"proposed_name",'أرقام التواصل'!$B$6:$B$505,A154,'أرقام التواصل'!$I$6:$I$505,"TRUE")+COUNTIFS('أرقام التواصل'!$A$6:$A$505,"proposed_name",'أرقام التواصل'!$B$6:$B$505,A154,'أرقام التواصل'!$C$6:$C$505,1))=0,"missing primary contact in أرقام التواصل; ","")&amp;IF(AND(U154="TRUE",V154=""),"duplicate_type required when duplicate_flag TRUE; ","")))))</f>
        <v/>
      </c>
    </row>
    <row r="155" spans="1:29">
      <c r="A155" s="36"/>
      <c r="B155" s="24"/>
      <c r="C155" s="25"/>
      <c r="D155" s="25"/>
      <c r="E155" s="25"/>
      <c r="F155" s="24"/>
      <c r="G155" s="25"/>
      <c r="H155" s="25"/>
      <c r="I155" s="25"/>
      <c r="J155" s="25"/>
      <c r="K155" s="25"/>
      <c r="L155" s="25"/>
      <c r="M155" s="25"/>
      <c r="N155" s="25" t="str">
        <f t="shared" si="2"/>
        <v/>
      </c>
      <c r="O155" s="25"/>
      <c r="P155" s="25"/>
      <c r="Q155" s="25"/>
      <c r="R155" s="25"/>
      <c r="S155" s="25"/>
      <c r="T155" s="25"/>
      <c r="U155" s="25"/>
      <c r="V155" s="25"/>
      <c r="W155" s="24"/>
      <c r="X155" s="24"/>
      <c r="Y155" s="25"/>
      <c r="Z155" s="25" t="str">
        <f>IF(B155="","",IFERROR(INDEX(الزبائن!$AZ$6:$AZ$505,MATCH(B155,الزبائن!$A$6:$A$505,0)),"source key not found"))</f>
        <v/>
      </c>
      <c r="AA155" s="25" t="str">
        <f>IF(B155="","",IFERROR(INDEX(الزبائن!$BA$6:$BA$505,MATCH(B155,الزبائن!$A$6:$A$505,0)),"source key not found"))</f>
        <v/>
      </c>
      <c r="AB155" s="25" t="str">
        <f>IF(AND(A155="",C155="",D155="",H155="",K155="",L155=""),"",IF(C155="skip","SKIP",IF(OR(A155="",C155="",D155="",H155="",K155="",L155="",S155="",COUNTIF($A$6:$A$505,A155)&gt;1,AND(B155&lt;&gt;"",COUNTIF(الزبائن!$A$6:$A$505,B155)=0),(COUNTIFS('أرقام التواصل'!$A$6:$A$505,"proposed_name",'أرقام التواصل'!$B$6:$B$505,A155,'أرقام التواصل'!$I$6:$I$505,"TRUE")+COUNTIFS('أرقام التواصل'!$A$6:$A$505,"proposed_name",'أرقام التواصل'!$B$6:$B$505,A155,'أرقام التواصل'!$C$6:$C$505,1))=0,AND(U155="TRUE",V155="")),"REVIEW","READY")))</f>
        <v/>
      </c>
      <c r="AC155" s="27" t="str">
        <f>IF(AB155="","",IF(AB155="READY","",IF(AB155="SKIP","Skipped by candidate_import_action",TRIM(IF(A155="","missing proposed_name_key; ","")&amp;IF(AND(A155&lt;&gt;"",COUNTIF($A$6:$A$505,A155)&gt;1),"duplicate proposed_name_key; ","")&amp;IF(C155="","missing candidate_import_action; ","")&amp;IF(D155="","missing move_reason; ","")&amp;IF(H155="","missing branch_id; ","")&amp;IF(K155="","missing first_name; ","")&amp;IF(L155="","missing last_name; ","")&amp;IF(S155="","missing status; ","")&amp;IF(AND(B155&lt;&gt;"",COUNTIF(الزبائن!$A$6:$A$505,B155)=0),"source key not found; ","")&amp;IF((COUNTIFS('أرقام التواصل'!$A$6:$A$505,"proposed_name",'أرقام التواصل'!$B$6:$B$505,A155,'أرقام التواصل'!$I$6:$I$505,"TRUE")+COUNTIFS('أرقام التواصل'!$A$6:$A$505,"proposed_name",'أرقام التواصل'!$B$6:$B$505,A155,'أرقام التواصل'!$C$6:$C$505,1))=0,"missing primary contact in أرقام التواصل; ","")&amp;IF(AND(U155="TRUE",V155=""),"duplicate_type required when duplicate_flag TRUE; ","")))))</f>
        <v/>
      </c>
    </row>
    <row r="156" spans="1:29">
      <c r="A156" s="36"/>
      <c r="B156" s="24"/>
      <c r="C156" s="25"/>
      <c r="D156" s="25"/>
      <c r="E156" s="25"/>
      <c r="F156" s="24"/>
      <c r="G156" s="25"/>
      <c r="H156" s="25"/>
      <c r="I156" s="25"/>
      <c r="J156" s="25"/>
      <c r="K156" s="25"/>
      <c r="L156" s="25"/>
      <c r="M156" s="25"/>
      <c r="N156" s="25" t="str">
        <f t="shared" si="2"/>
        <v/>
      </c>
      <c r="O156" s="25"/>
      <c r="P156" s="25"/>
      <c r="Q156" s="25"/>
      <c r="R156" s="25"/>
      <c r="S156" s="25"/>
      <c r="T156" s="25"/>
      <c r="U156" s="25"/>
      <c r="V156" s="25"/>
      <c r="W156" s="24"/>
      <c r="X156" s="24"/>
      <c r="Y156" s="25"/>
      <c r="Z156" s="25" t="str">
        <f>IF(B156="","",IFERROR(INDEX(الزبائن!$AZ$6:$AZ$505,MATCH(B156,الزبائن!$A$6:$A$505,0)),"source key not found"))</f>
        <v/>
      </c>
      <c r="AA156" s="25" t="str">
        <f>IF(B156="","",IFERROR(INDEX(الزبائن!$BA$6:$BA$505,MATCH(B156,الزبائن!$A$6:$A$505,0)),"source key not found"))</f>
        <v/>
      </c>
      <c r="AB156" s="25" t="str">
        <f>IF(AND(A156="",C156="",D156="",H156="",K156="",L156=""),"",IF(C156="skip","SKIP",IF(OR(A156="",C156="",D156="",H156="",K156="",L156="",S156="",COUNTIF($A$6:$A$505,A156)&gt;1,AND(B156&lt;&gt;"",COUNTIF(الزبائن!$A$6:$A$505,B156)=0),(COUNTIFS('أرقام التواصل'!$A$6:$A$505,"proposed_name",'أرقام التواصل'!$B$6:$B$505,A156,'أرقام التواصل'!$I$6:$I$505,"TRUE")+COUNTIFS('أرقام التواصل'!$A$6:$A$505,"proposed_name",'أرقام التواصل'!$B$6:$B$505,A156,'أرقام التواصل'!$C$6:$C$505,1))=0,AND(U156="TRUE",V156="")),"REVIEW","READY")))</f>
        <v/>
      </c>
      <c r="AC156" s="27" t="str">
        <f>IF(AB156="","",IF(AB156="READY","",IF(AB156="SKIP","Skipped by candidate_import_action",TRIM(IF(A156="","missing proposed_name_key; ","")&amp;IF(AND(A156&lt;&gt;"",COUNTIF($A$6:$A$505,A156)&gt;1),"duplicate proposed_name_key; ","")&amp;IF(C156="","missing candidate_import_action; ","")&amp;IF(D156="","missing move_reason; ","")&amp;IF(H156="","missing branch_id; ","")&amp;IF(K156="","missing first_name; ","")&amp;IF(L156="","missing last_name; ","")&amp;IF(S156="","missing status; ","")&amp;IF(AND(B156&lt;&gt;"",COUNTIF(الزبائن!$A$6:$A$505,B156)=0),"source key not found; ","")&amp;IF((COUNTIFS('أرقام التواصل'!$A$6:$A$505,"proposed_name",'أرقام التواصل'!$B$6:$B$505,A156,'أرقام التواصل'!$I$6:$I$505,"TRUE")+COUNTIFS('أرقام التواصل'!$A$6:$A$505,"proposed_name",'أرقام التواصل'!$B$6:$B$505,A156,'أرقام التواصل'!$C$6:$C$505,1))=0,"missing primary contact in أرقام التواصل; ","")&amp;IF(AND(U156="TRUE",V156=""),"duplicate_type required when duplicate_flag TRUE; ","")))))</f>
        <v/>
      </c>
    </row>
    <row r="157" spans="1:29">
      <c r="A157" s="36"/>
      <c r="B157" s="24"/>
      <c r="C157" s="25"/>
      <c r="D157" s="25"/>
      <c r="E157" s="25"/>
      <c r="F157" s="24"/>
      <c r="G157" s="25"/>
      <c r="H157" s="25"/>
      <c r="I157" s="25"/>
      <c r="J157" s="25"/>
      <c r="K157" s="25"/>
      <c r="L157" s="25"/>
      <c r="M157" s="25"/>
      <c r="N157" s="25" t="str">
        <f t="shared" si="2"/>
        <v/>
      </c>
      <c r="O157" s="25"/>
      <c r="P157" s="25"/>
      <c r="Q157" s="25"/>
      <c r="R157" s="25"/>
      <c r="S157" s="25"/>
      <c r="T157" s="25"/>
      <c r="U157" s="25"/>
      <c r="V157" s="25"/>
      <c r="W157" s="24"/>
      <c r="X157" s="24"/>
      <c r="Y157" s="25"/>
      <c r="Z157" s="25" t="str">
        <f>IF(B157="","",IFERROR(INDEX(الزبائن!$AZ$6:$AZ$505,MATCH(B157,الزبائن!$A$6:$A$505,0)),"source key not found"))</f>
        <v/>
      </c>
      <c r="AA157" s="25" t="str">
        <f>IF(B157="","",IFERROR(INDEX(الزبائن!$BA$6:$BA$505,MATCH(B157,الزبائن!$A$6:$A$505,0)),"source key not found"))</f>
        <v/>
      </c>
      <c r="AB157" s="25" t="str">
        <f>IF(AND(A157="",C157="",D157="",H157="",K157="",L157=""),"",IF(C157="skip","SKIP",IF(OR(A157="",C157="",D157="",H157="",K157="",L157="",S157="",COUNTIF($A$6:$A$505,A157)&gt;1,AND(B157&lt;&gt;"",COUNTIF(الزبائن!$A$6:$A$505,B157)=0),(COUNTIFS('أرقام التواصل'!$A$6:$A$505,"proposed_name",'أرقام التواصل'!$B$6:$B$505,A157,'أرقام التواصل'!$I$6:$I$505,"TRUE")+COUNTIFS('أرقام التواصل'!$A$6:$A$505,"proposed_name",'أرقام التواصل'!$B$6:$B$505,A157,'أرقام التواصل'!$C$6:$C$505,1))=0,AND(U157="TRUE",V157="")),"REVIEW","READY")))</f>
        <v/>
      </c>
      <c r="AC157" s="27" t="str">
        <f>IF(AB157="","",IF(AB157="READY","",IF(AB157="SKIP","Skipped by candidate_import_action",TRIM(IF(A157="","missing proposed_name_key; ","")&amp;IF(AND(A157&lt;&gt;"",COUNTIF($A$6:$A$505,A157)&gt;1),"duplicate proposed_name_key; ","")&amp;IF(C157="","missing candidate_import_action; ","")&amp;IF(D157="","missing move_reason; ","")&amp;IF(H157="","missing branch_id; ","")&amp;IF(K157="","missing first_name; ","")&amp;IF(L157="","missing last_name; ","")&amp;IF(S157="","missing status; ","")&amp;IF(AND(B157&lt;&gt;"",COUNTIF(الزبائن!$A$6:$A$505,B157)=0),"source key not found; ","")&amp;IF((COUNTIFS('أرقام التواصل'!$A$6:$A$505,"proposed_name",'أرقام التواصل'!$B$6:$B$505,A157,'أرقام التواصل'!$I$6:$I$505,"TRUE")+COUNTIFS('أرقام التواصل'!$A$6:$A$505,"proposed_name",'أرقام التواصل'!$B$6:$B$505,A157,'أرقام التواصل'!$C$6:$C$505,1))=0,"missing primary contact in أرقام التواصل; ","")&amp;IF(AND(U157="TRUE",V157=""),"duplicate_type required when duplicate_flag TRUE; ","")))))</f>
        <v/>
      </c>
    </row>
    <row r="158" spans="1:29">
      <c r="A158" s="36"/>
      <c r="B158" s="24"/>
      <c r="C158" s="25"/>
      <c r="D158" s="25"/>
      <c r="E158" s="25"/>
      <c r="F158" s="24"/>
      <c r="G158" s="25"/>
      <c r="H158" s="25"/>
      <c r="I158" s="25"/>
      <c r="J158" s="25"/>
      <c r="K158" s="25"/>
      <c r="L158" s="25"/>
      <c r="M158" s="25"/>
      <c r="N158" s="25" t="str">
        <f t="shared" si="2"/>
        <v/>
      </c>
      <c r="O158" s="25"/>
      <c r="P158" s="25"/>
      <c r="Q158" s="25"/>
      <c r="R158" s="25"/>
      <c r="S158" s="25"/>
      <c r="T158" s="25"/>
      <c r="U158" s="25"/>
      <c r="V158" s="25"/>
      <c r="W158" s="24"/>
      <c r="X158" s="24"/>
      <c r="Y158" s="25"/>
      <c r="Z158" s="25" t="str">
        <f>IF(B158="","",IFERROR(INDEX(الزبائن!$AZ$6:$AZ$505,MATCH(B158,الزبائن!$A$6:$A$505,0)),"source key not found"))</f>
        <v/>
      </c>
      <c r="AA158" s="25" t="str">
        <f>IF(B158="","",IFERROR(INDEX(الزبائن!$BA$6:$BA$505,MATCH(B158,الزبائن!$A$6:$A$505,0)),"source key not found"))</f>
        <v/>
      </c>
      <c r="AB158" s="25" t="str">
        <f>IF(AND(A158="",C158="",D158="",H158="",K158="",L158=""),"",IF(C158="skip","SKIP",IF(OR(A158="",C158="",D158="",H158="",K158="",L158="",S158="",COUNTIF($A$6:$A$505,A158)&gt;1,AND(B158&lt;&gt;"",COUNTIF(الزبائن!$A$6:$A$505,B158)=0),(COUNTIFS('أرقام التواصل'!$A$6:$A$505,"proposed_name",'أرقام التواصل'!$B$6:$B$505,A158,'أرقام التواصل'!$I$6:$I$505,"TRUE")+COUNTIFS('أرقام التواصل'!$A$6:$A$505,"proposed_name",'أرقام التواصل'!$B$6:$B$505,A158,'أرقام التواصل'!$C$6:$C$505,1))=0,AND(U158="TRUE",V158="")),"REVIEW","READY")))</f>
        <v/>
      </c>
      <c r="AC158" s="27" t="str">
        <f>IF(AB158="","",IF(AB158="READY","",IF(AB158="SKIP","Skipped by candidate_import_action",TRIM(IF(A158="","missing proposed_name_key; ","")&amp;IF(AND(A158&lt;&gt;"",COUNTIF($A$6:$A$505,A158)&gt;1),"duplicate proposed_name_key; ","")&amp;IF(C158="","missing candidate_import_action; ","")&amp;IF(D158="","missing move_reason; ","")&amp;IF(H158="","missing branch_id; ","")&amp;IF(K158="","missing first_name; ","")&amp;IF(L158="","missing last_name; ","")&amp;IF(S158="","missing status; ","")&amp;IF(AND(B158&lt;&gt;"",COUNTIF(الزبائن!$A$6:$A$505,B158)=0),"source key not found; ","")&amp;IF((COUNTIFS('أرقام التواصل'!$A$6:$A$505,"proposed_name",'أرقام التواصل'!$B$6:$B$505,A158,'أرقام التواصل'!$I$6:$I$505,"TRUE")+COUNTIFS('أرقام التواصل'!$A$6:$A$505,"proposed_name",'أرقام التواصل'!$B$6:$B$505,A158,'أرقام التواصل'!$C$6:$C$505,1))=0,"missing primary contact in أرقام التواصل; ","")&amp;IF(AND(U158="TRUE",V158=""),"duplicate_type required when duplicate_flag TRUE; ","")))))</f>
        <v/>
      </c>
    </row>
    <row r="159" spans="1:29">
      <c r="A159" s="36"/>
      <c r="B159" s="24"/>
      <c r="C159" s="25"/>
      <c r="D159" s="25"/>
      <c r="E159" s="25"/>
      <c r="F159" s="24"/>
      <c r="G159" s="25"/>
      <c r="H159" s="25"/>
      <c r="I159" s="25"/>
      <c r="J159" s="25"/>
      <c r="K159" s="25"/>
      <c r="L159" s="25"/>
      <c r="M159" s="25"/>
      <c r="N159" s="25" t="str">
        <f t="shared" si="2"/>
        <v/>
      </c>
      <c r="O159" s="25"/>
      <c r="P159" s="25"/>
      <c r="Q159" s="25"/>
      <c r="R159" s="25"/>
      <c r="S159" s="25"/>
      <c r="T159" s="25"/>
      <c r="U159" s="25"/>
      <c r="V159" s="25"/>
      <c r="W159" s="24"/>
      <c r="X159" s="24"/>
      <c r="Y159" s="25"/>
      <c r="Z159" s="25" t="str">
        <f>IF(B159="","",IFERROR(INDEX(الزبائن!$AZ$6:$AZ$505,MATCH(B159,الزبائن!$A$6:$A$505,0)),"source key not found"))</f>
        <v/>
      </c>
      <c r="AA159" s="25" t="str">
        <f>IF(B159="","",IFERROR(INDEX(الزبائن!$BA$6:$BA$505,MATCH(B159,الزبائن!$A$6:$A$505,0)),"source key not found"))</f>
        <v/>
      </c>
      <c r="AB159" s="25" t="str">
        <f>IF(AND(A159="",C159="",D159="",H159="",K159="",L159=""),"",IF(C159="skip","SKIP",IF(OR(A159="",C159="",D159="",H159="",K159="",L159="",S159="",COUNTIF($A$6:$A$505,A159)&gt;1,AND(B159&lt;&gt;"",COUNTIF(الزبائن!$A$6:$A$505,B159)=0),(COUNTIFS('أرقام التواصل'!$A$6:$A$505,"proposed_name",'أرقام التواصل'!$B$6:$B$505,A159,'أرقام التواصل'!$I$6:$I$505,"TRUE")+COUNTIFS('أرقام التواصل'!$A$6:$A$505,"proposed_name",'أرقام التواصل'!$B$6:$B$505,A159,'أرقام التواصل'!$C$6:$C$505,1))=0,AND(U159="TRUE",V159="")),"REVIEW","READY")))</f>
        <v/>
      </c>
      <c r="AC159" s="27" t="str">
        <f>IF(AB159="","",IF(AB159="READY","",IF(AB159="SKIP","Skipped by candidate_import_action",TRIM(IF(A159="","missing proposed_name_key; ","")&amp;IF(AND(A159&lt;&gt;"",COUNTIF($A$6:$A$505,A159)&gt;1),"duplicate proposed_name_key; ","")&amp;IF(C159="","missing candidate_import_action; ","")&amp;IF(D159="","missing move_reason; ","")&amp;IF(H159="","missing branch_id; ","")&amp;IF(K159="","missing first_name; ","")&amp;IF(L159="","missing last_name; ","")&amp;IF(S159="","missing status; ","")&amp;IF(AND(B159&lt;&gt;"",COUNTIF(الزبائن!$A$6:$A$505,B159)=0),"source key not found; ","")&amp;IF((COUNTIFS('أرقام التواصل'!$A$6:$A$505,"proposed_name",'أرقام التواصل'!$B$6:$B$505,A159,'أرقام التواصل'!$I$6:$I$505,"TRUE")+COUNTIFS('أرقام التواصل'!$A$6:$A$505,"proposed_name",'أرقام التواصل'!$B$6:$B$505,A159,'أرقام التواصل'!$C$6:$C$505,1))=0,"missing primary contact in أرقام التواصل; ","")&amp;IF(AND(U159="TRUE",V159=""),"duplicate_type required when duplicate_flag TRUE; ","")))))</f>
        <v/>
      </c>
    </row>
    <row r="160" spans="1:29">
      <c r="A160" s="36"/>
      <c r="B160" s="24"/>
      <c r="C160" s="25"/>
      <c r="D160" s="25"/>
      <c r="E160" s="25"/>
      <c r="F160" s="24"/>
      <c r="G160" s="25"/>
      <c r="H160" s="25"/>
      <c r="I160" s="25"/>
      <c r="J160" s="25"/>
      <c r="K160" s="25"/>
      <c r="L160" s="25"/>
      <c r="M160" s="25"/>
      <c r="N160" s="25" t="str">
        <f t="shared" si="2"/>
        <v/>
      </c>
      <c r="O160" s="25"/>
      <c r="P160" s="25"/>
      <c r="Q160" s="25"/>
      <c r="R160" s="25"/>
      <c r="S160" s="25"/>
      <c r="T160" s="25"/>
      <c r="U160" s="25"/>
      <c r="V160" s="25"/>
      <c r="W160" s="24"/>
      <c r="X160" s="24"/>
      <c r="Y160" s="25"/>
      <c r="Z160" s="25" t="str">
        <f>IF(B160="","",IFERROR(INDEX(الزبائن!$AZ$6:$AZ$505,MATCH(B160,الزبائن!$A$6:$A$505,0)),"source key not found"))</f>
        <v/>
      </c>
      <c r="AA160" s="25" t="str">
        <f>IF(B160="","",IFERROR(INDEX(الزبائن!$BA$6:$BA$505,MATCH(B160,الزبائن!$A$6:$A$505,0)),"source key not found"))</f>
        <v/>
      </c>
      <c r="AB160" s="25" t="str">
        <f>IF(AND(A160="",C160="",D160="",H160="",K160="",L160=""),"",IF(C160="skip","SKIP",IF(OR(A160="",C160="",D160="",H160="",K160="",L160="",S160="",COUNTIF($A$6:$A$505,A160)&gt;1,AND(B160&lt;&gt;"",COUNTIF(الزبائن!$A$6:$A$505,B160)=0),(COUNTIFS('أرقام التواصل'!$A$6:$A$505,"proposed_name",'أرقام التواصل'!$B$6:$B$505,A160,'أرقام التواصل'!$I$6:$I$505,"TRUE")+COUNTIFS('أرقام التواصل'!$A$6:$A$505,"proposed_name",'أرقام التواصل'!$B$6:$B$505,A160,'أرقام التواصل'!$C$6:$C$505,1))=0,AND(U160="TRUE",V160="")),"REVIEW","READY")))</f>
        <v/>
      </c>
      <c r="AC160" s="27" t="str">
        <f>IF(AB160="","",IF(AB160="READY","",IF(AB160="SKIP","Skipped by candidate_import_action",TRIM(IF(A160="","missing proposed_name_key; ","")&amp;IF(AND(A160&lt;&gt;"",COUNTIF($A$6:$A$505,A160)&gt;1),"duplicate proposed_name_key; ","")&amp;IF(C160="","missing candidate_import_action; ","")&amp;IF(D160="","missing move_reason; ","")&amp;IF(H160="","missing branch_id; ","")&amp;IF(K160="","missing first_name; ","")&amp;IF(L160="","missing last_name; ","")&amp;IF(S160="","missing status; ","")&amp;IF(AND(B160&lt;&gt;"",COUNTIF(الزبائن!$A$6:$A$505,B160)=0),"source key not found; ","")&amp;IF((COUNTIFS('أرقام التواصل'!$A$6:$A$505,"proposed_name",'أرقام التواصل'!$B$6:$B$505,A160,'أرقام التواصل'!$I$6:$I$505,"TRUE")+COUNTIFS('أرقام التواصل'!$A$6:$A$505,"proposed_name",'أرقام التواصل'!$B$6:$B$505,A160,'أرقام التواصل'!$C$6:$C$505,1))=0,"missing primary contact in أرقام التواصل; ","")&amp;IF(AND(U160="TRUE",V160=""),"duplicate_type required when duplicate_flag TRUE; ","")))))</f>
        <v/>
      </c>
    </row>
    <row r="161" spans="1:29">
      <c r="A161" s="36"/>
      <c r="B161" s="24"/>
      <c r="C161" s="25"/>
      <c r="D161" s="25"/>
      <c r="E161" s="25"/>
      <c r="F161" s="24"/>
      <c r="G161" s="25"/>
      <c r="H161" s="25"/>
      <c r="I161" s="25"/>
      <c r="J161" s="25"/>
      <c r="K161" s="25"/>
      <c r="L161" s="25"/>
      <c r="M161" s="25"/>
      <c r="N161" s="25" t="str">
        <f t="shared" si="2"/>
        <v/>
      </c>
      <c r="O161" s="25"/>
      <c r="P161" s="25"/>
      <c r="Q161" s="25"/>
      <c r="R161" s="25"/>
      <c r="S161" s="25"/>
      <c r="T161" s="25"/>
      <c r="U161" s="25"/>
      <c r="V161" s="25"/>
      <c r="W161" s="24"/>
      <c r="X161" s="24"/>
      <c r="Y161" s="25"/>
      <c r="Z161" s="25" t="str">
        <f>IF(B161="","",IFERROR(INDEX(الزبائن!$AZ$6:$AZ$505,MATCH(B161,الزبائن!$A$6:$A$505,0)),"source key not found"))</f>
        <v/>
      </c>
      <c r="AA161" s="25" t="str">
        <f>IF(B161="","",IFERROR(INDEX(الزبائن!$BA$6:$BA$505,MATCH(B161,الزبائن!$A$6:$A$505,0)),"source key not found"))</f>
        <v/>
      </c>
      <c r="AB161" s="25" t="str">
        <f>IF(AND(A161="",C161="",D161="",H161="",K161="",L161=""),"",IF(C161="skip","SKIP",IF(OR(A161="",C161="",D161="",H161="",K161="",L161="",S161="",COUNTIF($A$6:$A$505,A161)&gt;1,AND(B161&lt;&gt;"",COUNTIF(الزبائن!$A$6:$A$505,B161)=0),(COUNTIFS('أرقام التواصل'!$A$6:$A$505,"proposed_name",'أرقام التواصل'!$B$6:$B$505,A161,'أرقام التواصل'!$I$6:$I$505,"TRUE")+COUNTIFS('أرقام التواصل'!$A$6:$A$505,"proposed_name",'أرقام التواصل'!$B$6:$B$505,A161,'أرقام التواصل'!$C$6:$C$505,1))=0,AND(U161="TRUE",V161="")),"REVIEW","READY")))</f>
        <v/>
      </c>
      <c r="AC161" s="27" t="str">
        <f>IF(AB161="","",IF(AB161="READY","",IF(AB161="SKIP","Skipped by candidate_import_action",TRIM(IF(A161="","missing proposed_name_key; ","")&amp;IF(AND(A161&lt;&gt;"",COUNTIF($A$6:$A$505,A161)&gt;1),"duplicate proposed_name_key; ","")&amp;IF(C161="","missing candidate_import_action; ","")&amp;IF(D161="","missing move_reason; ","")&amp;IF(H161="","missing branch_id; ","")&amp;IF(K161="","missing first_name; ","")&amp;IF(L161="","missing last_name; ","")&amp;IF(S161="","missing status; ","")&amp;IF(AND(B161&lt;&gt;"",COUNTIF(الزبائن!$A$6:$A$505,B161)=0),"source key not found; ","")&amp;IF((COUNTIFS('أرقام التواصل'!$A$6:$A$505,"proposed_name",'أرقام التواصل'!$B$6:$B$505,A161,'أرقام التواصل'!$I$6:$I$505,"TRUE")+COUNTIFS('أرقام التواصل'!$A$6:$A$505,"proposed_name",'أرقام التواصل'!$B$6:$B$505,A161,'أرقام التواصل'!$C$6:$C$505,1))=0,"missing primary contact in أرقام التواصل; ","")&amp;IF(AND(U161="TRUE",V161=""),"duplicate_type required when duplicate_flag TRUE; ","")))))</f>
        <v/>
      </c>
    </row>
    <row r="162" spans="1:29">
      <c r="A162" s="36"/>
      <c r="B162" s="24"/>
      <c r="C162" s="25"/>
      <c r="D162" s="25"/>
      <c r="E162" s="25"/>
      <c r="F162" s="24"/>
      <c r="G162" s="25"/>
      <c r="H162" s="25"/>
      <c r="I162" s="25"/>
      <c r="J162" s="25"/>
      <c r="K162" s="25"/>
      <c r="L162" s="25"/>
      <c r="M162" s="25"/>
      <c r="N162" s="25" t="str">
        <f t="shared" si="2"/>
        <v/>
      </c>
      <c r="O162" s="25"/>
      <c r="P162" s="25"/>
      <c r="Q162" s="25"/>
      <c r="R162" s="25"/>
      <c r="S162" s="25"/>
      <c r="T162" s="25"/>
      <c r="U162" s="25"/>
      <c r="V162" s="25"/>
      <c r="W162" s="24"/>
      <c r="X162" s="24"/>
      <c r="Y162" s="25"/>
      <c r="Z162" s="25" t="str">
        <f>IF(B162="","",IFERROR(INDEX(الزبائن!$AZ$6:$AZ$505,MATCH(B162,الزبائن!$A$6:$A$505,0)),"source key not found"))</f>
        <v/>
      </c>
      <c r="AA162" s="25" t="str">
        <f>IF(B162="","",IFERROR(INDEX(الزبائن!$BA$6:$BA$505,MATCH(B162,الزبائن!$A$6:$A$505,0)),"source key not found"))</f>
        <v/>
      </c>
      <c r="AB162" s="25" t="str">
        <f>IF(AND(A162="",C162="",D162="",H162="",K162="",L162=""),"",IF(C162="skip","SKIP",IF(OR(A162="",C162="",D162="",H162="",K162="",L162="",S162="",COUNTIF($A$6:$A$505,A162)&gt;1,AND(B162&lt;&gt;"",COUNTIF(الزبائن!$A$6:$A$505,B162)=0),(COUNTIFS('أرقام التواصل'!$A$6:$A$505,"proposed_name",'أرقام التواصل'!$B$6:$B$505,A162,'أرقام التواصل'!$I$6:$I$505,"TRUE")+COUNTIFS('أرقام التواصل'!$A$6:$A$505,"proposed_name",'أرقام التواصل'!$B$6:$B$505,A162,'أرقام التواصل'!$C$6:$C$505,1))=0,AND(U162="TRUE",V162="")),"REVIEW","READY")))</f>
        <v/>
      </c>
      <c r="AC162" s="27" t="str">
        <f>IF(AB162="","",IF(AB162="READY","",IF(AB162="SKIP","Skipped by candidate_import_action",TRIM(IF(A162="","missing proposed_name_key; ","")&amp;IF(AND(A162&lt;&gt;"",COUNTIF($A$6:$A$505,A162)&gt;1),"duplicate proposed_name_key; ","")&amp;IF(C162="","missing candidate_import_action; ","")&amp;IF(D162="","missing move_reason; ","")&amp;IF(H162="","missing branch_id; ","")&amp;IF(K162="","missing first_name; ","")&amp;IF(L162="","missing last_name; ","")&amp;IF(S162="","missing status; ","")&amp;IF(AND(B162&lt;&gt;"",COUNTIF(الزبائن!$A$6:$A$505,B162)=0),"source key not found; ","")&amp;IF((COUNTIFS('أرقام التواصل'!$A$6:$A$505,"proposed_name",'أرقام التواصل'!$B$6:$B$505,A162,'أرقام التواصل'!$I$6:$I$505,"TRUE")+COUNTIFS('أرقام التواصل'!$A$6:$A$505,"proposed_name",'أرقام التواصل'!$B$6:$B$505,A162,'أرقام التواصل'!$C$6:$C$505,1))=0,"missing primary contact in أرقام التواصل; ","")&amp;IF(AND(U162="TRUE",V162=""),"duplicate_type required when duplicate_flag TRUE; ","")))))</f>
        <v/>
      </c>
    </row>
    <row r="163" spans="1:29">
      <c r="A163" s="36"/>
      <c r="B163" s="24"/>
      <c r="C163" s="25"/>
      <c r="D163" s="25"/>
      <c r="E163" s="25"/>
      <c r="F163" s="24"/>
      <c r="G163" s="25"/>
      <c r="H163" s="25"/>
      <c r="I163" s="25"/>
      <c r="J163" s="25"/>
      <c r="K163" s="25"/>
      <c r="L163" s="25"/>
      <c r="M163" s="25"/>
      <c r="N163" s="25" t="str">
        <f t="shared" si="2"/>
        <v/>
      </c>
      <c r="O163" s="25"/>
      <c r="P163" s="25"/>
      <c r="Q163" s="25"/>
      <c r="R163" s="25"/>
      <c r="S163" s="25"/>
      <c r="T163" s="25"/>
      <c r="U163" s="25"/>
      <c r="V163" s="25"/>
      <c r="W163" s="24"/>
      <c r="X163" s="24"/>
      <c r="Y163" s="25"/>
      <c r="Z163" s="25" t="str">
        <f>IF(B163="","",IFERROR(INDEX(الزبائن!$AZ$6:$AZ$505,MATCH(B163,الزبائن!$A$6:$A$505,0)),"source key not found"))</f>
        <v/>
      </c>
      <c r="AA163" s="25" t="str">
        <f>IF(B163="","",IFERROR(INDEX(الزبائن!$BA$6:$BA$505,MATCH(B163,الزبائن!$A$6:$A$505,0)),"source key not found"))</f>
        <v/>
      </c>
      <c r="AB163" s="25" t="str">
        <f>IF(AND(A163="",C163="",D163="",H163="",K163="",L163=""),"",IF(C163="skip","SKIP",IF(OR(A163="",C163="",D163="",H163="",K163="",L163="",S163="",COUNTIF($A$6:$A$505,A163)&gt;1,AND(B163&lt;&gt;"",COUNTIF(الزبائن!$A$6:$A$505,B163)=0),(COUNTIFS('أرقام التواصل'!$A$6:$A$505,"proposed_name",'أرقام التواصل'!$B$6:$B$505,A163,'أرقام التواصل'!$I$6:$I$505,"TRUE")+COUNTIFS('أرقام التواصل'!$A$6:$A$505,"proposed_name",'أرقام التواصل'!$B$6:$B$505,A163,'أرقام التواصل'!$C$6:$C$505,1))=0,AND(U163="TRUE",V163="")),"REVIEW","READY")))</f>
        <v/>
      </c>
      <c r="AC163" s="27" t="str">
        <f>IF(AB163="","",IF(AB163="READY","",IF(AB163="SKIP","Skipped by candidate_import_action",TRIM(IF(A163="","missing proposed_name_key; ","")&amp;IF(AND(A163&lt;&gt;"",COUNTIF($A$6:$A$505,A163)&gt;1),"duplicate proposed_name_key; ","")&amp;IF(C163="","missing candidate_import_action; ","")&amp;IF(D163="","missing move_reason; ","")&amp;IF(H163="","missing branch_id; ","")&amp;IF(K163="","missing first_name; ","")&amp;IF(L163="","missing last_name; ","")&amp;IF(S163="","missing status; ","")&amp;IF(AND(B163&lt;&gt;"",COUNTIF(الزبائن!$A$6:$A$505,B163)=0),"source key not found; ","")&amp;IF((COUNTIFS('أرقام التواصل'!$A$6:$A$505,"proposed_name",'أرقام التواصل'!$B$6:$B$505,A163,'أرقام التواصل'!$I$6:$I$505,"TRUE")+COUNTIFS('أرقام التواصل'!$A$6:$A$505,"proposed_name",'أرقام التواصل'!$B$6:$B$505,A163,'أرقام التواصل'!$C$6:$C$505,1))=0,"missing primary contact in أرقام التواصل; ","")&amp;IF(AND(U163="TRUE",V163=""),"duplicate_type required when duplicate_flag TRUE; ","")))))</f>
        <v/>
      </c>
    </row>
    <row r="164" spans="1:29">
      <c r="A164" s="36"/>
      <c r="B164" s="24"/>
      <c r="C164" s="25"/>
      <c r="D164" s="25"/>
      <c r="E164" s="25"/>
      <c r="F164" s="24"/>
      <c r="G164" s="25"/>
      <c r="H164" s="25"/>
      <c r="I164" s="25"/>
      <c r="J164" s="25"/>
      <c r="K164" s="25"/>
      <c r="L164" s="25"/>
      <c r="M164" s="25"/>
      <c r="N164" s="25" t="str">
        <f t="shared" si="2"/>
        <v/>
      </c>
      <c r="O164" s="25"/>
      <c r="P164" s="25"/>
      <c r="Q164" s="25"/>
      <c r="R164" s="25"/>
      <c r="S164" s="25"/>
      <c r="T164" s="25"/>
      <c r="U164" s="25"/>
      <c r="V164" s="25"/>
      <c r="W164" s="24"/>
      <c r="X164" s="24"/>
      <c r="Y164" s="25"/>
      <c r="Z164" s="25" t="str">
        <f>IF(B164="","",IFERROR(INDEX(الزبائن!$AZ$6:$AZ$505,MATCH(B164,الزبائن!$A$6:$A$505,0)),"source key not found"))</f>
        <v/>
      </c>
      <c r="AA164" s="25" t="str">
        <f>IF(B164="","",IFERROR(INDEX(الزبائن!$BA$6:$BA$505,MATCH(B164,الزبائن!$A$6:$A$505,0)),"source key not found"))</f>
        <v/>
      </c>
      <c r="AB164" s="25" t="str">
        <f>IF(AND(A164="",C164="",D164="",H164="",K164="",L164=""),"",IF(C164="skip","SKIP",IF(OR(A164="",C164="",D164="",H164="",K164="",L164="",S164="",COUNTIF($A$6:$A$505,A164)&gt;1,AND(B164&lt;&gt;"",COUNTIF(الزبائن!$A$6:$A$505,B164)=0),(COUNTIFS('أرقام التواصل'!$A$6:$A$505,"proposed_name",'أرقام التواصل'!$B$6:$B$505,A164,'أرقام التواصل'!$I$6:$I$505,"TRUE")+COUNTIFS('أرقام التواصل'!$A$6:$A$505,"proposed_name",'أرقام التواصل'!$B$6:$B$505,A164,'أرقام التواصل'!$C$6:$C$505,1))=0,AND(U164="TRUE",V164="")),"REVIEW","READY")))</f>
        <v/>
      </c>
      <c r="AC164" s="27" t="str">
        <f>IF(AB164="","",IF(AB164="READY","",IF(AB164="SKIP","Skipped by candidate_import_action",TRIM(IF(A164="","missing proposed_name_key; ","")&amp;IF(AND(A164&lt;&gt;"",COUNTIF($A$6:$A$505,A164)&gt;1),"duplicate proposed_name_key; ","")&amp;IF(C164="","missing candidate_import_action; ","")&amp;IF(D164="","missing move_reason; ","")&amp;IF(H164="","missing branch_id; ","")&amp;IF(K164="","missing first_name; ","")&amp;IF(L164="","missing last_name; ","")&amp;IF(S164="","missing status; ","")&amp;IF(AND(B164&lt;&gt;"",COUNTIF(الزبائن!$A$6:$A$505,B164)=0),"source key not found; ","")&amp;IF((COUNTIFS('أرقام التواصل'!$A$6:$A$505,"proposed_name",'أرقام التواصل'!$B$6:$B$505,A164,'أرقام التواصل'!$I$6:$I$505,"TRUE")+COUNTIFS('أرقام التواصل'!$A$6:$A$505,"proposed_name",'أرقام التواصل'!$B$6:$B$505,A164,'أرقام التواصل'!$C$6:$C$505,1))=0,"missing primary contact in أرقام التواصل; ","")&amp;IF(AND(U164="TRUE",V164=""),"duplicate_type required when duplicate_flag TRUE; ","")))))</f>
        <v/>
      </c>
    </row>
    <row r="165" spans="1:29">
      <c r="A165" s="36"/>
      <c r="B165" s="24"/>
      <c r="C165" s="25"/>
      <c r="D165" s="25"/>
      <c r="E165" s="25"/>
      <c r="F165" s="24"/>
      <c r="G165" s="25"/>
      <c r="H165" s="25"/>
      <c r="I165" s="25"/>
      <c r="J165" s="25"/>
      <c r="K165" s="25"/>
      <c r="L165" s="25"/>
      <c r="M165" s="25"/>
      <c r="N165" s="25" t="str">
        <f t="shared" si="2"/>
        <v/>
      </c>
      <c r="O165" s="25"/>
      <c r="P165" s="25"/>
      <c r="Q165" s="25"/>
      <c r="R165" s="25"/>
      <c r="S165" s="25"/>
      <c r="T165" s="25"/>
      <c r="U165" s="25"/>
      <c r="V165" s="25"/>
      <c r="W165" s="24"/>
      <c r="X165" s="24"/>
      <c r="Y165" s="25"/>
      <c r="Z165" s="25" t="str">
        <f>IF(B165="","",IFERROR(INDEX(الزبائن!$AZ$6:$AZ$505,MATCH(B165,الزبائن!$A$6:$A$505,0)),"source key not found"))</f>
        <v/>
      </c>
      <c r="AA165" s="25" t="str">
        <f>IF(B165="","",IFERROR(INDEX(الزبائن!$BA$6:$BA$505,MATCH(B165,الزبائن!$A$6:$A$505,0)),"source key not found"))</f>
        <v/>
      </c>
      <c r="AB165" s="25" t="str">
        <f>IF(AND(A165="",C165="",D165="",H165="",K165="",L165=""),"",IF(C165="skip","SKIP",IF(OR(A165="",C165="",D165="",H165="",K165="",L165="",S165="",COUNTIF($A$6:$A$505,A165)&gt;1,AND(B165&lt;&gt;"",COUNTIF(الزبائن!$A$6:$A$505,B165)=0),(COUNTIFS('أرقام التواصل'!$A$6:$A$505,"proposed_name",'أرقام التواصل'!$B$6:$B$505,A165,'أرقام التواصل'!$I$6:$I$505,"TRUE")+COUNTIFS('أرقام التواصل'!$A$6:$A$505,"proposed_name",'أرقام التواصل'!$B$6:$B$505,A165,'أرقام التواصل'!$C$6:$C$505,1))=0,AND(U165="TRUE",V165="")),"REVIEW","READY")))</f>
        <v/>
      </c>
      <c r="AC165" s="27" t="str">
        <f>IF(AB165="","",IF(AB165="READY","",IF(AB165="SKIP","Skipped by candidate_import_action",TRIM(IF(A165="","missing proposed_name_key; ","")&amp;IF(AND(A165&lt;&gt;"",COUNTIF($A$6:$A$505,A165)&gt;1),"duplicate proposed_name_key; ","")&amp;IF(C165="","missing candidate_import_action; ","")&amp;IF(D165="","missing move_reason; ","")&amp;IF(H165="","missing branch_id; ","")&amp;IF(K165="","missing first_name; ","")&amp;IF(L165="","missing last_name; ","")&amp;IF(S165="","missing status; ","")&amp;IF(AND(B165&lt;&gt;"",COUNTIF(الزبائن!$A$6:$A$505,B165)=0),"source key not found; ","")&amp;IF((COUNTIFS('أرقام التواصل'!$A$6:$A$505,"proposed_name",'أرقام التواصل'!$B$6:$B$505,A165,'أرقام التواصل'!$I$6:$I$505,"TRUE")+COUNTIFS('أرقام التواصل'!$A$6:$A$505,"proposed_name",'أرقام التواصل'!$B$6:$B$505,A165,'أرقام التواصل'!$C$6:$C$505,1))=0,"missing primary contact in أرقام التواصل; ","")&amp;IF(AND(U165="TRUE",V165=""),"duplicate_type required when duplicate_flag TRUE; ","")))))</f>
        <v/>
      </c>
    </row>
    <row r="166" spans="1:29">
      <c r="A166" s="36"/>
      <c r="B166" s="24"/>
      <c r="C166" s="25"/>
      <c r="D166" s="25"/>
      <c r="E166" s="25"/>
      <c r="F166" s="24"/>
      <c r="G166" s="25"/>
      <c r="H166" s="25"/>
      <c r="I166" s="25"/>
      <c r="J166" s="25"/>
      <c r="K166" s="25"/>
      <c r="L166" s="25"/>
      <c r="M166" s="25"/>
      <c r="N166" s="25" t="str">
        <f t="shared" si="2"/>
        <v/>
      </c>
      <c r="O166" s="25"/>
      <c r="P166" s="25"/>
      <c r="Q166" s="25"/>
      <c r="R166" s="25"/>
      <c r="S166" s="25"/>
      <c r="T166" s="25"/>
      <c r="U166" s="25"/>
      <c r="V166" s="25"/>
      <c r="W166" s="24"/>
      <c r="X166" s="24"/>
      <c r="Y166" s="25"/>
      <c r="Z166" s="25" t="str">
        <f>IF(B166="","",IFERROR(INDEX(الزبائن!$AZ$6:$AZ$505,MATCH(B166,الزبائن!$A$6:$A$505,0)),"source key not found"))</f>
        <v/>
      </c>
      <c r="AA166" s="25" t="str">
        <f>IF(B166="","",IFERROR(INDEX(الزبائن!$BA$6:$BA$505,MATCH(B166,الزبائن!$A$6:$A$505,0)),"source key not found"))</f>
        <v/>
      </c>
      <c r="AB166" s="25" t="str">
        <f>IF(AND(A166="",C166="",D166="",H166="",K166="",L166=""),"",IF(C166="skip","SKIP",IF(OR(A166="",C166="",D166="",H166="",K166="",L166="",S166="",COUNTIF($A$6:$A$505,A166)&gt;1,AND(B166&lt;&gt;"",COUNTIF(الزبائن!$A$6:$A$505,B166)=0),(COUNTIFS('أرقام التواصل'!$A$6:$A$505,"proposed_name",'أرقام التواصل'!$B$6:$B$505,A166,'أرقام التواصل'!$I$6:$I$505,"TRUE")+COUNTIFS('أرقام التواصل'!$A$6:$A$505,"proposed_name",'أرقام التواصل'!$B$6:$B$505,A166,'أرقام التواصل'!$C$6:$C$505,1))=0,AND(U166="TRUE",V166="")),"REVIEW","READY")))</f>
        <v/>
      </c>
      <c r="AC166" s="27" t="str">
        <f>IF(AB166="","",IF(AB166="READY","",IF(AB166="SKIP","Skipped by candidate_import_action",TRIM(IF(A166="","missing proposed_name_key; ","")&amp;IF(AND(A166&lt;&gt;"",COUNTIF($A$6:$A$505,A166)&gt;1),"duplicate proposed_name_key; ","")&amp;IF(C166="","missing candidate_import_action; ","")&amp;IF(D166="","missing move_reason; ","")&amp;IF(H166="","missing branch_id; ","")&amp;IF(K166="","missing first_name; ","")&amp;IF(L166="","missing last_name; ","")&amp;IF(S166="","missing status; ","")&amp;IF(AND(B166&lt;&gt;"",COUNTIF(الزبائن!$A$6:$A$505,B166)=0),"source key not found; ","")&amp;IF((COUNTIFS('أرقام التواصل'!$A$6:$A$505,"proposed_name",'أرقام التواصل'!$B$6:$B$505,A166,'أرقام التواصل'!$I$6:$I$505,"TRUE")+COUNTIFS('أرقام التواصل'!$A$6:$A$505,"proposed_name",'أرقام التواصل'!$B$6:$B$505,A166,'أرقام التواصل'!$C$6:$C$505,1))=0,"missing primary contact in أرقام التواصل; ","")&amp;IF(AND(U166="TRUE",V166=""),"duplicate_type required when duplicate_flag TRUE; ","")))))</f>
        <v/>
      </c>
    </row>
    <row r="167" spans="1:29">
      <c r="A167" s="36"/>
      <c r="B167" s="24"/>
      <c r="C167" s="25"/>
      <c r="D167" s="25"/>
      <c r="E167" s="25"/>
      <c r="F167" s="24"/>
      <c r="G167" s="25"/>
      <c r="H167" s="25"/>
      <c r="I167" s="25"/>
      <c r="J167" s="25"/>
      <c r="K167" s="25"/>
      <c r="L167" s="25"/>
      <c r="M167" s="25"/>
      <c r="N167" s="25" t="str">
        <f t="shared" si="2"/>
        <v/>
      </c>
      <c r="O167" s="25"/>
      <c r="P167" s="25"/>
      <c r="Q167" s="25"/>
      <c r="R167" s="25"/>
      <c r="S167" s="25"/>
      <c r="T167" s="25"/>
      <c r="U167" s="25"/>
      <c r="V167" s="25"/>
      <c r="W167" s="24"/>
      <c r="X167" s="24"/>
      <c r="Y167" s="25"/>
      <c r="Z167" s="25" t="str">
        <f>IF(B167="","",IFERROR(INDEX(الزبائن!$AZ$6:$AZ$505,MATCH(B167,الزبائن!$A$6:$A$505,0)),"source key not found"))</f>
        <v/>
      </c>
      <c r="AA167" s="25" t="str">
        <f>IF(B167="","",IFERROR(INDEX(الزبائن!$BA$6:$BA$505,MATCH(B167,الزبائن!$A$6:$A$505,0)),"source key not found"))</f>
        <v/>
      </c>
      <c r="AB167" s="25" t="str">
        <f>IF(AND(A167="",C167="",D167="",H167="",K167="",L167=""),"",IF(C167="skip","SKIP",IF(OR(A167="",C167="",D167="",H167="",K167="",L167="",S167="",COUNTIF($A$6:$A$505,A167)&gt;1,AND(B167&lt;&gt;"",COUNTIF(الزبائن!$A$6:$A$505,B167)=0),(COUNTIFS('أرقام التواصل'!$A$6:$A$505,"proposed_name",'أرقام التواصل'!$B$6:$B$505,A167,'أرقام التواصل'!$I$6:$I$505,"TRUE")+COUNTIFS('أرقام التواصل'!$A$6:$A$505,"proposed_name",'أرقام التواصل'!$B$6:$B$505,A167,'أرقام التواصل'!$C$6:$C$505,1))=0,AND(U167="TRUE",V167="")),"REVIEW","READY")))</f>
        <v/>
      </c>
      <c r="AC167" s="27" t="str">
        <f>IF(AB167="","",IF(AB167="READY","",IF(AB167="SKIP","Skipped by candidate_import_action",TRIM(IF(A167="","missing proposed_name_key; ","")&amp;IF(AND(A167&lt;&gt;"",COUNTIF($A$6:$A$505,A167)&gt;1),"duplicate proposed_name_key; ","")&amp;IF(C167="","missing candidate_import_action; ","")&amp;IF(D167="","missing move_reason; ","")&amp;IF(H167="","missing branch_id; ","")&amp;IF(K167="","missing first_name; ","")&amp;IF(L167="","missing last_name; ","")&amp;IF(S167="","missing status; ","")&amp;IF(AND(B167&lt;&gt;"",COUNTIF(الزبائن!$A$6:$A$505,B167)=0),"source key not found; ","")&amp;IF((COUNTIFS('أرقام التواصل'!$A$6:$A$505,"proposed_name",'أرقام التواصل'!$B$6:$B$505,A167,'أرقام التواصل'!$I$6:$I$505,"TRUE")+COUNTIFS('أرقام التواصل'!$A$6:$A$505,"proposed_name",'أرقام التواصل'!$B$6:$B$505,A167,'أرقام التواصل'!$C$6:$C$505,1))=0,"missing primary contact in أرقام التواصل; ","")&amp;IF(AND(U167="TRUE",V167=""),"duplicate_type required when duplicate_flag TRUE; ","")))))</f>
        <v/>
      </c>
    </row>
    <row r="168" spans="1:29">
      <c r="A168" s="36"/>
      <c r="B168" s="24"/>
      <c r="C168" s="25"/>
      <c r="D168" s="25"/>
      <c r="E168" s="25"/>
      <c r="F168" s="24"/>
      <c r="G168" s="25"/>
      <c r="H168" s="25"/>
      <c r="I168" s="25"/>
      <c r="J168" s="25"/>
      <c r="K168" s="25"/>
      <c r="L168" s="25"/>
      <c r="M168" s="25"/>
      <c r="N168" s="25" t="str">
        <f t="shared" si="2"/>
        <v/>
      </c>
      <c r="O168" s="25"/>
      <c r="P168" s="25"/>
      <c r="Q168" s="25"/>
      <c r="R168" s="25"/>
      <c r="S168" s="25"/>
      <c r="T168" s="25"/>
      <c r="U168" s="25"/>
      <c r="V168" s="25"/>
      <c r="W168" s="24"/>
      <c r="X168" s="24"/>
      <c r="Y168" s="25"/>
      <c r="Z168" s="25" t="str">
        <f>IF(B168="","",IFERROR(INDEX(الزبائن!$AZ$6:$AZ$505,MATCH(B168,الزبائن!$A$6:$A$505,0)),"source key not found"))</f>
        <v/>
      </c>
      <c r="AA168" s="25" t="str">
        <f>IF(B168="","",IFERROR(INDEX(الزبائن!$BA$6:$BA$505,MATCH(B168,الزبائن!$A$6:$A$505,0)),"source key not found"))</f>
        <v/>
      </c>
      <c r="AB168" s="25" t="str">
        <f>IF(AND(A168="",C168="",D168="",H168="",K168="",L168=""),"",IF(C168="skip","SKIP",IF(OR(A168="",C168="",D168="",H168="",K168="",L168="",S168="",COUNTIF($A$6:$A$505,A168)&gt;1,AND(B168&lt;&gt;"",COUNTIF(الزبائن!$A$6:$A$505,B168)=0),(COUNTIFS('أرقام التواصل'!$A$6:$A$505,"proposed_name",'أرقام التواصل'!$B$6:$B$505,A168,'أرقام التواصل'!$I$6:$I$505,"TRUE")+COUNTIFS('أرقام التواصل'!$A$6:$A$505,"proposed_name",'أرقام التواصل'!$B$6:$B$505,A168,'أرقام التواصل'!$C$6:$C$505,1))=0,AND(U168="TRUE",V168="")),"REVIEW","READY")))</f>
        <v/>
      </c>
      <c r="AC168" s="27" t="str">
        <f>IF(AB168="","",IF(AB168="READY","",IF(AB168="SKIP","Skipped by candidate_import_action",TRIM(IF(A168="","missing proposed_name_key; ","")&amp;IF(AND(A168&lt;&gt;"",COUNTIF($A$6:$A$505,A168)&gt;1),"duplicate proposed_name_key; ","")&amp;IF(C168="","missing candidate_import_action; ","")&amp;IF(D168="","missing move_reason; ","")&amp;IF(H168="","missing branch_id; ","")&amp;IF(K168="","missing first_name; ","")&amp;IF(L168="","missing last_name; ","")&amp;IF(S168="","missing status; ","")&amp;IF(AND(B168&lt;&gt;"",COUNTIF(الزبائن!$A$6:$A$505,B168)=0),"source key not found; ","")&amp;IF((COUNTIFS('أرقام التواصل'!$A$6:$A$505,"proposed_name",'أرقام التواصل'!$B$6:$B$505,A168,'أرقام التواصل'!$I$6:$I$505,"TRUE")+COUNTIFS('أرقام التواصل'!$A$6:$A$505,"proposed_name",'أرقام التواصل'!$B$6:$B$505,A168,'أرقام التواصل'!$C$6:$C$505,1))=0,"missing primary contact in أرقام التواصل; ","")&amp;IF(AND(U168="TRUE",V168=""),"duplicate_type required when duplicate_flag TRUE; ","")))))</f>
        <v/>
      </c>
    </row>
    <row r="169" spans="1:29">
      <c r="A169" s="36"/>
      <c r="B169" s="24"/>
      <c r="C169" s="25"/>
      <c r="D169" s="25"/>
      <c r="E169" s="25"/>
      <c r="F169" s="24"/>
      <c r="G169" s="25"/>
      <c r="H169" s="25"/>
      <c r="I169" s="25"/>
      <c r="J169" s="25"/>
      <c r="K169" s="25"/>
      <c r="L169" s="25"/>
      <c r="M169" s="25"/>
      <c r="N169" s="25" t="str">
        <f t="shared" si="2"/>
        <v/>
      </c>
      <c r="O169" s="25"/>
      <c r="P169" s="25"/>
      <c r="Q169" s="25"/>
      <c r="R169" s="25"/>
      <c r="S169" s="25"/>
      <c r="T169" s="25"/>
      <c r="U169" s="25"/>
      <c r="V169" s="25"/>
      <c r="W169" s="24"/>
      <c r="X169" s="24"/>
      <c r="Y169" s="25"/>
      <c r="Z169" s="25" t="str">
        <f>IF(B169="","",IFERROR(INDEX(الزبائن!$AZ$6:$AZ$505,MATCH(B169,الزبائن!$A$6:$A$505,0)),"source key not found"))</f>
        <v/>
      </c>
      <c r="AA169" s="25" t="str">
        <f>IF(B169="","",IFERROR(INDEX(الزبائن!$BA$6:$BA$505,MATCH(B169,الزبائن!$A$6:$A$505,0)),"source key not found"))</f>
        <v/>
      </c>
      <c r="AB169" s="25" t="str">
        <f>IF(AND(A169="",C169="",D169="",H169="",K169="",L169=""),"",IF(C169="skip","SKIP",IF(OR(A169="",C169="",D169="",H169="",K169="",L169="",S169="",COUNTIF($A$6:$A$505,A169)&gt;1,AND(B169&lt;&gt;"",COUNTIF(الزبائن!$A$6:$A$505,B169)=0),(COUNTIFS('أرقام التواصل'!$A$6:$A$505,"proposed_name",'أرقام التواصل'!$B$6:$B$505,A169,'أرقام التواصل'!$I$6:$I$505,"TRUE")+COUNTIFS('أرقام التواصل'!$A$6:$A$505,"proposed_name",'أرقام التواصل'!$B$6:$B$505,A169,'أرقام التواصل'!$C$6:$C$505,1))=0,AND(U169="TRUE",V169="")),"REVIEW","READY")))</f>
        <v/>
      </c>
      <c r="AC169" s="27" t="str">
        <f>IF(AB169="","",IF(AB169="READY","",IF(AB169="SKIP","Skipped by candidate_import_action",TRIM(IF(A169="","missing proposed_name_key; ","")&amp;IF(AND(A169&lt;&gt;"",COUNTIF($A$6:$A$505,A169)&gt;1),"duplicate proposed_name_key; ","")&amp;IF(C169="","missing candidate_import_action; ","")&amp;IF(D169="","missing move_reason; ","")&amp;IF(H169="","missing branch_id; ","")&amp;IF(K169="","missing first_name; ","")&amp;IF(L169="","missing last_name; ","")&amp;IF(S169="","missing status; ","")&amp;IF(AND(B169&lt;&gt;"",COUNTIF(الزبائن!$A$6:$A$505,B169)=0),"source key not found; ","")&amp;IF((COUNTIFS('أرقام التواصل'!$A$6:$A$505,"proposed_name",'أرقام التواصل'!$B$6:$B$505,A169,'أرقام التواصل'!$I$6:$I$505,"TRUE")+COUNTIFS('أرقام التواصل'!$A$6:$A$505,"proposed_name",'أرقام التواصل'!$B$6:$B$505,A169,'أرقام التواصل'!$C$6:$C$505,1))=0,"missing primary contact in أرقام التواصل; ","")&amp;IF(AND(U169="TRUE",V169=""),"duplicate_type required when duplicate_flag TRUE; ","")))))</f>
        <v/>
      </c>
    </row>
    <row r="170" spans="1:29">
      <c r="A170" s="36"/>
      <c r="B170" s="24"/>
      <c r="C170" s="25"/>
      <c r="D170" s="25"/>
      <c r="E170" s="25"/>
      <c r="F170" s="24"/>
      <c r="G170" s="25"/>
      <c r="H170" s="25"/>
      <c r="I170" s="25"/>
      <c r="J170" s="25"/>
      <c r="K170" s="25"/>
      <c r="L170" s="25"/>
      <c r="M170" s="25"/>
      <c r="N170" s="25" t="str">
        <f t="shared" si="2"/>
        <v/>
      </c>
      <c r="O170" s="25"/>
      <c r="P170" s="25"/>
      <c r="Q170" s="25"/>
      <c r="R170" s="25"/>
      <c r="S170" s="25"/>
      <c r="T170" s="25"/>
      <c r="U170" s="25"/>
      <c r="V170" s="25"/>
      <c r="W170" s="24"/>
      <c r="X170" s="24"/>
      <c r="Y170" s="25"/>
      <c r="Z170" s="25" t="str">
        <f>IF(B170="","",IFERROR(INDEX(الزبائن!$AZ$6:$AZ$505,MATCH(B170,الزبائن!$A$6:$A$505,0)),"source key not found"))</f>
        <v/>
      </c>
      <c r="AA170" s="25" t="str">
        <f>IF(B170="","",IFERROR(INDEX(الزبائن!$BA$6:$BA$505,MATCH(B170,الزبائن!$A$6:$A$505,0)),"source key not found"))</f>
        <v/>
      </c>
      <c r="AB170" s="25" t="str">
        <f>IF(AND(A170="",C170="",D170="",H170="",K170="",L170=""),"",IF(C170="skip","SKIP",IF(OR(A170="",C170="",D170="",H170="",K170="",L170="",S170="",COUNTIF($A$6:$A$505,A170)&gt;1,AND(B170&lt;&gt;"",COUNTIF(الزبائن!$A$6:$A$505,B170)=0),(COUNTIFS('أرقام التواصل'!$A$6:$A$505,"proposed_name",'أرقام التواصل'!$B$6:$B$505,A170,'أرقام التواصل'!$I$6:$I$505,"TRUE")+COUNTIFS('أرقام التواصل'!$A$6:$A$505,"proposed_name",'أرقام التواصل'!$B$6:$B$505,A170,'أرقام التواصل'!$C$6:$C$505,1))=0,AND(U170="TRUE",V170="")),"REVIEW","READY")))</f>
        <v/>
      </c>
      <c r="AC170" s="27" t="str">
        <f>IF(AB170="","",IF(AB170="READY","",IF(AB170="SKIP","Skipped by candidate_import_action",TRIM(IF(A170="","missing proposed_name_key; ","")&amp;IF(AND(A170&lt;&gt;"",COUNTIF($A$6:$A$505,A170)&gt;1),"duplicate proposed_name_key; ","")&amp;IF(C170="","missing candidate_import_action; ","")&amp;IF(D170="","missing move_reason; ","")&amp;IF(H170="","missing branch_id; ","")&amp;IF(K170="","missing first_name; ","")&amp;IF(L170="","missing last_name; ","")&amp;IF(S170="","missing status; ","")&amp;IF(AND(B170&lt;&gt;"",COUNTIF(الزبائن!$A$6:$A$505,B170)=0),"source key not found; ","")&amp;IF((COUNTIFS('أرقام التواصل'!$A$6:$A$505,"proposed_name",'أرقام التواصل'!$B$6:$B$505,A170,'أرقام التواصل'!$I$6:$I$505,"TRUE")+COUNTIFS('أرقام التواصل'!$A$6:$A$505,"proposed_name",'أرقام التواصل'!$B$6:$B$505,A170,'أرقام التواصل'!$C$6:$C$505,1))=0,"missing primary contact in أرقام التواصل; ","")&amp;IF(AND(U170="TRUE",V170=""),"duplicate_type required when duplicate_flag TRUE; ","")))))</f>
        <v/>
      </c>
    </row>
    <row r="171" spans="1:29">
      <c r="A171" s="36"/>
      <c r="B171" s="24"/>
      <c r="C171" s="25"/>
      <c r="D171" s="25"/>
      <c r="E171" s="25"/>
      <c r="F171" s="24"/>
      <c r="G171" s="25"/>
      <c r="H171" s="25"/>
      <c r="I171" s="25"/>
      <c r="J171" s="25"/>
      <c r="K171" s="25"/>
      <c r="L171" s="25"/>
      <c r="M171" s="25"/>
      <c r="N171" s="25" t="str">
        <f t="shared" si="2"/>
        <v/>
      </c>
      <c r="O171" s="25"/>
      <c r="P171" s="25"/>
      <c r="Q171" s="25"/>
      <c r="R171" s="25"/>
      <c r="S171" s="25"/>
      <c r="T171" s="25"/>
      <c r="U171" s="25"/>
      <c r="V171" s="25"/>
      <c r="W171" s="24"/>
      <c r="X171" s="24"/>
      <c r="Y171" s="25"/>
      <c r="Z171" s="25" t="str">
        <f>IF(B171="","",IFERROR(INDEX(الزبائن!$AZ$6:$AZ$505,MATCH(B171,الزبائن!$A$6:$A$505,0)),"source key not found"))</f>
        <v/>
      </c>
      <c r="AA171" s="25" t="str">
        <f>IF(B171="","",IFERROR(INDEX(الزبائن!$BA$6:$BA$505,MATCH(B171,الزبائن!$A$6:$A$505,0)),"source key not found"))</f>
        <v/>
      </c>
      <c r="AB171" s="25" t="str">
        <f>IF(AND(A171="",C171="",D171="",H171="",K171="",L171=""),"",IF(C171="skip","SKIP",IF(OR(A171="",C171="",D171="",H171="",K171="",L171="",S171="",COUNTIF($A$6:$A$505,A171)&gt;1,AND(B171&lt;&gt;"",COUNTIF(الزبائن!$A$6:$A$505,B171)=0),(COUNTIFS('أرقام التواصل'!$A$6:$A$505,"proposed_name",'أرقام التواصل'!$B$6:$B$505,A171,'أرقام التواصل'!$I$6:$I$505,"TRUE")+COUNTIFS('أرقام التواصل'!$A$6:$A$505,"proposed_name",'أرقام التواصل'!$B$6:$B$505,A171,'أرقام التواصل'!$C$6:$C$505,1))=0,AND(U171="TRUE",V171="")),"REVIEW","READY")))</f>
        <v/>
      </c>
      <c r="AC171" s="27" t="str">
        <f>IF(AB171="","",IF(AB171="READY","",IF(AB171="SKIP","Skipped by candidate_import_action",TRIM(IF(A171="","missing proposed_name_key; ","")&amp;IF(AND(A171&lt;&gt;"",COUNTIF($A$6:$A$505,A171)&gt;1),"duplicate proposed_name_key; ","")&amp;IF(C171="","missing candidate_import_action; ","")&amp;IF(D171="","missing move_reason; ","")&amp;IF(H171="","missing branch_id; ","")&amp;IF(K171="","missing first_name; ","")&amp;IF(L171="","missing last_name; ","")&amp;IF(S171="","missing status; ","")&amp;IF(AND(B171&lt;&gt;"",COUNTIF(الزبائن!$A$6:$A$505,B171)=0),"source key not found; ","")&amp;IF((COUNTIFS('أرقام التواصل'!$A$6:$A$505,"proposed_name",'أرقام التواصل'!$B$6:$B$505,A171,'أرقام التواصل'!$I$6:$I$505,"TRUE")+COUNTIFS('أرقام التواصل'!$A$6:$A$505,"proposed_name",'أرقام التواصل'!$B$6:$B$505,A171,'أرقام التواصل'!$C$6:$C$505,1))=0,"missing primary contact in أرقام التواصل; ","")&amp;IF(AND(U171="TRUE",V171=""),"duplicate_type required when duplicate_flag TRUE; ","")))))</f>
        <v/>
      </c>
    </row>
    <row r="172" spans="1:29">
      <c r="A172" s="36"/>
      <c r="B172" s="24"/>
      <c r="C172" s="25"/>
      <c r="D172" s="25"/>
      <c r="E172" s="25"/>
      <c r="F172" s="24"/>
      <c r="G172" s="25"/>
      <c r="H172" s="25"/>
      <c r="I172" s="25"/>
      <c r="J172" s="25"/>
      <c r="K172" s="25"/>
      <c r="L172" s="25"/>
      <c r="M172" s="25"/>
      <c r="N172" s="25" t="str">
        <f t="shared" si="2"/>
        <v/>
      </c>
      <c r="O172" s="25"/>
      <c r="P172" s="25"/>
      <c r="Q172" s="25"/>
      <c r="R172" s="25"/>
      <c r="S172" s="25"/>
      <c r="T172" s="25"/>
      <c r="U172" s="25"/>
      <c r="V172" s="25"/>
      <c r="W172" s="24"/>
      <c r="X172" s="24"/>
      <c r="Y172" s="25"/>
      <c r="Z172" s="25" t="str">
        <f>IF(B172="","",IFERROR(INDEX(الزبائن!$AZ$6:$AZ$505,MATCH(B172,الزبائن!$A$6:$A$505,0)),"source key not found"))</f>
        <v/>
      </c>
      <c r="AA172" s="25" t="str">
        <f>IF(B172="","",IFERROR(INDEX(الزبائن!$BA$6:$BA$505,MATCH(B172,الزبائن!$A$6:$A$505,0)),"source key not found"))</f>
        <v/>
      </c>
      <c r="AB172" s="25" t="str">
        <f>IF(AND(A172="",C172="",D172="",H172="",K172="",L172=""),"",IF(C172="skip","SKIP",IF(OR(A172="",C172="",D172="",H172="",K172="",L172="",S172="",COUNTIF($A$6:$A$505,A172)&gt;1,AND(B172&lt;&gt;"",COUNTIF(الزبائن!$A$6:$A$505,B172)=0),(COUNTIFS('أرقام التواصل'!$A$6:$A$505,"proposed_name",'أرقام التواصل'!$B$6:$B$505,A172,'أرقام التواصل'!$I$6:$I$505,"TRUE")+COUNTIFS('أرقام التواصل'!$A$6:$A$505,"proposed_name",'أرقام التواصل'!$B$6:$B$505,A172,'أرقام التواصل'!$C$6:$C$505,1))=0,AND(U172="TRUE",V172="")),"REVIEW","READY")))</f>
        <v/>
      </c>
      <c r="AC172" s="27" t="str">
        <f>IF(AB172="","",IF(AB172="READY","",IF(AB172="SKIP","Skipped by candidate_import_action",TRIM(IF(A172="","missing proposed_name_key; ","")&amp;IF(AND(A172&lt;&gt;"",COUNTIF($A$6:$A$505,A172)&gt;1),"duplicate proposed_name_key; ","")&amp;IF(C172="","missing candidate_import_action; ","")&amp;IF(D172="","missing move_reason; ","")&amp;IF(H172="","missing branch_id; ","")&amp;IF(K172="","missing first_name; ","")&amp;IF(L172="","missing last_name; ","")&amp;IF(S172="","missing status; ","")&amp;IF(AND(B172&lt;&gt;"",COUNTIF(الزبائن!$A$6:$A$505,B172)=0),"source key not found; ","")&amp;IF((COUNTIFS('أرقام التواصل'!$A$6:$A$505,"proposed_name",'أرقام التواصل'!$B$6:$B$505,A172,'أرقام التواصل'!$I$6:$I$505,"TRUE")+COUNTIFS('أرقام التواصل'!$A$6:$A$505,"proposed_name",'أرقام التواصل'!$B$6:$B$505,A172,'أرقام التواصل'!$C$6:$C$505,1))=0,"missing primary contact in أرقام التواصل; ","")&amp;IF(AND(U172="TRUE",V172=""),"duplicate_type required when duplicate_flag TRUE; ","")))))</f>
        <v/>
      </c>
    </row>
    <row r="173" spans="1:29">
      <c r="A173" s="36"/>
      <c r="B173" s="24"/>
      <c r="C173" s="25"/>
      <c r="D173" s="25"/>
      <c r="E173" s="25"/>
      <c r="F173" s="24"/>
      <c r="G173" s="25"/>
      <c r="H173" s="25"/>
      <c r="I173" s="25"/>
      <c r="J173" s="25"/>
      <c r="K173" s="25"/>
      <c r="L173" s="25"/>
      <c r="M173" s="25"/>
      <c r="N173" s="25" t="str">
        <f t="shared" si="2"/>
        <v/>
      </c>
      <c r="O173" s="25"/>
      <c r="P173" s="25"/>
      <c r="Q173" s="25"/>
      <c r="R173" s="25"/>
      <c r="S173" s="25"/>
      <c r="T173" s="25"/>
      <c r="U173" s="25"/>
      <c r="V173" s="25"/>
      <c r="W173" s="24"/>
      <c r="X173" s="24"/>
      <c r="Y173" s="25"/>
      <c r="Z173" s="25" t="str">
        <f>IF(B173="","",IFERROR(INDEX(الزبائن!$AZ$6:$AZ$505,MATCH(B173,الزبائن!$A$6:$A$505,0)),"source key not found"))</f>
        <v/>
      </c>
      <c r="AA173" s="25" t="str">
        <f>IF(B173="","",IFERROR(INDEX(الزبائن!$BA$6:$BA$505,MATCH(B173,الزبائن!$A$6:$A$505,0)),"source key not found"))</f>
        <v/>
      </c>
      <c r="AB173" s="25" t="str">
        <f>IF(AND(A173="",C173="",D173="",H173="",K173="",L173=""),"",IF(C173="skip","SKIP",IF(OR(A173="",C173="",D173="",H173="",K173="",L173="",S173="",COUNTIF($A$6:$A$505,A173)&gt;1,AND(B173&lt;&gt;"",COUNTIF(الزبائن!$A$6:$A$505,B173)=0),(COUNTIFS('أرقام التواصل'!$A$6:$A$505,"proposed_name",'أرقام التواصل'!$B$6:$B$505,A173,'أرقام التواصل'!$I$6:$I$505,"TRUE")+COUNTIFS('أرقام التواصل'!$A$6:$A$505,"proposed_name",'أرقام التواصل'!$B$6:$B$505,A173,'أرقام التواصل'!$C$6:$C$505,1))=0,AND(U173="TRUE",V173="")),"REVIEW","READY")))</f>
        <v/>
      </c>
      <c r="AC173" s="27" t="str">
        <f>IF(AB173="","",IF(AB173="READY","",IF(AB173="SKIP","Skipped by candidate_import_action",TRIM(IF(A173="","missing proposed_name_key; ","")&amp;IF(AND(A173&lt;&gt;"",COUNTIF($A$6:$A$505,A173)&gt;1),"duplicate proposed_name_key; ","")&amp;IF(C173="","missing candidate_import_action; ","")&amp;IF(D173="","missing move_reason; ","")&amp;IF(H173="","missing branch_id; ","")&amp;IF(K173="","missing first_name; ","")&amp;IF(L173="","missing last_name; ","")&amp;IF(S173="","missing status; ","")&amp;IF(AND(B173&lt;&gt;"",COUNTIF(الزبائن!$A$6:$A$505,B173)=0),"source key not found; ","")&amp;IF((COUNTIFS('أرقام التواصل'!$A$6:$A$505,"proposed_name",'أرقام التواصل'!$B$6:$B$505,A173,'أرقام التواصل'!$I$6:$I$505,"TRUE")+COUNTIFS('أرقام التواصل'!$A$6:$A$505,"proposed_name",'أرقام التواصل'!$B$6:$B$505,A173,'أرقام التواصل'!$C$6:$C$505,1))=0,"missing primary contact in أرقام التواصل; ","")&amp;IF(AND(U173="TRUE",V173=""),"duplicate_type required when duplicate_flag TRUE; ","")))))</f>
        <v/>
      </c>
    </row>
    <row r="174" spans="1:29">
      <c r="A174" s="36"/>
      <c r="B174" s="24"/>
      <c r="C174" s="25"/>
      <c r="D174" s="25"/>
      <c r="E174" s="25"/>
      <c r="F174" s="24"/>
      <c r="G174" s="25"/>
      <c r="H174" s="25"/>
      <c r="I174" s="25"/>
      <c r="J174" s="25"/>
      <c r="K174" s="25"/>
      <c r="L174" s="25"/>
      <c r="M174" s="25"/>
      <c r="N174" s="25" t="str">
        <f t="shared" si="2"/>
        <v/>
      </c>
      <c r="O174" s="25"/>
      <c r="P174" s="25"/>
      <c r="Q174" s="25"/>
      <c r="R174" s="25"/>
      <c r="S174" s="25"/>
      <c r="T174" s="25"/>
      <c r="U174" s="25"/>
      <c r="V174" s="25"/>
      <c r="W174" s="24"/>
      <c r="X174" s="24"/>
      <c r="Y174" s="25"/>
      <c r="Z174" s="25" t="str">
        <f>IF(B174="","",IFERROR(INDEX(الزبائن!$AZ$6:$AZ$505,MATCH(B174,الزبائن!$A$6:$A$505,0)),"source key not found"))</f>
        <v/>
      </c>
      <c r="AA174" s="25" t="str">
        <f>IF(B174="","",IFERROR(INDEX(الزبائن!$BA$6:$BA$505,MATCH(B174,الزبائن!$A$6:$A$505,0)),"source key not found"))</f>
        <v/>
      </c>
      <c r="AB174" s="25" t="str">
        <f>IF(AND(A174="",C174="",D174="",H174="",K174="",L174=""),"",IF(C174="skip","SKIP",IF(OR(A174="",C174="",D174="",H174="",K174="",L174="",S174="",COUNTIF($A$6:$A$505,A174)&gt;1,AND(B174&lt;&gt;"",COUNTIF(الزبائن!$A$6:$A$505,B174)=0),(COUNTIFS('أرقام التواصل'!$A$6:$A$505,"proposed_name",'أرقام التواصل'!$B$6:$B$505,A174,'أرقام التواصل'!$I$6:$I$505,"TRUE")+COUNTIFS('أرقام التواصل'!$A$6:$A$505,"proposed_name",'أرقام التواصل'!$B$6:$B$505,A174,'أرقام التواصل'!$C$6:$C$505,1))=0,AND(U174="TRUE",V174="")),"REVIEW","READY")))</f>
        <v/>
      </c>
      <c r="AC174" s="27" t="str">
        <f>IF(AB174="","",IF(AB174="READY","",IF(AB174="SKIP","Skipped by candidate_import_action",TRIM(IF(A174="","missing proposed_name_key; ","")&amp;IF(AND(A174&lt;&gt;"",COUNTIF($A$6:$A$505,A174)&gt;1),"duplicate proposed_name_key; ","")&amp;IF(C174="","missing candidate_import_action; ","")&amp;IF(D174="","missing move_reason; ","")&amp;IF(H174="","missing branch_id; ","")&amp;IF(K174="","missing first_name; ","")&amp;IF(L174="","missing last_name; ","")&amp;IF(S174="","missing status; ","")&amp;IF(AND(B174&lt;&gt;"",COUNTIF(الزبائن!$A$6:$A$505,B174)=0),"source key not found; ","")&amp;IF((COUNTIFS('أرقام التواصل'!$A$6:$A$505,"proposed_name",'أرقام التواصل'!$B$6:$B$505,A174,'أرقام التواصل'!$I$6:$I$505,"TRUE")+COUNTIFS('أرقام التواصل'!$A$6:$A$505,"proposed_name",'أرقام التواصل'!$B$6:$B$505,A174,'أرقام التواصل'!$C$6:$C$505,1))=0,"missing primary contact in أرقام التواصل; ","")&amp;IF(AND(U174="TRUE",V174=""),"duplicate_type required when duplicate_flag TRUE; ","")))))</f>
        <v/>
      </c>
    </row>
    <row r="175" spans="1:29">
      <c r="A175" s="36"/>
      <c r="B175" s="24"/>
      <c r="C175" s="25"/>
      <c r="D175" s="25"/>
      <c r="E175" s="25"/>
      <c r="F175" s="24"/>
      <c r="G175" s="25"/>
      <c r="H175" s="25"/>
      <c r="I175" s="25"/>
      <c r="J175" s="25"/>
      <c r="K175" s="25"/>
      <c r="L175" s="25"/>
      <c r="M175" s="25"/>
      <c r="N175" s="25" t="str">
        <f t="shared" si="2"/>
        <v/>
      </c>
      <c r="O175" s="25"/>
      <c r="P175" s="25"/>
      <c r="Q175" s="25"/>
      <c r="R175" s="25"/>
      <c r="S175" s="25"/>
      <c r="T175" s="25"/>
      <c r="U175" s="25"/>
      <c r="V175" s="25"/>
      <c r="W175" s="24"/>
      <c r="X175" s="24"/>
      <c r="Y175" s="25"/>
      <c r="Z175" s="25" t="str">
        <f>IF(B175="","",IFERROR(INDEX(الزبائن!$AZ$6:$AZ$505,MATCH(B175,الزبائن!$A$6:$A$505,0)),"source key not found"))</f>
        <v/>
      </c>
      <c r="AA175" s="25" t="str">
        <f>IF(B175="","",IFERROR(INDEX(الزبائن!$BA$6:$BA$505,MATCH(B175,الزبائن!$A$6:$A$505,0)),"source key not found"))</f>
        <v/>
      </c>
      <c r="AB175" s="25" t="str">
        <f>IF(AND(A175="",C175="",D175="",H175="",K175="",L175=""),"",IF(C175="skip","SKIP",IF(OR(A175="",C175="",D175="",H175="",K175="",L175="",S175="",COUNTIF($A$6:$A$505,A175)&gt;1,AND(B175&lt;&gt;"",COUNTIF(الزبائن!$A$6:$A$505,B175)=0),(COUNTIFS('أرقام التواصل'!$A$6:$A$505,"proposed_name",'أرقام التواصل'!$B$6:$B$505,A175,'أرقام التواصل'!$I$6:$I$505,"TRUE")+COUNTIFS('أرقام التواصل'!$A$6:$A$505,"proposed_name",'أرقام التواصل'!$B$6:$B$505,A175,'أرقام التواصل'!$C$6:$C$505,1))=0,AND(U175="TRUE",V175="")),"REVIEW","READY")))</f>
        <v/>
      </c>
      <c r="AC175" s="27" t="str">
        <f>IF(AB175="","",IF(AB175="READY","",IF(AB175="SKIP","Skipped by candidate_import_action",TRIM(IF(A175="","missing proposed_name_key; ","")&amp;IF(AND(A175&lt;&gt;"",COUNTIF($A$6:$A$505,A175)&gt;1),"duplicate proposed_name_key; ","")&amp;IF(C175="","missing candidate_import_action; ","")&amp;IF(D175="","missing move_reason; ","")&amp;IF(H175="","missing branch_id; ","")&amp;IF(K175="","missing first_name; ","")&amp;IF(L175="","missing last_name; ","")&amp;IF(S175="","missing status; ","")&amp;IF(AND(B175&lt;&gt;"",COUNTIF(الزبائن!$A$6:$A$505,B175)=0),"source key not found; ","")&amp;IF((COUNTIFS('أرقام التواصل'!$A$6:$A$505,"proposed_name",'أرقام التواصل'!$B$6:$B$505,A175,'أرقام التواصل'!$I$6:$I$505,"TRUE")+COUNTIFS('أرقام التواصل'!$A$6:$A$505,"proposed_name",'أرقام التواصل'!$B$6:$B$505,A175,'أرقام التواصل'!$C$6:$C$505,1))=0,"missing primary contact in أرقام التواصل; ","")&amp;IF(AND(U175="TRUE",V175=""),"duplicate_type required when duplicate_flag TRUE; ","")))))</f>
        <v/>
      </c>
    </row>
    <row r="176" spans="1:29">
      <c r="A176" s="36"/>
      <c r="B176" s="24"/>
      <c r="C176" s="25"/>
      <c r="D176" s="25"/>
      <c r="E176" s="25"/>
      <c r="F176" s="24"/>
      <c r="G176" s="25"/>
      <c r="H176" s="25"/>
      <c r="I176" s="25"/>
      <c r="J176" s="25"/>
      <c r="K176" s="25"/>
      <c r="L176" s="25"/>
      <c r="M176" s="25"/>
      <c r="N176" s="25" t="str">
        <f t="shared" si="2"/>
        <v/>
      </c>
      <c r="O176" s="25"/>
      <c r="P176" s="25"/>
      <c r="Q176" s="25"/>
      <c r="R176" s="25"/>
      <c r="S176" s="25"/>
      <c r="T176" s="25"/>
      <c r="U176" s="25"/>
      <c r="V176" s="25"/>
      <c r="W176" s="24"/>
      <c r="X176" s="24"/>
      <c r="Y176" s="25"/>
      <c r="Z176" s="25" t="str">
        <f>IF(B176="","",IFERROR(INDEX(الزبائن!$AZ$6:$AZ$505,MATCH(B176,الزبائن!$A$6:$A$505,0)),"source key not found"))</f>
        <v/>
      </c>
      <c r="AA176" s="25" t="str">
        <f>IF(B176="","",IFERROR(INDEX(الزبائن!$BA$6:$BA$505,MATCH(B176,الزبائن!$A$6:$A$505,0)),"source key not found"))</f>
        <v/>
      </c>
      <c r="AB176" s="25" t="str">
        <f>IF(AND(A176="",C176="",D176="",H176="",K176="",L176=""),"",IF(C176="skip","SKIP",IF(OR(A176="",C176="",D176="",H176="",K176="",L176="",S176="",COUNTIF($A$6:$A$505,A176)&gt;1,AND(B176&lt;&gt;"",COUNTIF(الزبائن!$A$6:$A$505,B176)=0),(COUNTIFS('أرقام التواصل'!$A$6:$A$505,"proposed_name",'أرقام التواصل'!$B$6:$B$505,A176,'أرقام التواصل'!$I$6:$I$505,"TRUE")+COUNTIFS('أرقام التواصل'!$A$6:$A$505,"proposed_name",'أرقام التواصل'!$B$6:$B$505,A176,'أرقام التواصل'!$C$6:$C$505,1))=0,AND(U176="TRUE",V176="")),"REVIEW","READY")))</f>
        <v/>
      </c>
      <c r="AC176" s="27" t="str">
        <f>IF(AB176="","",IF(AB176="READY","",IF(AB176="SKIP","Skipped by candidate_import_action",TRIM(IF(A176="","missing proposed_name_key; ","")&amp;IF(AND(A176&lt;&gt;"",COUNTIF($A$6:$A$505,A176)&gt;1),"duplicate proposed_name_key; ","")&amp;IF(C176="","missing candidate_import_action; ","")&amp;IF(D176="","missing move_reason; ","")&amp;IF(H176="","missing branch_id; ","")&amp;IF(K176="","missing first_name; ","")&amp;IF(L176="","missing last_name; ","")&amp;IF(S176="","missing status; ","")&amp;IF(AND(B176&lt;&gt;"",COUNTIF(الزبائن!$A$6:$A$505,B176)=0),"source key not found; ","")&amp;IF((COUNTIFS('أرقام التواصل'!$A$6:$A$505,"proposed_name",'أرقام التواصل'!$B$6:$B$505,A176,'أرقام التواصل'!$I$6:$I$505,"TRUE")+COUNTIFS('أرقام التواصل'!$A$6:$A$505,"proposed_name",'أرقام التواصل'!$B$6:$B$505,A176,'أرقام التواصل'!$C$6:$C$505,1))=0,"missing primary contact in أرقام التواصل; ","")&amp;IF(AND(U176="TRUE",V176=""),"duplicate_type required when duplicate_flag TRUE; ","")))))</f>
        <v/>
      </c>
    </row>
    <row r="177" spans="1:29">
      <c r="A177" s="36"/>
      <c r="B177" s="24"/>
      <c r="C177" s="25"/>
      <c r="D177" s="25"/>
      <c r="E177" s="25"/>
      <c r="F177" s="24"/>
      <c r="G177" s="25"/>
      <c r="H177" s="25"/>
      <c r="I177" s="25"/>
      <c r="J177" s="25"/>
      <c r="K177" s="25"/>
      <c r="L177" s="25"/>
      <c r="M177" s="25"/>
      <c r="N177" s="25" t="str">
        <f t="shared" si="2"/>
        <v/>
      </c>
      <c r="O177" s="25"/>
      <c r="P177" s="25"/>
      <c r="Q177" s="25"/>
      <c r="R177" s="25"/>
      <c r="S177" s="25"/>
      <c r="T177" s="25"/>
      <c r="U177" s="25"/>
      <c r="V177" s="25"/>
      <c r="W177" s="24"/>
      <c r="X177" s="24"/>
      <c r="Y177" s="25"/>
      <c r="Z177" s="25" t="str">
        <f>IF(B177="","",IFERROR(INDEX(الزبائن!$AZ$6:$AZ$505,MATCH(B177,الزبائن!$A$6:$A$505,0)),"source key not found"))</f>
        <v/>
      </c>
      <c r="AA177" s="25" t="str">
        <f>IF(B177="","",IFERROR(INDEX(الزبائن!$BA$6:$BA$505,MATCH(B177,الزبائن!$A$6:$A$505,0)),"source key not found"))</f>
        <v/>
      </c>
      <c r="AB177" s="25" t="str">
        <f>IF(AND(A177="",C177="",D177="",H177="",K177="",L177=""),"",IF(C177="skip","SKIP",IF(OR(A177="",C177="",D177="",H177="",K177="",L177="",S177="",COUNTIF($A$6:$A$505,A177)&gt;1,AND(B177&lt;&gt;"",COUNTIF(الزبائن!$A$6:$A$505,B177)=0),(COUNTIFS('أرقام التواصل'!$A$6:$A$505,"proposed_name",'أرقام التواصل'!$B$6:$B$505,A177,'أرقام التواصل'!$I$6:$I$505,"TRUE")+COUNTIFS('أرقام التواصل'!$A$6:$A$505,"proposed_name",'أرقام التواصل'!$B$6:$B$505,A177,'أرقام التواصل'!$C$6:$C$505,1))=0,AND(U177="TRUE",V177="")),"REVIEW","READY")))</f>
        <v/>
      </c>
      <c r="AC177" s="27" t="str">
        <f>IF(AB177="","",IF(AB177="READY","",IF(AB177="SKIP","Skipped by candidate_import_action",TRIM(IF(A177="","missing proposed_name_key; ","")&amp;IF(AND(A177&lt;&gt;"",COUNTIF($A$6:$A$505,A177)&gt;1),"duplicate proposed_name_key; ","")&amp;IF(C177="","missing candidate_import_action; ","")&amp;IF(D177="","missing move_reason; ","")&amp;IF(H177="","missing branch_id; ","")&amp;IF(K177="","missing first_name; ","")&amp;IF(L177="","missing last_name; ","")&amp;IF(S177="","missing status; ","")&amp;IF(AND(B177&lt;&gt;"",COUNTIF(الزبائن!$A$6:$A$505,B177)=0),"source key not found; ","")&amp;IF((COUNTIFS('أرقام التواصل'!$A$6:$A$505,"proposed_name",'أرقام التواصل'!$B$6:$B$505,A177,'أرقام التواصل'!$I$6:$I$505,"TRUE")+COUNTIFS('أرقام التواصل'!$A$6:$A$505,"proposed_name",'أرقام التواصل'!$B$6:$B$505,A177,'أرقام التواصل'!$C$6:$C$505,1))=0,"missing primary contact in أرقام التواصل; ","")&amp;IF(AND(U177="TRUE",V177=""),"duplicate_type required when duplicate_flag TRUE; ","")))))</f>
        <v/>
      </c>
    </row>
    <row r="178" spans="1:29">
      <c r="A178" s="36"/>
      <c r="B178" s="24"/>
      <c r="C178" s="25"/>
      <c r="D178" s="25"/>
      <c r="E178" s="25"/>
      <c r="F178" s="24"/>
      <c r="G178" s="25"/>
      <c r="H178" s="25"/>
      <c r="I178" s="25"/>
      <c r="J178" s="25"/>
      <c r="K178" s="25"/>
      <c r="L178" s="25"/>
      <c r="M178" s="25"/>
      <c r="N178" s="25" t="str">
        <f t="shared" si="2"/>
        <v/>
      </c>
      <c r="O178" s="25"/>
      <c r="P178" s="25"/>
      <c r="Q178" s="25"/>
      <c r="R178" s="25"/>
      <c r="S178" s="25"/>
      <c r="T178" s="25"/>
      <c r="U178" s="25"/>
      <c r="V178" s="25"/>
      <c r="W178" s="24"/>
      <c r="X178" s="24"/>
      <c r="Y178" s="25"/>
      <c r="Z178" s="25" t="str">
        <f>IF(B178="","",IFERROR(INDEX(الزبائن!$AZ$6:$AZ$505,MATCH(B178,الزبائن!$A$6:$A$505,0)),"source key not found"))</f>
        <v/>
      </c>
      <c r="AA178" s="25" t="str">
        <f>IF(B178="","",IFERROR(INDEX(الزبائن!$BA$6:$BA$505,MATCH(B178,الزبائن!$A$6:$A$505,0)),"source key not found"))</f>
        <v/>
      </c>
      <c r="AB178" s="25" t="str">
        <f>IF(AND(A178="",C178="",D178="",H178="",K178="",L178=""),"",IF(C178="skip","SKIP",IF(OR(A178="",C178="",D178="",H178="",K178="",L178="",S178="",COUNTIF($A$6:$A$505,A178)&gt;1,AND(B178&lt;&gt;"",COUNTIF(الزبائن!$A$6:$A$505,B178)=0),(COUNTIFS('أرقام التواصل'!$A$6:$A$505,"proposed_name",'أرقام التواصل'!$B$6:$B$505,A178,'أرقام التواصل'!$I$6:$I$505,"TRUE")+COUNTIFS('أرقام التواصل'!$A$6:$A$505,"proposed_name",'أرقام التواصل'!$B$6:$B$505,A178,'أرقام التواصل'!$C$6:$C$505,1))=0,AND(U178="TRUE",V178="")),"REVIEW","READY")))</f>
        <v/>
      </c>
      <c r="AC178" s="27" t="str">
        <f>IF(AB178="","",IF(AB178="READY","",IF(AB178="SKIP","Skipped by candidate_import_action",TRIM(IF(A178="","missing proposed_name_key; ","")&amp;IF(AND(A178&lt;&gt;"",COUNTIF($A$6:$A$505,A178)&gt;1),"duplicate proposed_name_key; ","")&amp;IF(C178="","missing candidate_import_action; ","")&amp;IF(D178="","missing move_reason; ","")&amp;IF(H178="","missing branch_id; ","")&amp;IF(K178="","missing first_name; ","")&amp;IF(L178="","missing last_name; ","")&amp;IF(S178="","missing status; ","")&amp;IF(AND(B178&lt;&gt;"",COUNTIF(الزبائن!$A$6:$A$505,B178)=0),"source key not found; ","")&amp;IF((COUNTIFS('أرقام التواصل'!$A$6:$A$505,"proposed_name",'أرقام التواصل'!$B$6:$B$505,A178,'أرقام التواصل'!$I$6:$I$505,"TRUE")+COUNTIFS('أرقام التواصل'!$A$6:$A$505,"proposed_name",'أرقام التواصل'!$B$6:$B$505,A178,'أرقام التواصل'!$C$6:$C$505,1))=0,"missing primary contact in أرقام التواصل; ","")&amp;IF(AND(U178="TRUE",V178=""),"duplicate_type required when duplicate_flag TRUE; ","")))))</f>
        <v/>
      </c>
    </row>
    <row r="179" spans="1:29">
      <c r="A179" s="36"/>
      <c r="B179" s="24"/>
      <c r="C179" s="25"/>
      <c r="D179" s="25"/>
      <c r="E179" s="25"/>
      <c r="F179" s="24"/>
      <c r="G179" s="25"/>
      <c r="H179" s="25"/>
      <c r="I179" s="25"/>
      <c r="J179" s="25"/>
      <c r="K179" s="25"/>
      <c r="L179" s="25"/>
      <c r="M179" s="25"/>
      <c r="N179" s="25" t="str">
        <f t="shared" si="2"/>
        <v/>
      </c>
      <c r="O179" s="25"/>
      <c r="P179" s="25"/>
      <c r="Q179" s="25"/>
      <c r="R179" s="25"/>
      <c r="S179" s="25"/>
      <c r="T179" s="25"/>
      <c r="U179" s="25"/>
      <c r="V179" s="25"/>
      <c r="W179" s="24"/>
      <c r="X179" s="24"/>
      <c r="Y179" s="25"/>
      <c r="Z179" s="25" t="str">
        <f>IF(B179="","",IFERROR(INDEX(الزبائن!$AZ$6:$AZ$505,MATCH(B179,الزبائن!$A$6:$A$505,0)),"source key not found"))</f>
        <v/>
      </c>
      <c r="AA179" s="25" t="str">
        <f>IF(B179="","",IFERROR(INDEX(الزبائن!$BA$6:$BA$505,MATCH(B179,الزبائن!$A$6:$A$505,0)),"source key not found"))</f>
        <v/>
      </c>
      <c r="AB179" s="25" t="str">
        <f>IF(AND(A179="",C179="",D179="",H179="",K179="",L179=""),"",IF(C179="skip","SKIP",IF(OR(A179="",C179="",D179="",H179="",K179="",L179="",S179="",COUNTIF($A$6:$A$505,A179)&gt;1,AND(B179&lt;&gt;"",COUNTIF(الزبائن!$A$6:$A$505,B179)=0),(COUNTIFS('أرقام التواصل'!$A$6:$A$505,"proposed_name",'أرقام التواصل'!$B$6:$B$505,A179,'أرقام التواصل'!$I$6:$I$505,"TRUE")+COUNTIFS('أرقام التواصل'!$A$6:$A$505,"proposed_name",'أرقام التواصل'!$B$6:$B$505,A179,'أرقام التواصل'!$C$6:$C$505,1))=0,AND(U179="TRUE",V179="")),"REVIEW","READY")))</f>
        <v/>
      </c>
      <c r="AC179" s="27" t="str">
        <f>IF(AB179="","",IF(AB179="READY","",IF(AB179="SKIP","Skipped by candidate_import_action",TRIM(IF(A179="","missing proposed_name_key; ","")&amp;IF(AND(A179&lt;&gt;"",COUNTIF($A$6:$A$505,A179)&gt;1),"duplicate proposed_name_key; ","")&amp;IF(C179="","missing candidate_import_action; ","")&amp;IF(D179="","missing move_reason; ","")&amp;IF(H179="","missing branch_id; ","")&amp;IF(K179="","missing first_name; ","")&amp;IF(L179="","missing last_name; ","")&amp;IF(S179="","missing status; ","")&amp;IF(AND(B179&lt;&gt;"",COUNTIF(الزبائن!$A$6:$A$505,B179)=0),"source key not found; ","")&amp;IF((COUNTIFS('أرقام التواصل'!$A$6:$A$505,"proposed_name",'أرقام التواصل'!$B$6:$B$505,A179,'أرقام التواصل'!$I$6:$I$505,"TRUE")+COUNTIFS('أرقام التواصل'!$A$6:$A$505,"proposed_name",'أرقام التواصل'!$B$6:$B$505,A179,'أرقام التواصل'!$C$6:$C$505,1))=0,"missing primary contact in أرقام التواصل; ","")&amp;IF(AND(U179="TRUE",V179=""),"duplicate_type required when duplicate_flag TRUE; ","")))))</f>
        <v/>
      </c>
    </row>
    <row r="180" spans="1:29">
      <c r="A180" s="36"/>
      <c r="B180" s="24"/>
      <c r="C180" s="25"/>
      <c r="D180" s="25"/>
      <c r="E180" s="25"/>
      <c r="F180" s="24"/>
      <c r="G180" s="25"/>
      <c r="H180" s="25"/>
      <c r="I180" s="25"/>
      <c r="J180" s="25"/>
      <c r="K180" s="25"/>
      <c r="L180" s="25"/>
      <c r="M180" s="25"/>
      <c r="N180" s="25" t="str">
        <f t="shared" si="2"/>
        <v/>
      </c>
      <c r="O180" s="25"/>
      <c r="P180" s="25"/>
      <c r="Q180" s="25"/>
      <c r="R180" s="25"/>
      <c r="S180" s="25"/>
      <c r="T180" s="25"/>
      <c r="U180" s="25"/>
      <c r="V180" s="25"/>
      <c r="W180" s="24"/>
      <c r="X180" s="24"/>
      <c r="Y180" s="25"/>
      <c r="Z180" s="25" t="str">
        <f>IF(B180="","",IFERROR(INDEX(الزبائن!$AZ$6:$AZ$505,MATCH(B180,الزبائن!$A$6:$A$505,0)),"source key not found"))</f>
        <v/>
      </c>
      <c r="AA180" s="25" t="str">
        <f>IF(B180="","",IFERROR(INDEX(الزبائن!$BA$6:$BA$505,MATCH(B180,الزبائن!$A$6:$A$505,0)),"source key not found"))</f>
        <v/>
      </c>
      <c r="AB180" s="25" t="str">
        <f>IF(AND(A180="",C180="",D180="",H180="",K180="",L180=""),"",IF(C180="skip","SKIP",IF(OR(A180="",C180="",D180="",H180="",K180="",L180="",S180="",COUNTIF($A$6:$A$505,A180)&gt;1,AND(B180&lt;&gt;"",COUNTIF(الزبائن!$A$6:$A$505,B180)=0),(COUNTIFS('أرقام التواصل'!$A$6:$A$505,"proposed_name",'أرقام التواصل'!$B$6:$B$505,A180,'أرقام التواصل'!$I$6:$I$505,"TRUE")+COUNTIFS('أرقام التواصل'!$A$6:$A$505,"proposed_name",'أرقام التواصل'!$B$6:$B$505,A180,'أرقام التواصل'!$C$6:$C$505,1))=0,AND(U180="TRUE",V180="")),"REVIEW","READY")))</f>
        <v/>
      </c>
      <c r="AC180" s="27" t="str">
        <f>IF(AB180="","",IF(AB180="READY","",IF(AB180="SKIP","Skipped by candidate_import_action",TRIM(IF(A180="","missing proposed_name_key; ","")&amp;IF(AND(A180&lt;&gt;"",COUNTIF($A$6:$A$505,A180)&gt;1),"duplicate proposed_name_key; ","")&amp;IF(C180="","missing candidate_import_action; ","")&amp;IF(D180="","missing move_reason; ","")&amp;IF(H180="","missing branch_id; ","")&amp;IF(K180="","missing first_name; ","")&amp;IF(L180="","missing last_name; ","")&amp;IF(S180="","missing status; ","")&amp;IF(AND(B180&lt;&gt;"",COUNTIF(الزبائن!$A$6:$A$505,B180)=0),"source key not found; ","")&amp;IF((COUNTIFS('أرقام التواصل'!$A$6:$A$505,"proposed_name",'أرقام التواصل'!$B$6:$B$505,A180,'أرقام التواصل'!$I$6:$I$505,"TRUE")+COUNTIFS('أرقام التواصل'!$A$6:$A$505,"proposed_name",'أرقام التواصل'!$B$6:$B$505,A180,'أرقام التواصل'!$C$6:$C$505,1))=0,"missing primary contact in أرقام التواصل; ","")&amp;IF(AND(U180="TRUE",V180=""),"duplicate_type required when duplicate_flag TRUE; ","")))))</f>
        <v/>
      </c>
    </row>
    <row r="181" spans="1:29">
      <c r="A181" s="36"/>
      <c r="B181" s="24"/>
      <c r="C181" s="25"/>
      <c r="D181" s="25"/>
      <c r="E181" s="25"/>
      <c r="F181" s="24"/>
      <c r="G181" s="25"/>
      <c r="H181" s="25"/>
      <c r="I181" s="25"/>
      <c r="J181" s="25"/>
      <c r="K181" s="25"/>
      <c r="L181" s="25"/>
      <c r="M181" s="25"/>
      <c r="N181" s="25" t="str">
        <f t="shared" si="2"/>
        <v/>
      </c>
      <c r="O181" s="25"/>
      <c r="P181" s="25"/>
      <c r="Q181" s="25"/>
      <c r="R181" s="25"/>
      <c r="S181" s="25"/>
      <c r="T181" s="25"/>
      <c r="U181" s="25"/>
      <c r="V181" s="25"/>
      <c r="W181" s="24"/>
      <c r="X181" s="24"/>
      <c r="Y181" s="25"/>
      <c r="Z181" s="25" t="str">
        <f>IF(B181="","",IFERROR(INDEX(الزبائن!$AZ$6:$AZ$505,MATCH(B181,الزبائن!$A$6:$A$505,0)),"source key not found"))</f>
        <v/>
      </c>
      <c r="AA181" s="25" t="str">
        <f>IF(B181="","",IFERROR(INDEX(الزبائن!$BA$6:$BA$505,MATCH(B181,الزبائن!$A$6:$A$505,0)),"source key not found"))</f>
        <v/>
      </c>
      <c r="AB181" s="25" t="str">
        <f>IF(AND(A181="",C181="",D181="",H181="",K181="",L181=""),"",IF(C181="skip","SKIP",IF(OR(A181="",C181="",D181="",H181="",K181="",L181="",S181="",COUNTIF($A$6:$A$505,A181)&gt;1,AND(B181&lt;&gt;"",COUNTIF(الزبائن!$A$6:$A$505,B181)=0),(COUNTIFS('أرقام التواصل'!$A$6:$A$505,"proposed_name",'أرقام التواصل'!$B$6:$B$505,A181,'أرقام التواصل'!$I$6:$I$505,"TRUE")+COUNTIFS('أرقام التواصل'!$A$6:$A$505,"proposed_name",'أرقام التواصل'!$B$6:$B$505,A181,'أرقام التواصل'!$C$6:$C$505,1))=0,AND(U181="TRUE",V181="")),"REVIEW","READY")))</f>
        <v/>
      </c>
      <c r="AC181" s="27" t="str">
        <f>IF(AB181="","",IF(AB181="READY","",IF(AB181="SKIP","Skipped by candidate_import_action",TRIM(IF(A181="","missing proposed_name_key; ","")&amp;IF(AND(A181&lt;&gt;"",COUNTIF($A$6:$A$505,A181)&gt;1),"duplicate proposed_name_key; ","")&amp;IF(C181="","missing candidate_import_action; ","")&amp;IF(D181="","missing move_reason; ","")&amp;IF(H181="","missing branch_id; ","")&amp;IF(K181="","missing first_name; ","")&amp;IF(L181="","missing last_name; ","")&amp;IF(S181="","missing status; ","")&amp;IF(AND(B181&lt;&gt;"",COUNTIF(الزبائن!$A$6:$A$505,B181)=0),"source key not found; ","")&amp;IF((COUNTIFS('أرقام التواصل'!$A$6:$A$505,"proposed_name",'أرقام التواصل'!$B$6:$B$505,A181,'أرقام التواصل'!$I$6:$I$505,"TRUE")+COUNTIFS('أرقام التواصل'!$A$6:$A$505,"proposed_name",'أرقام التواصل'!$B$6:$B$505,A181,'أرقام التواصل'!$C$6:$C$505,1))=0,"missing primary contact in أرقام التواصل; ","")&amp;IF(AND(U181="TRUE",V181=""),"duplicate_type required when duplicate_flag TRUE; ","")))))</f>
        <v/>
      </c>
    </row>
    <row r="182" spans="1:29">
      <c r="A182" s="36"/>
      <c r="B182" s="24"/>
      <c r="C182" s="25"/>
      <c r="D182" s="25"/>
      <c r="E182" s="25"/>
      <c r="F182" s="24"/>
      <c r="G182" s="25"/>
      <c r="H182" s="25"/>
      <c r="I182" s="25"/>
      <c r="J182" s="25"/>
      <c r="K182" s="25"/>
      <c r="L182" s="25"/>
      <c r="M182" s="25"/>
      <c r="N182" s="25" t="str">
        <f t="shared" si="2"/>
        <v/>
      </c>
      <c r="O182" s="25"/>
      <c r="P182" s="25"/>
      <c r="Q182" s="25"/>
      <c r="R182" s="25"/>
      <c r="S182" s="25"/>
      <c r="T182" s="25"/>
      <c r="U182" s="25"/>
      <c r="V182" s="25"/>
      <c r="W182" s="24"/>
      <c r="X182" s="24"/>
      <c r="Y182" s="25"/>
      <c r="Z182" s="25" t="str">
        <f>IF(B182="","",IFERROR(INDEX(الزبائن!$AZ$6:$AZ$505,MATCH(B182,الزبائن!$A$6:$A$505,0)),"source key not found"))</f>
        <v/>
      </c>
      <c r="AA182" s="25" t="str">
        <f>IF(B182="","",IFERROR(INDEX(الزبائن!$BA$6:$BA$505,MATCH(B182,الزبائن!$A$6:$A$505,0)),"source key not found"))</f>
        <v/>
      </c>
      <c r="AB182" s="25" t="str">
        <f>IF(AND(A182="",C182="",D182="",H182="",K182="",L182=""),"",IF(C182="skip","SKIP",IF(OR(A182="",C182="",D182="",H182="",K182="",L182="",S182="",COUNTIF($A$6:$A$505,A182)&gt;1,AND(B182&lt;&gt;"",COUNTIF(الزبائن!$A$6:$A$505,B182)=0),(COUNTIFS('أرقام التواصل'!$A$6:$A$505,"proposed_name",'أرقام التواصل'!$B$6:$B$505,A182,'أرقام التواصل'!$I$6:$I$505,"TRUE")+COUNTIFS('أرقام التواصل'!$A$6:$A$505,"proposed_name",'أرقام التواصل'!$B$6:$B$505,A182,'أرقام التواصل'!$C$6:$C$505,1))=0,AND(U182="TRUE",V182="")),"REVIEW","READY")))</f>
        <v/>
      </c>
      <c r="AC182" s="27" t="str">
        <f>IF(AB182="","",IF(AB182="READY","",IF(AB182="SKIP","Skipped by candidate_import_action",TRIM(IF(A182="","missing proposed_name_key; ","")&amp;IF(AND(A182&lt;&gt;"",COUNTIF($A$6:$A$505,A182)&gt;1),"duplicate proposed_name_key; ","")&amp;IF(C182="","missing candidate_import_action; ","")&amp;IF(D182="","missing move_reason; ","")&amp;IF(H182="","missing branch_id; ","")&amp;IF(K182="","missing first_name; ","")&amp;IF(L182="","missing last_name; ","")&amp;IF(S182="","missing status; ","")&amp;IF(AND(B182&lt;&gt;"",COUNTIF(الزبائن!$A$6:$A$505,B182)=0),"source key not found; ","")&amp;IF((COUNTIFS('أرقام التواصل'!$A$6:$A$505,"proposed_name",'أرقام التواصل'!$B$6:$B$505,A182,'أرقام التواصل'!$I$6:$I$505,"TRUE")+COUNTIFS('أرقام التواصل'!$A$6:$A$505,"proposed_name",'أرقام التواصل'!$B$6:$B$505,A182,'أرقام التواصل'!$C$6:$C$505,1))=0,"missing primary contact in أرقام التواصل; ","")&amp;IF(AND(U182="TRUE",V182=""),"duplicate_type required when duplicate_flag TRUE; ","")))))</f>
        <v/>
      </c>
    </row>
    <row r="183" spans="1:29">
      <c r="A183" s="36"/>
      <c r="B183" s="24"/>
      <c r="C183" s="25"/>
      <c r="D183" s="25"/>
      <c r="E183" s="25"/>
      <c r="F183" s="24"/>
      <c r="G183" s="25"/>
      <c r="H183" s="25"/>
      <c r="I183" s="25"/>
      <c r="J183" s="25"/>
      <c r="K183" s="25"/>
      <c r="L183" s="25"/>
      <c r="M183" s="25"/>
      <c r="N183" s="25" t="str">
        <f t="shared" si="2"/>
        <v/>
      </c>
      <c r="O183" s="25"/>
      <c r="P183" s="25"/>
      <c r="Q183" s="25"/>
      <c r="R183" s="25"/>
      <c r="S183" s="25"/>
      <c r="T183" s="25"/>
      <c r="U183" s="25"/>
      <c r="V183" s="25"/>
      <c r="W183" s="24"/>
      <c r="X183" s="24"/>
      <c r="Y183" s="25"/>
      <c r="Z183" s="25" t="str">
        <f>IF(B183="","",IFERROR(INDEX(الزبائن!$AZ$6:$AZ$505,MATCH(B183,الزبائن!$A$6:$A$505,0)),"source key not found"))</f>
        <v/>
      </c>
      <c r="AA183" s="25" t="str">
        <f>IF(B183="","",IFERROR(INDEX(الزبائن!$BA$6:$BA$505,MATCH(B183,الزبائن!$A$6:$A$505,0)),"source key not found"))</f>
        <v/>
      </c>
      <c r="AB183" s="25" t="str">
        <f>IF(AND(A183="",C183="",D183="",H183="",K183="",L183=""),"",IF(C183="skip","SKIP",IF(OR(A183="",C183="",D183="",H183="",K183="",L183="",S183="",COUNTIF($A$6:$A$505,A183)&gt;1,AND(B183&lt;&gt;"",COUNTIF(الزبائن!$A$6:$A$505,B183)=0),(COUNTIFS('أرقام التواصل'!$A$6:$A$505,"proposed_name",'أرقام التواصل'!$B$6:$B$505,A183,'أرقام التواصل'!$I$6:$I$505,"TRUE")+COUNTIFS('أرقام التواصل'!$A$6:$A$505,"proposed_name",'أرقام التواصل'!$B$6:$B$505,A183,'أرقام التواصل'!$C$6:$C$505,1))=0,AND(U183="TRUE",V183="")),"REVIEW","READY")))</f>
        <v/>
      </c>
      <c r="AC183" s="27" t="str">
        <f>IF(AB183="","",IF(AB183="READY","",IF(AB183="SKIP","Skipped by candidate_import_action",TRIM(IF(A183="","missing proposed_name_key; ","")&amp;IF(AND(A183&lt;&gt;"",COUNTIF($A$6:$A$505,A183)&gt;1),"duplicate proposed_name_key; ","")&amp;IF(C183="","missing candidate_import_action; ","")&amp;IF(D183="","missing move_reason; ","")&amp;IF(H183="","missing branch_id; ","")&amp;IF(K183="","missing first_name; ","")&amp;IF(L183="","missing last_name; ","")&amp;IF(S183="","missing status; ","")&amp;IF(AND(B183&lt;&gt;"",COUNTIF(الزبائن!$A$6:$A$505,B183)=0),"source key not found; ","")&amp;IF((COUNTIFS('أرقام التواصل'!$A$6:$A$505,"proposed_name",'أرقام التواصل'!$B$6:$B$505,A183,'أرقام التواصل'!$I$6:$I$505,"TRUE")+COUNTIFS('أرقام التواصل'!$A$6:$A$505,"proposed_name",'أرقام التواصل'!$B$6:$B$505,A183,'أرقام التواصل'!$C$6:$C$505,1))=0,"missing primary contact in أرقام التواصل; ","")&amp;IF(AND(U183="TRUE",V183=""),"duplicate_type required when duplicate_flag TRUE; ","")))))</f>
        <v/>
      </c>
    </row>
    <row r="184" spans="1:29">
      <c r="A184" s="36"/>
      <c r="B184" s="24"/>
      <c r="C184" s="25"/>
      <c r="D184" s="25"/>
      <c r="E184" s="25"/>
      <c r="F184" s="24"/>
      <c r="G184" s="25"/>
      <c r="H184" s="25"/>
      <c r="I184" s="25"/>
      <c r="J184" s="25"/>
      <c r="K184" s="25"/>
      <c r="L184" s="25"/>
      <c r="M184" s="25"/>
      <c r="N184" s="25" t="str">
        <f t="shared" si="2"/>
        <v/>
      </c>
      <c r="O184" s="25"/>
      <c r="P184" s="25"/>
      <c r="Q184" s="25"/>
      <c r="R184" s="25"/>
      <c r="S184" s="25"/>
      <c r="T184" s="25"/>
      <c r="U184" s="25"/>
      <c r="V184" s="25"/>
      <c r="W184" s="24"/>
      <c r="X184" s="24"/>
      <c r="Y184" s="25"/>
      <c r="Z184" s="25" t="str">
        <f>IF(B184="","",IFERROR(INDEX(الزبائن!$AZ$6:$AZ$505,MATCH(B184,الزبائن!$A$6:$A$505,0)),"source key not found"))</f>
        <v/>
      </c>
      <c r="AA184" s="25" t="str">
        <f>IF(B184="","",IFERROR(INDEX(الزبائن!$BA$6:$BA$505,MATCH(B184,الزبائن!$A$6:$A$505,0)),"source key not found"))</f>
        <v/>
      </c>
      <c r="AB184" s="25" t="str">
        <f>IF(AND(A184="",C184="",D184="",H184="",K184="",L184=""),"",IF(C184="skip","SKIP",IF(OR(A184="",C184="",D184="",H184="",K184="",L184="",S184="",COUNTIF($A$6:$A$505,A184)&gt;1,AND(B184&lt;&gt;"",COUNTIF(الزبائن!$A$6:$A$505,B184)=0),(COUNTIFS('أرقام التواصل'!$A$6:$A$505,"proposed_name",'أرقام التواصل'!$B$6:$B$505,A184,'أرقام التواصل'!$I$6:$I$505,"TRUE")+COUNTIFS('أرقام التواصل'!$A$6:$A$505,"proposed_name",'أرقام التواصل'!$B$6:$B$505,A184,'أرقام التواصل'!$C$6:$C$505,1))=0,AND(U184="TRUE",V184="")),"REVIEW","READY")))</f>
        <v/>
      </c>
      <c r="AC184" s="27" t="str">
        <f>IF(AB184="","",IF(AB184="READY","",IF(AB184="SKIP","Skipped by candidate_import_action",TRIM(IF(A184="","missing proposed_name_key; ","")&amp;IF(AND(A184&lt;&gt;"",COUNTIF($A$6:$A$505,A184)&gt;1),"duplicate proposed_name_key; ","")&amp;IF(C184="","missing candidate_import_action; ","")&amp;IF(D184="","missing move_reason; ","")&amp;IF(H184="","missing branch_id; ","")&amp;IF(K184="","missing first_name; ","")&amp;IF(L184="","missing last_name; ","")&amp;IF(S184="","missing status; ","")&amp;IF(AND(B184&lt;&gt;"",COUNTIF(الزبائن!$A$6:$A$505,B184)=0),"source key not found; ","")&amp;IF((COUNTIFS('أرقام التواصل'!$A$6:$A$505,"proposed_name",'أرقام التواصل'!$B$6:$B$505,A184,'أرقام التواصل'!$I$6:$I$505,"TRUE")+COUNTIFS('أرقام التواصل'!$A$6:$A$505,"proposed_name",'أرقام التواصل'!$B$6:$B$505,A184,'أرقام التواصل'!$C$6:$C$505,1))=0,"missing primary contact in أرقام التواصل; ","")&amp;IF(AND(U184="TRUE",V184=""),"duplicate_type required when duplicate_flag TRUE; ","")))))</f>
        <v/>
      </c>
    </row>
    <row r="185" spans="1:29">
      <c r="A185" s="36"/>
      <c r="B185" s="24"/>
      <c r="C185" s="25"/>
      <c r="D185" s="25"/>
      <c r="E185" s="25"/>
      <c r="F185" s="24"/>
      <c r="G185" s="25"/>
      <c r="H185" s="25"/>
      <c r="I185" s="25"/>
      <c r="J185" s="25"/>
      <c r="K185" s="25"/>
      <c r="L185" s="25"/>
      <c r="M185" s="25"/>
      <c r="N185" s="25" t="str">
        <f t="shared" si="2"/>
        <v/>
      </c>
      <c r="O185" s="25"/>
      <c r="P185" s="25"/>
      <c r="Q185" s="25"/>
      <c r="R185" s="25"/>
      <c r="S185" s="25"/>
      <c r="T185" s="25"/>
      <c r="U185" s="25"/>
      <c r="V185" s="25"/>
      <c r="W185" s="24"/>
      <c r="X185" s="24"/>
      <c r="Y185" s="25"/>
      <c r="Z185" s="25" t="str">
        <f>IF(B185="","",IFERROR(INDEX(الزبائن!$AZ$6:$AZ$505,MATCH(B185,الزبائن!$A$6:$A$505,0)),"source key not found"))</f>
        <v/>
      </c>
      <c r="AA185" s="25" t="str">
        <f>IF(B185="","",IFERROR(INDEX(الزبائن!$BA$6:$BA$505,MATCH(B185,الزبائن!$A$6:$A$505,0)),"source key not found"))</f>
        <v/>
      </c>
      <c r="AB185" s="25" t="str">
        <f>IF(AND(A185="",C185="",D185="",H185="",K185="",L185=""),"",IF(C185="skip","SKIP",IF(OR(A185="",C185="",D185="",H185="",K185="",L185="",S185="",COUNTIF($A$6:$A$505,A185)&gt;1,AND(B185&lt;&gt;"",COUNTIF(الزبائن!$A$6:$A$505,B185)=0),(COUNTIFS('أرقام التواصل'!$A$6:$A$505,"proposed_name",'أرقام التواصل'!$B$6:$B$505,A185,'أرقام التواصل'!$I$6:$I$505,"TRUE")+COUNTIFS('أرقام التواصل'!$A$6:$A$505,"proposed_name",'أرقام التواصل'!$B$6:$B$505,A185,'أرقام التواصل'!$C$6:$C$505,1))=0,AND(U185="TRUE",V185="")),"REVIEW","READY")))</f>
        <v/>
      </c>
      <c r="AC185" s="27" t="str">
        <f>IF(AB185="","",IF(AB185="READY","",IF(AB185="SKIP","Skipped by candidate_import_action",TRIM(IF(A185="","missing proposed_name_key; ","")&amp;IF(AND(A185&lt;&gt;"",COUNTIF($A$6:$A$505,A185)&gt;1),"duplicate proposed_name_key; ","")&amp;IF(C185="","missing candidate_import_action; ","")&amp;IF(D185="","missing move_reason; ","")&amp;IF(H185="","missing branch_id; ","")&amp;IF(K185="","missing first_name; ","")&amp;IF(L185="","missing last_name; ","")&amp;IF(S185="","missing status; ","")&amp;IF(AND(B185&lt;&gt;"",COUNTIF(الزبائن!$A$6:$A$505,B185)=0),"source key not found; ","")&amp;IF((COUNTIFS('أرقام التواصل'!$A$6:$A$505,"proposed_name",'أرقام التواصل'!$B$6:$B$505,A185,'أرقام التواصل'!$I$6:$I$505,"TRUE")+COUNTIFS('أرقام التواصل'!$A$6:$A$505,"proposed_name",'أرقام التواصل'!$B$6:$B$505,A185,'أرقام التواصل'!$C$6:$C$505,1))=0,"missing primary contact in أرقام التواصل; ","")&amp;IF(AND(U185="TRUE",V185=""),"duplicate_type required when duplicate_flag TRUE; ","")))))</f>
        <v/>
      </c>
    </row>
    <row r="186" spans="1:29">
      <c r="A186" s="36"/>
      <c r="B186" s="24"/>
      <c r="C186" s="25"/>
      <c r="D186" s="25"/>
      <c r="E186" s="25"/>
      <c r="F186" s="24"/>
      <c r="G186" s="25"/>
      <c r="H186" s="25"/>
      <c r="I186" s="25"/>
      <c r="J186" s="25"/>
      <c r="K186" s="25"/>
      <c r="L186" s="25"/>
      <c r="M186" s="25"/>
      <c r="N186" s="25" t="str">
        <f t="shared" si="2"/>
        <v/>
      </c>
      <c r="O186" s="25"/>
      <c r="P186" s="25"/>
      <c r="Q186" s="25"/>
      <c r="R186" s="25"/>
      <c r="S186" s="25"/>
      <c r="T186" s="25"/>
      <c r="U186" s="25"/>
      <c r="V186" s="25"/>
      <c r="W186" s="24"/>
      <c r="X186" s="24"/>
      <c r="Y186" s="25"/>
      <c r="Z186" s="25" t="str">
        <f>IF(B186="","",IFERROR(INDEX(الزبائن!$AZ$6:$AZ$505,MATCH(B186,الزبائن!$A$6:$A$505,0)),"source key not found"))</f>
        <v/>
      </c>
      <c r="AA186" s="25" t="str">
        <f>IF(B186="","",IFERROR(INDEX(الزبائن!$BA$6:$BA$505,MATCH(B186,الزبائن!$A$6:$A$505,0)),"source key not found"))</f>
        <v/>
      </c>
      <c r="AB186" s="25" t="str">
        <f>IF(AND(A186="",C186="",D186="",H186="",K186="",L186=""),"",IF(C186="skip","SKIP",IF(OR(A186="",C186="",D186="",H186="",K186="",L186="",S186="",COUNTIF($A$6:$A$505,A186)&gt;1,AND(B186&lt;&gt;"",COUNTIF(الزبائن!$A$6:$A$505,B186)=0),(COUNTIFS('أرقام التواصل'!$A$6:$A$505,"proposed_name",'أرقام التواصل'!$B$6:$B$505,A186,'أرقام التواصل'!$I$6:$I$505,"TRUE")+COUNTIFS('أرقام التواصل'!$A$6:$A$505,"proposed_name",'أرقام التواصل'!$B$6:$B$505,A186,'أرقام التواصل'!$C$6:$C$505,1))=0,AND(U186="TRUE",V186="")),"REVIEW","READY")))</f>
        <v/>
      </c>
      <c r="AC186" s="27" t="str">
        <f>IF(AB186="","",IF(AB186="READY","",IF(AB186="SKIP","Skipped by candidate_import_action",TRIM(IF(A186="","missing proposed_name_key; ","")&amp;IF(AND(A186&lt;&gt;"",COUNTIF($A$6:$A$505,A186)&gt;1),"duplicate proposed_name_key; ","")&amp;IF(C186="","missing candidate_import_action; ","")&amp;IF(D186="","missing move_reason; ","")&amp;IF(H186="","missing branch_id; ","")&amp;IF(K186="","missing first_name; ","")&amp;IF(L186="","missing last_name; ","")&amp;IF(S186="","missing status; ","")&amp;IF(AND(B186&lt;&gt;"",COUNTIF(الزبائن!$A$6:$A$505,B186)=0),"source key not found; ","")&amp;IF((COUNTIFS('أرقام التواصل'!$A$6:$A$505,"proposed_name",'أرقام التواصل'!$B$6:$B$505,A186,'أرقام التواصل'!$I$6:$I$505,"TRUE")+COUNTIFS('أرقام التواصل'!$A$6:$A$505,"proposed_name",'أرقام التواصل'!$B$6:$B$505,A186,'أرقام التواصل'!$C$6:$C$505,1))=0,"missing primary contact in أرقام التواصل; ","")&amp;IF(AND(U186="TRUE",V186=""),"duplicate_type required when duplicate_flag TRUE; ","")))))</f>
        <v/>
      </c>
    </row>
    <row r="187" spans="1:29">
      <c r="A187" s="36"/>
      <c r="B187" s="24"/>
      <c r="C187" s="25"/>
      <c r="D187" s="25"/>
      <c r="E187" s="25"/>
      <c r="F187" s="24"/>
      <c r="G187" s="25"/>
      <c r="H187" s="25"/>
      <c r="I187" s="25"/>
      <c r="J187" s="25"/>
      <c r="K187" s="25"/>
      <c r="L187" s="25"/>
      <c r="M187" s="25"/>
      <c r="N187" s="25" t="str">
        <f t="shared" si="2"/>
        <v/>
      </c>
      <c r="O187" s="25"/>
      <c r="P187" s="25"/>
      <c r="Q187" s="25"/>
      <c r="R187" s="25"/>
      <c r="S187" s="25"/>
      <c r="T187" s="25"/>
      <c r="U187" s="25"/>
      <c r="V187" s="25"/>
      <c r="W187" s="24"/>
      <c r="X187" s="24"/>
      <c r="Y187" s="25"/>
      <c r="Z187" s="25" t="str">
        <f>IF(B187="","",IFERROR(INDEX(الزبائن!$AZ$6:$AZ$505,MATCH(B187,الزبائن!$A$6:$A$505,0)),"source key not found"))</f>
        <v/>
      </c>
      <c r="AA187" s="25" t="str">
        <f>IF(B187="","",IFERROR(INDEX(الزبائن!$BA$6:$BA$505,MATCH(B187,الزبائن!$A$6:$A$505,0)),"source key not found"))</f>
        <v/>
      </c>
      <c r="AB187" s="25" t="str">
        <f>IF(AND(A187="",C187="",D187="",H187="",K187="",L187=""),"",IF(C187="skip","SKIP",IF(OR(A187="",C187="",D187="",H187="",K187="",L187="",S187="",COUNTIF($A$6:$A$505,A187)&gt;1,AND(B187&lt;&gt;"",COUNTIF(الزبائن!$A$6:$A$505,B187)=0),(COUNTIFS('أرقام التواصل'!$A$6:$A$505,"proposed_name",'أرقام التواصل'!$B$6:$B$505,A187,'أرقام التواصل'!$I$6:$I$505,"TRUE")+COUNTIFS('أرقام التواصل'!$A$6:$A$505,"proposed_name",'أرقام التواصل'!$B$6:$B$505,A187,'أرقام التواصل'!$C$6:$C$505,1))=0,AND(U187="TRUE",V187="")),"REVIEW","READY")))</f>
        <v/>
      </c>
      <c r="AC187" s="27" t="str">
        <f>IF(AB187="","",IF(AB187="READY","",IF(AB187="SKIP","Skipped by candidate_import_action",TRIM(IF(A187="","missing proposed_name_key; ","")&amp;IF(AND(A187&lt;&gt;"",COUNTIF($A$6:$A$505,A187)&gt;1),"duplicate proposed_name_key; ","")&amp;IF(C187="","missing candidate_import_action; ","")&amp;IF(D187="","missing move_reason; ","")&amp;IF(H187="","missing branch_id; ","")&amp;IF(K187="","missing first_name; ","")&amp;IF(L187="","missing last_name; ","")&amp;IF(S187="","missing status; ","")&amp;IF(AND(B187&lt;&gt;"",COUNTIF(الزبائن!$A$6:$A$505,B187)=0),"source key not found; ","")&amp;IF((COUNTIFS('أرقام التواصل'!$A$6:$A$505,"proposed_name",'أرقام التواصل'!$B$6:$B$505,A187,'أرقام التواصل'!$I$6:$I$505,"TRUE")+COUNTIFS('أرقام التواصل'!$A$6:$A$505,"proposed_name",'أرقام التواصل'!$B$6:$B$505,A187,'أرقام التواصل'!$C$6:$C$505,1))=0,"missing primary contact in أرقام التواصل; ","")&amp;IF(AND(U187="TRUE",V187=""),"duplicate_type required when duplicate_flag TRUE; ","")))))</f>
        <v/>
      </c>
    </row>
    <row r="188" spans="1:29">
      <c r="A188" s="36"/>
      <c r="B188" s="24"/>
      <c r="C188" s="25"/>
      <c r="D188" s="25"/>
      <c r="E188" s="25"/>
      <c r="F188" s="24"/>
      <c r="G188" s="25"/>
      <c r="H188" s="25"/>
      <c r="I188" s="25"/>
      <c r="J188" s="25"/>
      <c r="K188" s="25"/>
      <c r="L188" s="25"/>
      <c r="M188" s="25"/>
      <c r="N188" s="25" t="str">
        <f t="shared" si="2"/>
        <v/>
      </c>
      <c r="O188" s="25"/>
      <c r="P188" s="25"/>
      <c r="Q188" s="25"/>
      <c r="R188" s="25"/>
      <c r="S188" s="25"/>
      <c r="T188" s="25"/>
      <c r="U188" s="25"/>
      <c r="V188" s="25"/>
      <c r="W188" s="24"/>
      <c r="X188" s="24"/>
      <c r="Y188" s="25"/>
      <c r="Z188" s="25" t="str">
        <f>IF(B188="","",IFERROR(INDEX(الزبائن!$AZ$6:$AZ$505,MATCH(B188,الزبائن!$A$6:$A$505,0)),"source key not found"))</f>
        <v/>
      </c>
      <c r="AA188" s="25" t="str">
        <f>IF(B188="","",IFERROR(INDEX(الزبائن!$BA$6:$BA$505,MATCH(B188,الزبائن!$A$6:$A$505,0)),"source key not found"))</f>
        <v/>
      </c>
      <c r="AB188" s="25" t="str">
        <f>IF(AND(A188="",C188="",D188="",H188="",K188="",L188=""),"",IF(C188="skip","SKIP",IF(OR(A188="",C188="",D188="",H188="",K188="",L188="",S188="",COUNTIF($A$6:$A$505,A188)&gt;1,AND(B188&lt;&gt;"",COUNTIF(الزبائن!$A$6:$A$505,B188)=0),(COUNTIFS('أرقام التواصل'!$A$6:$A$505,"proposed_name",'أرقام التواصل'!$B$6:$B$505,A188,'أرقام التواصل'!$I$6:$I$505,"TRUE")+COUNTIFS('أرقام التواصل'!$A$6:$A$505,"proposed_name",'أرقام التواصل'!$B$6:$B$505,A188,'أرقام التواصل'!$C$6:$C$505,1))=0,AND(U188="TRUE",V188="")),"REVIEW","READY")))</f>
        <v/>
      </c>
      <c r="AC188" s="27" t="str">
        <f>IF(AB188="","",IF(AB188="READY","",IF(AB188="SKIP","Skipped by candidate_import_action",TRIM(IF(A188="","missing proposed_name_key; ","")&amp;IF(AND(A188&lt;&gt;"",COUNTIF($A$6:$A$505,A188)&gt;1),"duplicate proposed_name_key; ","")&amp;IF(C188="","missing candidate_import_action; ","")&amp;IF(D188="","missing move_reason; ","")&amp;IF(H188="","missing branch_id; ","")&amp;IF(K188="","missing first_name; ","")&amp;IF(L188="","missing last_name; ","")&amp;IF(S188="","missing status; ","")&amp;IF(AND(B188&lt;&gt;"",COUNTIF(الزبائن!$A$6:$A$505,B188)=0),"source key not found; ","")&amp;IF((COUNTIFS('أرقام التواصل'!$A$6:$A$505,"proposed_name",'أرقام التواصل'!$B$6:$B$505,A188,'أرقام التواصل'!$I$6:$I$505,"TRUE")+COUNTIFS('أرقام التواصل'!$A$6:$A$505,"proposed_name",'أرقام التواصل'!$B$6:$B$505,A188,'أرقام التواصل'!$C$6:$C$505,1))=0,"missing primary contact in أرقام التواصل; ","")&amp;IF(AND(U188="TRUE",V188=""),"duplicate_type required when duplicate_flag TRUE; ","")))))</f>
        <v/>
      </c>
    </row>
    <row r="189" spans="1:29">
      <c r="A189" s="36"/>
      <c r="B189" s="24"/>
      <c r="C189" s="25"/>
      <c r="D189" s="25"/>
      <c r="E189" s="25"/>
      <c r="F189" s="24"/>
      <c r="G189" s="25"/>
      <c r="H189" s="25"/>
      <c r="I189" s="25"/>
      <c r="J189" s="25"/>
      <c r="K189" s="25"/>
      <c r="L189" s="25"/>
      <c r="M189" s="25"/>
      <c r="N189" s="25" t="str">
        <f t="shared" si="2"/>
        <v/>
      </c>
      <c r="O189" s="25"/>
      <c r="P189" s="25"/>
      <c r="Q189" s="25"/>
      <c r="R189" s="25"/>
      <c r="S189" s="25"/>
      <c r="T189" s="25"/>
      <c r="U189" s="25"/>
      <c r="V189" s="25"/>
      <c r="W189" s="24"/>
      <c r="X189" s="24"/>
      <c r="Y189" s="25"/>
      <c r="Z189" s="25" t="str">
        <f>IF(B189="","",IFERROR(INDEX(الزبائن!$AZ$6:$AZ$505,MATCH(B189,الزبائن!$A$6:$A$505,0)),"source key not found"))</f>
        <v/>
      </c>
      <c r="AA189" s="25" t="str">
        <f>IF(B189="","",IFERROR(INDEX(الزبائن!$BA$6:$BA$505,MATCH(B189,الزبائن!$A$6:$A$505,0)),"source key not found"))</f>
        <v/>
      </c>
      <c r="AB189" s="25" t="str">
        <f>IF(AND(A189="",C189="",D189="",H189="",K189="",L189=""),"",IF(C189="skip","SKIP",IF(OR(A189="",C189="",D189="",H189="",K189="",L189="",S189="",COUNTIF($A$6:$A$505,A189)&gt;1,AND(B189&lt;&gt;"",COUNTIF(الزبائن!$A$6:$A$505,B189)=0),(COUNTIFS('أرقام التواصل'!$A$6:$A$505,"proposed_name",'أرقام التواصل'!$B$6:$B$505,A189,'أرقام التواصل'!$I$6:$I$505,"TRUE")+COUNTIFS('أرقام التواصل'!$A$6:$A$505,"proposed_name",'أرقام التواصل'!$B$6:$B$505,A189,'أرقام التواصل'!$C$6:$C$505,1))=0,AND(U189="TRUE",V189="")),"REVIEW","READY")))</f>
        <v/>
      </c>
      <c r="AC189" s="27" t="str">
        <f>IF(AB189="","",IF(AB189="READY","",IF(AB189="SKIP","Skipped by candidate_import_action",TRIM(IF(A189="","missing proposed_name_key; ","")&amp;IF(AND(A189&lt;&gt;"",COUNTIF($A$6:$A$505,A189)&gt;1),"duplicate proposed_name_key; ","")&amp;IF(C189="","missing candidate_import_action; ","")&amp;IF(D189="","missing move_reason; ","")&amp;IF(H189="","missing branch_id; ","")&amp;IF(K189="","missing first_name; ","")&amp;IF(L189="","missing last_name; ","")&amp;IF(S189="","missing status; ","")&amp;IF(AND(B189&lt;&gt;"",COUNTIF(الزبائن!$A$6:$A$505,B189)=0),"source key not found; ","")&amp;IF((COUNTIFS('أرقام التواصل'!$A$6:$A$505,"proposed_name",'أرقام التواصل'!$B$6:$B$505,A189,'أرقام التواصل'!$I$6:$I$505,"TRUE")+COUNTIFS('أرقام التواصل'!$A$6:$A$505,"proposed_name",'أرقام التواصل'!$B$6:$B$505,A189,'أرقام التواصل'!$C$6:$C$505,1))=0,"missing primary contact in أرقام التواصل; ","")&amp;IF(AND(U189="TRUE",V189=""),"duplicate_type required when duplicate_flag TRUE; ","")))))</f>
        <v/>
      </c>
    </row>
    <row r="190" spans="1:29">
      <c r="A190" s="36"/>
      <c r="B190" s="24"/>
      <c r="C190" s="25"/>
      <c r="D190" s="25"/>
      <c r="E190" s="25"/>
      <c r="F190" s="24"/>
      <c r="G190" s="25"/>
      <c r="H190" s="25"/>
      <c r="I190" s="25"/>
      <c r="J190" s="25"/>
      <c r="K190" s="25"/>
      <c r="L190" s="25"/>
      <c r="M190" s="25"/>
      <c r="N190" s="25" t="str">
        <f t="shared" si="2"/>
        <v/>
      </c>
      <c r="O190" s="25"/>
      <c r="P190" s="25"/>
      <c r="Q190" s="25"/>
      <c r="R190" s="25"/>
      <c r="S190" s="25"/>
      <c r="T190" s="25"/>
      <c r="U190" s="25"/>
      <c r="V190" s="25"/>
      <c r="W190" s="24"/>
      <c r="X190" s="24"/>
      <c r="Y190" s="25"/>
      <c r="Z190" s="25" t="str">
        <f>IF(B190="","",IFERROR(INDEX(الزبائن!$AZ$6:$AZ$505,MATCH(B190,الزبائن!$A$6:$A$505,0)),"source key not found"))</f>
        <v/>
      </c>
      <c r="AA190" s="25" t="str">
        <f>IF(B190="","",IFERROR(INDEX(الزبائن!$BA$6:$BA$505,MATCH(B190,الزبائن!$A$6:$A$505,0)),"source key not found"))</f>
        <v/>
      </c>
      <c r="AB190" s="25" t="str">
        <f>IF(AND(A190="",C190="",D190="",H190="",K190="",L190=""),"",IF(C190="skip","SKIP",IF(OR(A190="",C190="",D190="",H190="",K190="",L190="",S190="",COUNTIF($A$6:$A$505,A190)&gt;1,AND(B190&lt;&gt;"",COUNTIF(الزبائن!$A$6:$A$505,B190)=0),(COUNTIFS('أرقام التواصل'!$A$6:$A$505,"proposed_name",'أرقام التواصل'!$B$6:$B$505,A190,'أرقام التواصل'!$I$6:$I$505,"TRUE")+COUNTIFS('أرقام التواصل'!$A$6:$A$505,"proposed_name",'أرقام التواصل'!$B$6:$B$505,A190,'أرقام التواصل'!$C$6:$C$505,1))=0,AND(U190="TRUE",V190="")),"REVIEW","READY")))</f>
        <v/>
      </c>
      <c r="AC190" s="27" t="str">
        <f>IF(AB190="","",IF(AB190="READY","",IF(AB190="SKIP","Skipped by candidate_import_action",TRIM(IF(A190="","missing proposed_name_key; ","")&amp;IF(AND(A190&lt;&gt;"",COUNTIF($A$6:$A$505,A190)&gt;1),"duplicate proposed_name_key; ","")&amp;IF(C190="","missing candidate_import_action; ","")&amp;IF(D190="","missing move_reason; ","")&amp;IF(H190="","missing branch_id; ","")&amp;IF(K190="","missing first_name; ","")&amp;IF(L190="","missing last_name; ","")&amp;IF(S190="","missing status; ","")&amp;IF(AND(B190&lt;&gt;"",COUNTIF(الزبائن!$A$6:$A$505,B190)=0),"source key not found; ","")&amp;IF((COUNTIFS('أرقام التواصل'!$A$6:$A$505,"proposed_name",'أرقام التواصل'!$B$6:$B$505,A190,'أرقام التواصل'!$I$6:$I$505,"TRUE")+COUNTIFS('أرقام التواصل'!$A$6:$A$505,"proposed_name",'أرقام التواصل'!$B$6:$B$505,A190,'أرقام التواصل'!$C$6:$C$505,1))=0,"missing primary contact in أرقام التواصل; ","")&amp;IF(AND(U190="TRUE",V190=""),"duplicate_type required when duplicate_flag TRUE; ","")))))</f>
        <v/>
      </c>
    </row>
    <row r="191" spans="1:29">
      <c r="A191" s="36"/>
      <c r="B191" s="24"/>
      <c r="C191" s="25"/>
      <c r="D191" s="25"/>
      <c r="E191" s="25"/>
      <c r="F191" s="24"/>
      <c r="G191" s="25"/>
      <c r="H191" s="25"/>
      <c r="I191" s="25"/>
      <c r="J191" s="25"/>
      <c r="K191" s="25"/>
      <c r="L191" s="25"/>
      <c r="M191" s="25"/>
      <c r="N191" s="25" t="str">
        <f t="shared" si="2"/>
        <v/>
      </c>
      <c r="O191" s="25"/>
      <c r="P191" s="25"/>
      <c r="Q191" s="25"/>
      <c r="R191" s="25"/>
      <c r="S191" s="25"/>
      <c r="T191" s="25"/>
      <c r="U191" s="25"/>
      <c r="V191" s="25"/>
      <c r="W191" s="24"/>
      <c r="X191" s="24"/>
      <c r="Y191" s="25"/>
      <c r="Z191" s="25" t="str">
        <f>IF(B191="","",IFERROR(INDEX(الزبائن!$AZ$6:$AZ$505,MATCH(B191,الزبائن!$A$6:$A$505,0)),"source key not found"))</f>
        <v/>
      </c>
      <c r="AA191" s="25" t="str">
        <f>IF(B191="","",IFERROR(INDEX(الزبائن!$BA$6:$BA$505,MATCH(B191,الزبائن!$A$6:$A$505,0)),"source key not found"))</f>
        <v/>
      </c>
      <c r="AB191" s="25" t="str">
        <f>IF(AND(A191="",C191="",D191="",H191="",K191="",L191=""),"",IF(C191="skip","SKIP",IF(OR(A191="",C191="",D191="",H191="",K191="",L191="",S191="",COUNTIF($A$6:$A$505,A191)&gt;1,AND(B191&lt;&gt;"",COUNTIF(الزبائن!$A$6:$A$505,B191)=0),(COUNTIFS('أرقام التواصل'!$A$6:$A$505,"proposed_name",'أرقام التواصل'!$B$6:$B$505,A191,'أرقام التواصل'!$I$6:$I$505,"TRUE")+COUNTIFS('أرقام التواصل'!$A$6:$A$505,"proposed_name",'أرقام التواصل'!$B$6:$B$505,A191,'أرقام التواصل'!$C$6:$C$505,1))=0,AND(U191="TRUE",V191="")),"REVIEW","READY")))</f>
        <v/>
      </c>
      <c r="AC191" s="27" t="str">
        <f>IF(AB191="","",IF(AB191="READY","",IF(AB191="SKIP","Skipped by candidate_import_action",TRIM(IF(A191="","missing proposed_name_key; ","")&amp;IF(AND(A191&lt;&gt;"",COUNTIF($A$6:$A$505,A191)&gt;1),"duplicate proposed_name_key; ","")&amp;IF(C191="","missing candidate_import_action; ","")&amp;IF(D191="","missing move_reason; ","")&amp;IF(H191="","missing branch_id; ","")&amp;IF(K191="","missing first_name; ","")&amp;IF(L191="","missing last_name; ","")&amp;IF(S191="","missing status; ","")&amp;IF(AND(B191&lt;&gt;"",COUNTIF(الزبائن!$A$6:$A$505,B191)=0),"source key not found; ","")&amp;IF((COUNTIFS('أرقام التواصل'!$A$6:$A$505,"proposed_name",'أرقام التواصل'!$B$6:$B$505,A191,'أرقام التواصل'!$I$6:$I$505,"TRUE")+COUNTIFS('أرقام التواصل'!$A$6:$A$505,"proposed_name",'أرقام التواصل'!$B$6:$B$505,A191,'أرقام التواصل'!$C$6:$C$505,1))=0,"missing primary contact in أرقام التواصل; ","")&amp;IF(AND(U191="TRUE",V191=""),"duplicate_type required when duplicate_flag TRUE; ","")))))</f>
        <v/>
      </c>
    </row>
    <row r="192" spans="1:29">
      <c r="A192" s="36"/>
      <c r="B192" s="24"/>
      <c r="C192" s="25"/>
      <c r="D192" s="25"/>
      <c r="E192" s="25"/>
      <c r="F192" s="24"/>
      <c r="G192" s="25"/>
      <c r="H192" s="25"/>
      <c r="I192" s="25"/>
      <c r="J192" s="25"/>
      <c r="K192" s="25"/>
      <c r="L192" s="25"/>
      <c r="M192" s="25"/>
      <c r="N192" s="25" t="str">
        <f t="shared" si="2"/>
        <v/>
      </c>
      <c r="O192" s="25"/>
      <c r="P192" s="25"/>
      <c r="Q192" s="25"/>
      <c r="R192" s="25"/>
      <c r="S192" s="25"/>
      <c r="T192" s="25"/>
      <c r="U192" s="25"/>
      <c r="V192" s="25"/>
      <c r="W192" s="24"/>
      <c r="X192" s="24"/>
      <c r="Y192" s="25"/>
      <c r="Z192" s="25" t="str">
        <f>IF(B192="","",IFERROR(INDEX(الزبائن!$AZ$6:$AZ$505,MATCH(B192,الزبائن!$A$6:$A$505,0)),"source key not found"))</f>
        <v/>
      </c>
      <c r="AA192" s="25" t="str">
        <f>IF(B192="","",IFERROR(INDEX(الزبائن!$BA$6:$BA$505,MATCH(B192,الزبائن!$A$6:$A$505,0)),"source key not found"))</f>
        <v/>
      </c>
      <c r="AB192" s="25" t="str">
        <f>IF(AND(A192="",C192="",D192="",H192="",K192="",L192=""),"",IF(C192="skip","SKIP",IF(OR(A192="",C192="",D192="",H192="",K192="",L192="",S192="",COUNTIF($A$6:$A$505,A192)&gt;1,AND(B192&lt;&gt;"",COUNTIF(الزبائن!$A$6:$A$505,B192)=0),(COUNTIFS('أرقام التواصل'!$A$6:$A$505,"proposed_name",'أرقام التواصل'!$B$6:$B$505,A192,'أرقام التواصل'!$I$6:$I$505,"TRUE")+COUNTIFS('أرقام التواصل'!$A$6:$A$505,"proposed_name",'أرقام التواصل'!$B$6:$B$505,A192,'أرقام التواصل'!$C$6:$C$505,1))=0,AND(U192="TRUE",V192="")),"REVIEW","READY")))</f>
        <v/>
      </c>
      <c r="AC192" s="27" t="str">
        <f>IF(AB192="","",IF(AB192="READY","",IF(AB192="SKIP","Skipped by candidate_import_action",TRIM(IF(A192="","missing proposed_name_key; ","")&amp;IF(AND(A192&lt;&gt;"",COUNTIF($A$6:$A$505,A192)&gt;1),"duplicate proposed_name_key; ","")&amp;IF(C192="","missing candidate_import_action; ","")&amp;IF(D192="","missing move_reason; ","")&amp;IF(H192="","missing branch_id; ","")&amp;IF(K192="","missing first_name; ","")&amp;IF(L192="","missing last_name; ","")&amp;IF(S192="","missing status; ","")&amp;IF(AND(B192&lt;&gt;"",COUNTIF(الزبائن!$A$6:$A$505,B192)=0),"source key not found; ","")&amp;IF((COUNTIFS('أرقام التواصل'!$A$6:$A$505,"proposed_name",'أرقام التواصل'!$B$6:$B$505,A192,'أرقام التواصل'!$I$6:$I$505,"TRUE")+COUNTIFS('أرقام التواصل'!$A$6:$A$505,"proposed_name",'أرقام التواصل'!$B$6:$B$505,A192,'أرقام التواصل'!$C$6:$C$505,1))=0,"missing primary contact in أرقام التواصل; ","")&amp;IF(AND(U192="TRUE",V192=""),"duplicate_type required when duplicate_flag TRUE; ","")))))</f>
        <v/>
      </c>
    </row>
    <row r="193" spans="1:29">
      <c r="A193" s="36"/>
      <c r="B193" s="24"/>
      <c r="C193" s="25"/>
      <c r="D193" s="25"/>
      <c r="E193" s="25"/>
      <c r="F193" s="24"/>
      <c r="G193" s="25"/>
      <c r="H193" s="25"/>
      <c r="I193" s="25"/>
      <c r="J193" s="25"/>
      <c r="K193" s="25"/>
      <c r="L193" s="25"/>
      <c r="M193" s="25"/>
      <c r="N193" s="25" t="str">
        <f t="shared" si="2"/>
        <v/>
      </c>
      <c r="O193" s="25"/>
      <c r="P193" s="25"/>
      <c r="Q193" s="25"/>
      <c r="R193" s="25"/>
      <c r="S193" s="25"/>
      <c r="T193" s="25"/>
      <c r="U193" s="25"/>
      <c r="V193" s="25"/>
      <c r="W193" s="24"/>
      <c r="X193" s="24"/>
      <c r="Y193" s="25"/>
      <c r="Z193" s="25" t="str">
        <f>IF(B193="","",IFERROR(INDEX(الزبائن!$AZ$6:$AZ$505,MATCH(B193,الزبائن!$A$6:$A$505,0)),"source key not found"))</f>
        <v/>
      </c>
      <c r="AA193" s="25" t="str">
        <f>IF(B193="","",IFERROR(INDEX(الزبائن!$BA$6:$BA$505,MATCH(B193,الزبائن!$A$6:$A$505,0)),"source key not found"))</f>
        <v/>
      </c>
      <c r="AB193" s="25" t="str">
        <f>IF(AND(A193="",C193="",D193="",H193="",K193="",L193=""),"",IF(C193="skip","SKIP",IF(OR(A193="",C193="",D193="",H193="",K193="",L193="",S193="",COUNTIF($A$6:$A$505,A193)&gt;1,AND(B193&lt;&gt;"",COUNTIF(الزبائن!$A$6:$A$505,B193)=0),(COUNTIFS('أرقام التواصل'!$A$6:$A$505,"proposed_name",'أرقام التواصل'!$B$6:$B$505,A193,'أرقام التواصل'!$I$6:$I$505,"TRUE")+COUNTIFS('أرقام التواصل'!$A$6:$A$505,"proposed_name",'أرقام التواصل'!$B$6:$B$505,A193,'أرقام التواصل'!$C$6:$C$505,1))=0,AND(U193="TRUE",V193="")),"REVIEW","READY")))</f>
        <v/>
      </c>
      <c r="AC193" s="27" t="str">
        <f>IF(AB193="","",IF(AB193="READY","",IF(AB193="SKIP","Skipped by candidate_import_action",TRIM(IF(A193="","missing proposed_name_key; ","")&amp;IF(AND(A193&lt;&gt;"",COUNTIF($A$6:$A$505,A193)&gt;1),"duplicate proposed_name_key; ","")&amp;IF(C193="","missing candidate_import_action; ","")&amp;IF(D193="","missing move_reason; ","")&amp;IF(H193="","missing branch_id; ","")&amp;IF(K193="","missing first_name; ","")&amp;IF(L193="","missing last_name; ","")&amp;IF(S193="","missing status; ","")&amp;IF(AND(B193&lt;&gt;"",COUNTIF(الزبائن!$A$6:$A$505,B193)=0),"source key not found; ","")&amp;IF((COUNTIFS('أرقام التواصل'!$A$6:$A$505,"proposed_name",'أرقام التواصل'!$B$6:$B$505,A193,'أرقام التواصل'!$I$6:$I$505,"TRUE")+COUNTIFS('أرقام التواصل'!$A$6:$A$505,"proposed_name",'أرقام التواصل'!$B$6:$B$505,A193,'أرقام التواصل'!$C$6:$C$505,1))=0,"missing primary contact in أرقام التواصل; ","")&amp;IF(AND(U193="TRUE",V193=""),"duplicate_type required when duplicate_flag TRUE; ","")))))</f>
        <v/>
      </c>
    </row>
    <row r="194" spans="1:29">
      <c r="A194" s="36"/>
      <c r="B194" s="24"/>
      <c r="C194" s="25"/>
      <c r="D194" s="25"/>
      <c r="E194" s="25"/>
      <c r="F194" s="24"/>
      <c r="G194" s="25"/>
      <c r="H194" s="25"/>
      <c r="I194" s="25"/>
      <c r="J194" s="25"/>
      <c r="K194" s="25"/>
      <c r="L194" s="25"/>
      <c r="M194" s="25"/>
      <c r="N194" s="25" t="str">
        <f t="shared" si="2"/>
        <v/>
      </c>
      <c r="O194" s="25"/>
      <c r="P194" s="25"/>
      <c r="Q194" s="25"/>
      <c r="R194" s="25"/>
      <c r="S194" s="25"/>
      <c r="T194" s="25"/>
      <c r="U194" s="25"/>
      <c r="V194" s="25"/>
      <c r="W194" s="24"/>
      <c r="X194" s="24"/>
      <c r="Y194" s="25"/>
      <c r="Z194" s="25" t="str">
        <f>IF(B194="","",IFERROR(INDEX(الزبائن!$AZ$6:$AZ$505,MATCH(B194,الزبائن!$A$6:$A$505,0)),"source key not found"))</f>
        <v/>
      </c>
      <c r="AA194" s="25" t="str">
        <f>IF(B194="","",IFERROR(INDEX(الزبائن!$BA$6:$BA$505,MATCH(B194,الزبائن!$A$6:$A$505,0)),"source key not found"))</f>
        <v/>
      </c>
      <c r="AB194" s="25" t="str">
        <f>IF(AND(A194="",C194="",D194="",H194="",K194="",L194=""),"",IF(C194="skip","SKIP",IF(OR(A194="",C194="",D194="",H194="",K194="",L194="",S194="",COUNTIF($A$6:$A$505,A194)&gt;1,AND(B194&lt;&gt;"",COUNTIF(الزبائن!$A$6:$A$505,B194)=0),(COUNTIFS('أرقام التواصل'!$A$6:$A$505,"proposed_name",'أرقام التواصل'!$B$6:$B$505,A194,'أرقام التواصل'!$I$6:$I$505,"TRUE")+COUNTIFS('أرقام التواصل'!$A$6:$A$505,"proposed_name",'أرقام التواصل'!$B$6:$B$505,A194,'أرقام التواصل'!$C$6:$C$505,1))=0,AND(U194="TRUE",V194="")),"REVIEW","READY")))</f>
        <v/>
      </c>
      <c r="AC194" s="27" t="str">
        <f>IF(AB194="","",IF(AB194="READY","",IF(AB194="SKIP","Skipped by candidate_import_action",TRIM(IF(A194="","missing proposed_name_key; ","")&amp;IF(AND(A194&lt;&gt;"",COUNTIF($A$6:$A$505,A194)&gt;1),"duplicate proposed_name_key; ","")&amp;IF(C194="","missing candidate_import_action; ","")&amp;IF(D194="","missing move_reason; ","")&amp;IF(H194="","missing branch_id; ","")&amp;IF(K194="","missing first_name; ","")&amp;IF(L194="","missing last_name; ","")&amp;IF(S194="","missing status; ","")&amp;IF(AND(B194&lt;&gt;"",COUNTIF(الزبائن!$A$6:$A$505,B194)=0),"source key not found; ","")&amp;IF((COUNTIFS('أرقام التواصل'!$A$6:$A$505,"proposed_name",'أرقام التواصل'!$B$6:$B$505,A194,'أرقام التواصل'!$I$6:$I$505,"TRUE")+COUNTIFS('أرقام التواصل'!$A$6:$A$505,"proposed_name",'أرقام التواصل'!$B$6:$B$505,A194,'أرقام التواصل'!$C$6:$C$505,1))=0,"missing primary contact in أرقام التواصل; ","")&amp;IF(AND(U194="TRUE",V194=""),"duplicate_type required when duplicate_flag TRUE; ","")))))</f>
        <v/>
      </c>
    </row>
    <row r="195" spans="1:29">
      <c r="A195" s="36"/>
      <c r="B195" s="24"/>
      <c r="C195" s="25"/>
      <c r="D195" s="25"/>
      <c r="E195" s="25"/>
      <c r="F195" s="24"/>
      <c r="G195" s="25"/>
      <c r="H195" s="25"/>
      <c r="I195" s="25"/>
      <c r="J195" s="25"/>
      <c r="K195" s="25"/>
      <c r="L195" s="25"/>
      <c r="M195" s="25"/>
      <c r="N195" s="25" t="str">
        <f t="shared" si="2"/>
        <v/>
      </c>
      <c r="O195" s="25"/>
      <c r="P195" s="25"/>
      <c r="Q195" s="25"/>
      <c r="R195" s="25"/>
      <c r="S195" s="25"/>
      <c r="T195" s="25"/>
      <c r="U195" s="25"/>
      <c r="V195" s="25"/>
      <c r="W195" s="24"/>
      <c r="X195" s="24"/>
      <c r="Y195" s="25"/>
      <c r="Z195" s="25" t="str">
        <f>IF(B195="","",IFERROR(INDEX(الزبائن!$AZ$6:$AZ$505,MATCH(B195,الزبائن!$A$6:$A$505,0)),"source key not found"))</f>
        <v/>
      </c>
      <c r="AA195" s="25" t="str">
        <f>IF(B195="","",IFERROR(INDEX(الزبائن!$BA$6:$BA$505,MATCH(B195,الزبائن!$A$6:$A$505,0)),"source key not found"))</f>
        <v/>
      </c>
      <c r="AB195" s="25" t="str">
        <f>IF(AND(A195="",C195="",D195="",H195="",K195="",L195=""),"",IF(C195="skip","SKIP",IF(OR(A195="",C195="",D195="",H195="",K195="",L195="",S195="",COUNTIF($A$6:$A$505,A195)&gt;1,AND(B195&lt;&gt;"",COUNTIF(الزبائن!$A$6:$A$505,B195)=0),(COUNTIFS('أرقام التواصل'!$A$6:$A$505,"proposed_name",'أرقام التواصل'!$B$6:$B$505,A195,'أرقام التواصل'!$I$6:$I$505,"TRUE")+COUNTIFS('أرقام التواصل'!$A$6:$A$505,"proposed_name",'أرقام التواصل'!$B$6:$B$505,A195,'أرقام التواصل'!$C$6:$C$505,1))=0,AND(U195="TRUE",V195="")),"REVIEW","READY")))</f>
        <v/>
      </c>
      <c r="AC195" s="27" t="str">
        <f>IF(AB195="","",IF(AB195="READY","",IF(AB195="SKIP","Skipped by candidate_import_action",TRIM(IF(A195="","missing proposed_name_key; ","")&amp;IF(AND(A195&lt;&gt;"",COUNTIF($A$6:$A$505,A195)&gt;1),"duplicate proposed_name_key; ","")&amp;IF(C195="","missing candidate_import_action; ","")&amp;IF(D195="","missing move_reason; ","")&amp;IF(H195="","missing branch_id; ","")&amp;IF(K195="","missing first_name; ","")&amp;IF(L195="","missing last_name; ","")&amp;IF(S195="","missing status; ","")&amp;IF(AND(B195&lt;&gt;"",COUNTIF(الزبائن!$A$6:$A$505,B195)=0),"source key not found; ","")&amp;IF((COUNTIFS('أرقام التواصل'!$A$6:$A$505,"proposed_name",'أرقام التواصل'!$B$6:$B$505,A195,'أرقام التواصل'!$I$6:$I$505,"TRUE")+COUNTIFS('أرقام التواصل'!$A$6:$A$505,"proposed_name",'أرقام التواصل'!$B$6:$B$505,A195,'أرقام التواصل'!$C$6:$C$505,1))=0,"missing primary contact in أرقام التواصل; ","")&amp;IF(AND(U195="TRUE",V195=""),"duplicate_type required when duplicate_flag TRUE; ","")))))</f>
        <v/>
      </c>
    </row>
    <row r="196" spans="1:29">
      <c r="A196" s="36"/>
      <c r="B196" s="24"/>
      <c r="C196" s="25"/>
      <c r="D196" s="25"/>
      <c r="E196" s="25"/>
      <c r="F196" s="24"/>
      <c r="G196" s="25"/>
      <c r="H196" s="25"/>
      <c r="I196" s="25"/>
      <c r="J196" s="25"/>
      <c r="K196" s="25"/>
      <c r="L196" s="25"/>
      <c r="M196" s="25"/>
      <c r="N196" s="25" t="str">
        <f t="shared" si="2"/>
        <v/>
      </c>
      <c r="O196" s="25"/>
      <c r="P196" s="25"/>
      <c r="Q196" s="25"/>
      <c r="R196" s="25"/>
      <c r="S196" s="25"/>
      <c r="T196" s="25"/>
      <c r="U196" s="25"/>
      <c r="V196" s="25"/>
      <c r="W196" s="24"/>
      <c r="X196" s="24"/>
      <c r="Y196" s="25"/>
      <c r="Z196" s="25" t="str">
        <f>IF(B196="","",IFERROR(INDEX(الزبائن!$AZ$6:$AZ$505,MATCH(B196,الزبائن!$A$6:$A$505,0)),"source key not found"))</f>
        <v/>
      </c>
      <c r="AA196" s="25" t="str">
        <f>IF(B196="","",IFERROR(INDEX(الزبائن!$BA$6:$BA$505,MATCH(B196,الزبائن!$A$6:$A$505,0)),"source key not found"))</f>
        <v/>
      </c>
      <c r="AB196" s="25" t="str">
        <f>IF(AND(A196="",C196="",D196="",H196="",K196="",L196=""),"",IF(C196="skip","SKIP",IF(OR(A196="",C196="",D196="",H196="",K196="",L196="",S196="",COUNTIF($A$6:$A$505,A196)&gt;1,AND(B196&lt;&gt;"",COUNTIF(الزبائن!$A$6:$A$505,B196)=0),(COUNTIFS('أرقام التواصل'!$A$6:$A$505,"proposed_name",'أرقام التواصل'!$B$6:$B$505,A196,'أرقام التواصل'!$I$6:$I$505,"TRUE")+COUNTIFS('أرقام التواصل'!$A$6:$A$505,"proposed_name",'أرقام التواصل'!$B$6:$B$505,A196,'أرقام التواصل'!$C$6:$C$505,1))=0,AND(U196="TRUE",V196="")),"REVIEW","READY")))</f>
        <v/>
      </c>
      <c r="AC196" s="27" t="str">
        <f>IF(AB196="","",IF(AB196="READY","",IF(AB196="SKIP","Skipped by candidate_import_action",TRIM(IF(A196="","missing proposed_name_key; ","")&amp;IF(AND(A196&lt;&gt;"",COUNTIF($A$6:$A$505,A196)&gt;1),"duplicate proposed_name_key; ","")&amp;IF(C196="","missing candidate_import_action; ","")&amp;IF(D196="","missing move_reason; ","")&amp;IF(H196="","missing branch_id; ","")&amp;IF(K196="","missing first_name; ","")&amp;IF(L196="","missing last_name; ","")&amp;IF(S196="","missing status; ","")&amp;IF(AND(B196&lt;&gt;"",COUNTIF(الزبائن!$A$6:$A$505,B196)=0),"source key not found; ","")&amp;IF((COUNTIFS('أرقام التواصل'!$A$6:$A$505,"proposed_name",'أرقام التواصل'!$B$6:$B$505,A196,'أرقام التواصل'!$I$6:$I$505,"TRUE")+COUNTIFS('أرقام التواصل'!$A$6:$A$505,"proposed_name",'أرقام التواصل'!$B$6:$B$505,A196,'أرقام التواصل'!$C$6:$C$505,1))=0,"missing primary contact in أرقام التواصل; ","")&amp;IF(AND(U196="TRUE",V196=""),"duplicate_type required when duplicate_flag TRUE; ","")))))</f>
        <v/>
      </c>
    </row>
    <row r="197" spans="1:29">
      <c r="A197" s="36"/>
      <c r="B197" s="24"/>
      <c r="C197" s="25"/>
      <c r="D197" s="25"/>
      <c r="E197" s="25"/>
      <c r="F197" s="24"/>
      <c r="G197" s="25"/>
      <c r="H197" s="25"/>
      <c r="I197" s="25"/>
      <c r="J197" s="25"/>
      <c r="K197" s="25"/>
      <c r="L197" s="25"/>
      <c r="M197" s="25"/>
      <c r="N197" s="25" t="str">
        <f t="shared" si="2"/>
        <v/>
      </c>
      <c r="O197" s="25"/>
      <c r="P197" s="25"/>
      <c r="Q197" s="25"/>
      <c r="R197" s="25"/>
      <c r="S197" s="25"/>
      <c r="T197" s="25"/>
      <c r="U197" s="25"/>
      <c r="V197" s="25"/>
      <c r="W197" s="24"/>
      <c r="X197" s="24"/>
      <c r="Y197" s="25"/>
      <c r="Z197" s="25" t="str">
        <f>IF(B197="","",IFERROR(INDEX(الزبائن!$AZ$6:$AZ$505,MATCH(B197,الزبائن!$A$6:$A$505,0)),"source key not found"))</f>
        <v/>
      </c>
      <c r="AA197" s="25" t="str">
        <f>IF(B197="","",IFERROR(INDEX(الزبائن!$BA$6:$BA$505,MATCH(B197,الزبائن!$A$6:$A$505,0)),"source key not found"))</f>
        <v/>
      </c>
      <c r="AB197" s="25" t="str">
        <f>IF(AND(A197="",C197="",D197="",H197="",K197="",L197=""),"",IF(C197="skip","SKIP",IF(OR(A197="",C197="",D197="",H197="",K197="",L197="",S197="",COUNTIF($A$6:$A$505,A197)&gt;1,AND(B197&lt;&gt;"",COUNTIF(الزبائن!$A$6:$A$505,B197)=0),(COUNTIFS('أرقام التواصل'!$A$6:$A$505,"proposed_name",'أرقام التواصل'!$B$6:$B$505,A197,'أرقام التواصل'!$I$6:$I$505,"TRUE")+COUNTIFS('أرقام التواصل'!$A$6:$A$505,"proposed_name",'أرقام التواصل'!$B$6:$B$505,A197,'أرقام التواصل'!$C$6:$C$505,1))=0,AND(U197="TRUE",V197="")),"REVIEW","READY")))</f>
        <v/>
      </c>
      <c r="AC197" s="27" t="str">
        <f>IF(AB197="","",IF(AB197="READY","",IF(AB197="SKIP","Skipped by candidate_import_action",TRIM(IF(A197="","missing proposed_name_key; ","")&amp;IF(AND(A197&lt;&gt;"",COUNTIF($A$6:$A$505,A197)&gt;1),"duplicate proposed_name_key; ","")&amp;IF(C197="","missing candidate_import_action; ","")&amp;IF(D197="","missing move_reason; ","")&amp;IF(H197="","missing branch_id; ","")&amp;IF(K197="","missing first_name; ","")&amp;IF(L197="","missing last_name; ","")&amp;IF(S197="","missing status; ","")&amp;IF(AND(B197&lt;&gt;"",COUNTIF(الزبائن!$A$6:$A$505,B197)=0),"source key not found; ","")&amp;IF((COUNTIFS('أرقام التواصل'!$A$6:$A$505,"proposed_name",'أرقام التواصل'!$B$6:$B$505,A197,'أرقام التواصل'!$I$6:$I$505,"TRUE")+COUNTIFS('أرقام التواصل'!$A$6:$A$505,"proposed_name",'أرقام التواصل'!$B$6:$B$505,A197,'أرقام التواصل'!$C$6:$C$505,1))=0,"missing primary contact in أرقام التواصل; ","")&amp;IF(AND(U197="TRUE",V197=""),"duplicate_type required when duplicate_flag TRUE; ","")))))</f>
        <v/>
      </c>
    </row>
    <row r="198" spans="1:29">
      <c r="A198" s="36"/>
      <c r="B198" s="24"/>
      <c r="C198" s="25"/>
      <c r="D198" s="25"/>
      <c r="E198" s="25"/>
      <c r="F198" s="24"/>
      <c r="G198" s="25"/>
      <c r="H198" s="25"/>
      <c r="I198" s="25"/>
      <c r="J198" s="25"/>
      <c r="K198" s="25"/>
      <c r="L198" s="25"/>
      <c r="M198" s="25"/>
      <c r="N198" s="25" t="str">
        <f t="shared" ref="N198:N261" si="3">IF(TRIM(K198&amp;" "&amp;L198&amp;IF(M198&lt;&gt;""," ("&amp;M198&amp;")",""))="","",TRIM(K198&amp;" "&amp;L198&amp;IF(M198&lt;&gt;""," ("&amp;M198&amp;")","")))</f>
        <v/>
      </c>
      <c r="O198" s="25"/>
      <c r="P198" s="25"/>
      <c r="Q198" s="25"/>
      <c r="R198" s="25"/>
      <c r="S198" s="25"/>
      <c r="T198" s="25"/>
      <c r="U198" s="25"/>
      <c r="V198" s="25"/>
      <c r="W198" s="24"/>
      <c r="X198" s="24"/>
      <c r="Y198" s="25"/>
      <c r="Z198" s="25" t="str">
        <f>IF(B198="","",IFERROR(INDEX(الزبائن!$AZ$6:$AZ$505,MATCH(B198,الزبائن!$A$6:$A$505,0)),"source key not found"))</f>
        <v/>
      </c>
      <c r="AA198" s="25" t="str">
        <f>IF(B198="","",IFERROR(INDEX(الزبائن!$BA$6:$BA$505,MATCH(B198,الزبائن!$A$6:$A$505,0)),"source key not found"))</f>
        <v/>
      </c>
      <c r="AB198" s="25" t="str">
        <f>IF(AND(A198="",C198="",D198="",H198="",K198="",L198=""),"",IF(C198="skip","SKIP",IF(OR(A198="",C198="",D198="",H198="",K198="",L198="",S198="",COUNTIF($A$6:$A$505,A198)&gt;1,AND(B198&lt;&gt;"",COUNTIF(الزبائن!$A$6:$A$505,B198)=0),(COUNTIFS('أرقام التواصل'!$A$6:$A$505,"proposed_name",'أرقام التواصل'!$B$6:$B$505,A198,'أرقام التواصل'!$I$6:$I$505,"TRUE")+COUNTIFS('أرقام التواصل'!$A$6:$A$505,"proposed_name",'أرقام التواصل'!$B$6:$B$505,A198,'أرقام التواصل'!$C$6:$C$505,1))=0,AND(U198="TRUE",V198="")),"REVIEW","READY")))</f>
        <v/>
      </c>
      <c r="AC198" s="27" t="str">
        <f>IF(AB198="","",IF(AB198="READY","",IF(AB198="SKIP","Skipped by candidate_import_action",TRIM(IF(A198="","missing proposed_name_key; ","")&amp;IF(AND(A198&lt;&gt;"",COUNTIF($A$6:$A$505,A198)&gt;1),"duplicate proposed_name_key; ","")&amp;IF(C198="","missing candidate_import_action; ","")&amp;IF(D198="","missing move_reason; ","")&amp;IF(H198="","missing branch_id; ","")&amp;IF(K198="","missing first_name; ","")&amp;IF(L198="","missing last_name; ","")&amp;IF(S198="","missing status; ","")&amp;IF(AND(B198&lt;&gt;"",COUNTIF(الزبائن!$A$6:$A$505,B198)=0),"source key not found; ","")&amp;IF((COUNTIFS('أرقام التواصل'!$A$6:$A$505,"proposed_name",'أرقام التواصل'!$B$6:$B$505,A198,'أرقام التواصل'!$I$6:$I$505,"TRUE")+COUNTIFS('أرقام التواصل'!$A$6:$A$505,"proposed_name",'أرقام التواصل'!$B$6:$B$505,A198,'أرقام التواصل'!$C$6:$C$505,1))=0,"missing primary contact in أرقام التواصل; ","")&amp;IF(AND(U198="TRUE",V198=""),"duplicate_type required when duplicate_flag TRUE; ","")))))</f>
        <v/>
      </c>
    </row>
    <row r="199" spans="1:29">
      <c r="A199" s="36"/>
      <c r="B199" s="24"/>
      <c r="C199" s="25"/>
      <c r="D199" s="25"/>
      <c r="E199" s="25"/>
      <c r="F199" s="24"/>
      <c r="G199" s="25"/>
      <c r="H199" s="25"/>
      <c r="I199" s="25"/>
      <c r="J199" s="25"/>
      <c r="K199" s="25"/>
      <c r="L199" s="25"/>
      <c r="M199" s="25"/>
      <c r="N199" s="25" t="str">
        <f t="shared" si="3"/>
        <v/>
      </c>
      <c r="O199" s="25"/>
      <c r="P199" s="25"/>
      <c r="Q199" s="25"/>
      <c r="R199" s="25"/>
      <c r="S199" s="25"/>
      <c r="T199" s="25"/>
      <c r="U199" s="25"/>
      <c r="V199" s="25"/>
      <c r="W199" s="24"/>
      <c r="X199" s="24"/>
      <c r="Y199" s="25"/>
      <c r="Z199" s="25" t="str">
        <f>IF(B199="","",IFERROR(INDEX(الزبائن!$AZ$6:$AZ$505,MATCH(B199,الزبائن!$A$6:$A$505,0)),"source key not found"))</f>
        <v/>
      </c>
      <c r="AA199" s="25" t="str">
        <f>IF(B199="","",IFERROR(INDEX(الزبائن!$BA$6:$BA$505,MATCH(B199,الزبائن!$A$6:$A$505,0)),"source key not found"))</f>
        <v/>
      </c>
      <c r="AB199" s="25" t="str">
        <f>IF(AND(A199="",C199="",D199="",H199="",K199="",L199=""),"",IF(C199="skip","SKIP",IF(OR(A199="",C199="",D199="",H199="",K199="",L199="",S199="",COUNTIF($A$6:$A$505,A199)&gt;1,AND(B199&lt;&gt;"",COUNTIF(الزبائن!$A$6:$A$505,B199)=0),(COUNTIFS('أرقام التواصل'!$A$6:$A$505,"proposed_name",'أرقام التواصل'!$B$6:$B$505,A199,'أرقام التواصل'!$I$6:$I$505,"TRUE")+COUNTIFS('أرقام التواصل'!$A$6:$A$505,"proposed_name",'أرقام التواصل'!$B$6:$B$505,A199,'أرقام التواصل'!$C$6:$C$505,1))=0,AND(U199="TRUE",V199="")),"REVIEW","READY")))</f>
        <v/>
      </c>
      <c r="AC199" s="27" t="str">
        <f>IF(AB199="","",IF(AB199="READY","",IF(AB199="SKIP","Skipped by candidate_import_action",TRIM(IF(A199="","missing proposed_name_key; ","")&amp;IF(AND(A199&lt;&gt;"",COUNTIF($A$6:$A$505,A199)&gt;1),"duplicate proposed_name_key; ","")&amp;IF(C199="","missing candidate_import_action; ","")&amp;IF(D199="","missing move_reason; ","")&amp;IF(H199="","missing branch_id; ","")&amp;IF(K199="","missing first_name; ","")&amp;IF(L199="","missing last_name; ","")&amp;IF(S199="","missing status; ","")&amp;IF(AND(B199&lt;&gt;"",COUNTIF(الزبائن!$A$6:$A$505,B199)=0),"source key not found; ","")&amp;IF((COUNTIFS('أرقام التواصل'!$A$6:$A$505,"proposed_name",'أرقام التواصل'!$B$6:$B$505,A199,'أرقام التواصل'!$I$6:$I$505,"TRUE")+COUNTIFS('أرقام التواصل'!$A$6:$A$505,"proposed_name",'أرقام التواصل'!$B$6:$B$505,A199,'أرقام التواصل'!$C$6:$C$505,1))=0,"missing primary contact in أرقام التواصل; ","")&amp;IF(AND(U199="TRUE",V199=""),"duplicate_type required when duplicate_flag TRUE; ","")))))</f>
        <v/>
      </c>
    </row>
    <row r="200" spans="1:29">
      <c r="A200" s="36"/>
      <c r="B200" s="24"/>
      <c r="C200" s="25"/>
      <c r="D200" s="25"/>
      <c r="E200" s="25"/>
      <c r="F200" s="24"/>
      <c r="G200" s="25"/>
      <c r="H200" s="25"/>
      <c r="I200" s="25"/>
      <c r="J200" s="25"/>
      <c r="K200" s="25"/>
      <c r="L200" s="25"/>
      <c r="M200" s="25"/>
      <c r="N200" s="25" t="str">
        <f t="shared" si="3"/>
        <v/>
      </c>
      <c r="O200" s="25"/>
      <c r="P200" s="25"/>
      <c r="Q200" s="25"/>
      <c r="R200" s="25"/>
      <c r="S200" s="25"/>
      <c r="T200" s="25"/>
      <c r="U200" s="25"/>
      <c r="V200" s="25"/>
      <c r="W200" s="24"/>
      <c r="X200" s="24"/>
      <c r="Y200" s="25"/>
      <c r="Z200" s="25" t="str">
        <f>IF(B200="","",IFERROR(INDEX(الزبائن!$AZ$6:$AZ$505,MATCH(B200,الزبائن!$A$6:$A$505,0)),"source key not found"))</f>
        <v/>
      </c>
      <c r="AA200" s="25" t="str">
        <f>IF(B200="","",IFERROR(INDEX(الزبائن!$BA$6:$BA$505,MATCH(B200,الزبائن!$A$6:$A$505,0)),"source key not found"))</f>
        <v/>
      </c>
      <c r="AB200" s="25" t="str">
        <f>IF(AND(A200="",C200="",D200="",H200="",K200="",L200=""),"",IF(C200="skip","SKIP",IF(OR(A200="",C200="",D200="",H200="",K200="",L200="",S200="",COUNTIF($A$6:$A$505,A200)&gt;1,AND(B200&lt;&gt;"",COUNTIF(الزبائن!$A$6:$A$505,B200)=0),(COUNTIFS('أرقام التواصل'!$A$6:$A$505,"proposed_name",'أرقام التواصل'!$B$6:$B$505,A200,'أرقام التواصل'!$I$6:$I$505,"TRUE")+COUNTIFS('أرقام التواصل'!$A$6:$A$505,"proposed_name",'أرقام التواصل'!$B$6:$B$505,A200,'أرقام التواصل'!$C$6:$C$505,1))=0,AND(U200="TRUE",V200="")),"REVIEW","READY")))</f>
        <v/>
      </c>
      <c r="AC200" s="27" t="str">
        <f>IF(AB200="","",IF(AB200="READY","",IF(AB200="SKIP","Skipped by candidate_import_action",TRIM(IF(A200="","missing proposed_name_key; ","")&amp;IF(AND(A200&lt;&gt;"",COUNTIF($A$6:$A$505,A200)&gt;1),"duplicate proposed_name_key; ","")&amp;IF(C200="","missing candidate_import_action; ","")&amp;IF(D200="","missing move_reason; ","")&amp;IF(H200="","missing branch_id; ","")&amp;IF(K200="","missing first_name; ","")&amp;IF(L200="","missing last_name; ","")&amp;IF(S200="","missing status; ","")&amp;IF(AND(B200&lt;&gt;"",COUNTIF(الزبائن!$A$6:$A$505,B200)=0),"source key not found; ","")&amp;IF((COUNTIFS('أرقام التواصل'!$A$6:$A$505,"proposed_name",'أرقام التواصل'!$B$6:$B$505,A200,'أرقام التواصل'!$I$6:$I$505,"TRUE")+COUNTIFS('أرقام التواصل'!$A$6:$A$505,"proposed_name",'أرقام التواصل'!$B$6:$B$505,A200,'أرقام التواصل'!$C$6:$C$505,1))=0,"missing primary contact in أرقام التواصل; ","")&amp;IF(AND(U200="TRUE",V200=""),"duplicate_type required when duplicate_flag TRUE; ","")))))</f>
        <v/>
      </c>
    </row>
    <row r="201" spans="1:29">
      <c r="A201" s="36"/>
      <c r="B201" s="24"/>
      <c r="C201" s="25"/>
      <c r="D201" s="25"/>
      <c r="E201" s="25"/>
      <c r="F201" s="24"/>
      <c r="G201" s="25"/>
      <c r="H201" s="25"/>
      <c r="I201" s="25"/>
      <c r="J201" s="25"/>
      <c r="K201" s="25"/>
      <c r="L201" s="25"/>
      <c r="M201" s="25"/>
      <c r="N201" s="25" t="str">
        <f t="shared" si="3"/>
        <v/>
      </c>
      <c r="O201" s="25"/>
      <c r="P201" s="25"/>
      <c r="Q201" s="25"/>
      <c r="R201" s="25"/>
      <c r="S201" s="25"/>
      <c r="T201" s="25"/>
      <c r="U201" s="25"/>
      <c r="V201" s="25"/>
      <c r="W201" s="24"/>
      <c r="X201" s="24"/>
      <c r="Y201" s="25"/>
      <c r="Z201" s="25" t="str">
        <f>IF(B201="","",IFERROR(INDEX(الزبائن!$AZ$6:$AZ$505,MATCH(B201,الزبائن!$A$6:$A$505,0)),"source key not found"))</f>
        <v/>
      </c>
      <c r="AA201" s="25" t="str">
        <f>IF(B201="","",IFERROR(INDEX(الزبائن!$BA$6:$BA$505,MATCH(B201,الزبائن!$A$6:$A$505,0)),"source key not found"))</f>
        <v/>
      </c>
      <c r="AB201" s="25" t="str">
        <f>IF(AND(A201="",C201="",D201="",H201="",K201="",L201=""),"",IF(C201="skip","SKIP",IF(OR(A201="",C201="",D201="",H201="",K201="",L201="",S201="",COUNTIF($A$6:$A$505,A201)&gt;1,AND(B201&lt;&gt;"",COUNTIF(الزبائن!$A$6:$A$505,B201)=0),(COUNTIFS('أرقام التواصل'!$A$6:$A$505,"proposed_name",'أرقام التواصل'!$B$6:$B$505,A201,'أرقام التواصل'!$I$6:$I$505,"TRUE")+COUNTIFS('أرقام التواصل'!$A$6:$A$505,"proposed_name",'أرقام التواصل'!$B$6:$B$505,A201,'أرقام التواصل'!$C$6:$C$505,1))=0,AND(U201="TRUE",V201="")),"REVIEW","READY")))</f>
        <v/>
      </c>
      <c r="AC201" s="27" t="str">
        <f>IF(AB201="","",IF(AB201="READY","",IF(AB201="SKIP","Skipped by candidate_import_action",TRIM(IF(A201="","missing proposed_name_key; ","")&amp;IF(AND(A201&lt;&gt;"",COUNTIF($A$6:$A$505,A201)&gt;1),"duplicate proposed_name_key; ","")&amp;IF(C201="","missing candidate_import_action; ","")&amp;IF(D201="","missing move_reason; ","")&amp;IF(H201="","missing branch_id; ","")&amp;IF(K201="","missing first_name; ","")&amp;IF(L201="","missing last_name; ","")&amp;IF(S201="","missing status; ","")&amp;IF(AND(B201&lt;&gt;"",COUNTIF(الزبائن!$A$6:$A$505,B201)=0),"source key not found; ","")&amp;IF((COUNTIFS('أرقام التواصل'!$A$6:$A$505,"proposed_name",'أرقام التواصل'!$B$6:$B$505,A201,'أرقام التواصل'!$I$6:$I$505,"TRUE")+COUNTIFS('أرقام التواصل'!$A$6:$A$505,"proposed_name",'أرقام التواصل'!$B$6:$B$505,A201,'أرقام التواصل'!$C$6:$C$505,1))=0,"missing primary contact in أرقام التواصل; ","")&amp;IF(AND(U201="TRUE",V201=""),"duplicate_type required when duplicate_flag TRUE; ","")))))</f>
        <v/>
      </c>
    </row>
    <row r="202" spans="1:29">
      <c r="A202" s="36"/>
      <c r="B202" s="24"/>
      <c r="C202" s="25"/>
      <c r="D202" s="25"/>
      <c r="E202" s="25"/>
      <c r="F202" s="24"/>
      <c r="G202" s="25"/>
      <c r="H202" s="25"/>
      <c r="I202" s="25"/>
      <c r="J202" s="25"/>
      <c r="K202" s="25"/>
      <c r="L202" s="25"/>
      <c r="M202" s="25"/>
      <c r="N202" s="25" t="str">
        <f t="shared" si="3"/>
        <v/>
      </c>
      <c r="O202" s="25"/>
      <c r="P202" s="25"/>
      <c r="Q202" s="25"/>
      <c r="R202" s="25"/>
      <c r="S202" s="25"/>
      <c r="T202" s="25"/>
      <c r="U202" s="25"/>
      <c r="V202" s="25"/>
      <c r="W202" s="24"/>
      <c r="X202" s="24"/>
      <c r="Y202" s="25"/>
      <c r="Z202" s="25" t="str">
        <f>IF(B202="","",IFERROR(INDEX(الزبائن!$AZ$6:$AZ$505,MATCH(B202,الزبائن!$A$6:$A$505,0)),"source key not found"))</f>
        <v/>
      </c>
      <c r="AA202" s="25" t="str">
        <f>IF(B202="","",IFERROR(INDEX(الزبائن!$BA$6:$BA$505,MATCH(B202,الزبائن!$A$6:$A$505,0)),"source key not found"))</f>
        <v/>
      </c>
      <c r="AB202" s="25" t="str">
        <f>IF(AND(A202="",C202="",D202="",H202="",K202="",L202=""),"",IF(C202="skip","SKIP",IF(OR(A202="",C202="",D202="",H202="",K202="",L202="",S202="",COUNTIF($A$6:$A$505,A202)&gt;1,AND(B202&lt;&gt;"",COUNTIF(الزبائن!$A$6:$A$505,B202)=0),(COUNTIFS('أرقام التواصل'!$A$6:$A$505,"proposed_name",'أرقام التواصل'!$B$6:$B$505,A202,'أرقام التواصل'!$I$6:$I$505,"TRUE")+COUNTIFS('أرقام التواصل'!$A$6:$A$505,"proposed_name",'أرقام التواصل'!$B$6:$B$505,A202,'أرقام التواصل'!$C$6:$C$505,1))=0,AND(U202="TRUE",V202="")),"REVIEW","READY")))</f>
        <v/>
      </c>
      <c r="AC202" s="27" t="str">
        <f>IF(AB202="","",IF(AB202="READY","",IF(AB202="SKIP","Skipped by candidate_import_action",TRIM(IF(A202="","missing proposed_name_key; ","")&amp;IF(AND(A202&lt;&gt;"",COUNTIF($A$6:$A$505,A202)&gt;1),"duplicate proposed_name_key; ","")&amp;IF(C202="","missing candidate_import_action; ","")&amp;IF(D202="","missing move_reason; ","")&amp;IF(H202="","missing branch_id; ","")&amp;IF(K202="","missing first_name; ","")&amp;IF(L202="","missing last_name; ","")&amp;IF(S202="","missing status; ","")&amp;IF(AND(B202&lt;&gt;"",COUNTIF(الزبائن!$A$6:$A$505,B202)=0),"source key not found; ","")&amp;IF((COUNTIFS('أرقام التواصل'!$A$6:$A$505,"proposed_name",'أرقام التواصل'!$B$6:$B$505,A202,'أرقام التواصل'!$I$6:$I$505,"TRUE")+COUNTIFS('أرقام التواصل'!$A$6:$A$505,"proposed_name",'أرقام التواصل'!$B$6:$B$505,A202,'أرقام التواصل'!$C$6:$C$505,1))=0,"missing primary contact in أرقام التواصل; ","")&amp;IF(AND(U202="TRUE",V202=""),"duplicate_type required when duplicate_flag TRUE; ","")))))</f>
        <v/>
      </c>
    </row>
    <row r="203" spans="1:29">
      <c r="A203" s="36"/>
      <c r="B203" s="24"/>
      <c r="C203" s="25"/>
      <c r="D203" s="25"/>
      <c r="E203" s="25"/>
      <c r="F203" s="24"/>
      <c r="G203" s="25"/>
      <c r="H203" s="25"/>
      <c r="I203" s="25"/>
      <c r="J203" s="25"/>
      <c r="K203" s="25"/>
      <c r="L203" s="25"/>
      <c r="M203" s="25"/>
      <c r="N203" s="25" t="str">
        <f t="shared" si="3"/>
        <v/>
      </c>
      <c r="O203" s="25"/>
      <c r="P203" s="25"/>
      <c r="Q203" s="25"/>
      <c r="R203" s="25"/>
      <c r="S203" s="25"/>
      <c r="T203" s="25"/>
      <c r="U203" s="25"/>
      <c r="V203" s="25"/>
      <c r="W203" s="24"/>
      <c r="X203" s="24"/>
      <c r="Y203" s="25"/>
      <c r="Z203" s="25" t="str">
        <f>IF(B203="","",IFERROR(INDEX(الزبائن!$AZ$6:$AZ$505,MATCH(B203,الزبائن!$A$6:$A$505,0)),"source key not found"))</f>
        <v/>
      </c>
      <c r="AA203" s="25" t="str">
        <f>IF(B203="","",IFERROR(INDEX(الزبائن!$BA$6:$BA$505,MATCH(B203,الزبائن!$A$6:$A$505,0)),"source key not found"))</f>
        <v/>
      </c>
      <c r="AB203" s="25" t="str">
        <f>IF(AND(A203="",C203="",D203="",H203="",K203="",L203=""),"",IF(C203="skip","SKIP",IF(OR(A203="",C203="",D203="",H203="",K203="",L203="",S203="",COUNTIF($A$6:$A$505,A203)&gt;1,AND(B203&lt;&gt;"",COUNTIF(الزبائن!$A$6:$A$505,B203)=0),(COUNTIFS('أرقام التواصل'!$A$6:$A$505,"proposed_name",'أرقام التواصل'!$B$6:$B$505,A203,'أرقام التواصل'!$I$6:$I$505,"TRUE")+COUNTIFS('أرقام التواصل'!$A$6:$A$505,"proposed_name",'أرقام التواصل'!$B$6:$B$505,A203,'أرقام التواصل'!$C$6:$C$505,1))=0,AND(U203="TRUE",V203="")),"REVIEW","READY")))</f>
        <v/>
      </c>
      <c r="AC203" s="27" t="str">
        <f>IF(AB203="","",IF(AB203="READY","",IF(AB203="SKIP","Skipped by candidate_import_action",TRIM(IF(A203="","missing proposed_name_key; ","")&amp;IF(AND(A203&lt;&gt;"",COUNTIF($A$6:$A$505,A203)&gt;1),"duplicate proposed_name_key; ","")&amp;IF(C203="","missing candidate_import_action; ","")&amp;IF(D203="","missing move_reason; ","")&amp;IF(H203="","missing branch_id; ","")&amp;IF(K203="","missing first_name; ","")&amp;IF(L203="","missing last_name; ","")&amp;IF(S203="","missing status; ","")&amp;IF(AND(B203&lt;&gt;"",COUNTIF(الزبائن!$A$6:$A$505,B203)=0),"source key not found; ","")&amp;IF((COUNTIFS('أرقام التواصل'!$A$6:$A$505,"proposed_name",'أرقام التواصل'!$B$6:$B$505,A203,'أرقام التواصل'!$I$6:$I$505,"TRUE")+COUNTIFS('أرقام التواصل'!$A$6:$A$505,"proposed_name",'أرقام التواصل'!$B$6:$B$505,A203,'أرقام التواصل'!$C$6:$C$505,1))=0,"missing primary contact in أرقام التواصل; ","")&amp;IF(AND(U203="TRUE",V203=""),"duplicate_type required when duplicate_flag TRUE; ","")))))</f>
        <v/>
      </c>
    </row>
    <row r="204" spans="1:29">
      <c r="A204" s="36"/>
      <c r="B204" s="24"/>
      <c r="C204" s="25"/>
      <c r="D204" s="25"/>
      <c r="E204" s="25"/>
      <c r="F204" s="24"/>
      <c r="G204" s="25"/>
      <c r="H204" s="25"/>
      <c r="I204" s="25"/>
      <c r="J204" s="25"/>
      <c r="K204" s="25"/>
      <c r="L204" s="25"/>
      <c r="M204" s="25"/>
      <c r="N204" s="25" t="str">
        <f t="shared" si="3"/>
        <v/>
      </c>
      <c r="O204" s="25"/>
      <c r="P204" s="25"/>
      <c r="Q204" s="25"/>
      <c r="R204" s="25"/>
      <c r="S204" s="25"/>
      <c r="T204" s="25"/>
      <c r="U204" s="25"/>
      <c r="V204" s="25"/>
      <c r="W204" s="24"/>
      <c r="X204" s="24"/>
      <c r="Y204" s="25"/>
      <c r="Z204" s="25" t="str">
        <f>IF(B204="","",IFERROR(INDEX(الزبائن!$AZ$6:$AZ$505,MATCH(B204,الزبائن!$A$6:$A$505,0)),"source key not found"))</f>
        <v/>
      </c>
      <c r="AA204" s="25" t="str">
        <f>IF(B204="","",IFERROR(INDEX(الزبائن!$BA$6:$BA$505,MATCH(B204,الزبائن!$A$6:$A$505,0)),"source key not found"))</f>
        <v/>
      </c>
      <c r="AB204" s="25" t="str">
        <f>IF(AND(A204="",C204="",D204="",H204="",K204="",L204=""),"",IF(C204="skip","SKIP",IF(OR(A204="",C204="",D204="",H204="",K204="",L204="",S204="",COUNTIF($A$6:$A$505,A204)&gt;1,AND(B204&lt;&gt;"",COUNTIF(الزبائن!$A$6:$A$505,B204)=0),(COUNTIFS('أرقام التواصل'!$A$6:$A$505,"proposed_name",'أرقام التواصل'!$B$6:$B$505,A204,'أرقام التواصل'!$I$6:$I$505,"TRUE")+COUNTIFS('أرقام التواصل'!$A$6:$A$505,"proposed_name",'أرقام التواصل'!$B$6:$B$505,A204,'أرقام التواصل'!$C$6:$C$505,1))=0,AND(U204="TRUE",V204="")),"REVIEW","READY")))</f>
        <v/>
      </c>
      <c r="AC204" s="27" t="str">
        <f>IF(AB204="","",IF(AB204="READY","",IF(AB204="SKIP","Skipped by candidate_import_action",TRIM(IF(A204="","missing proposed_name_key; ","")&amp;IF(AND(A204&lt;&gt;"",COUNTIF($A$6:$A$505,A204)&gt;1),"duplicate proposed_name_key; ","")&amp;IF(C204="","missing candidate_import_action; ","")&amp;IF(D204="","missing move_reason; ","")&amp;IF(H204="","missing branch_id; ","")&amp;IF(K204="","missing first_name; ","")&amp;IF(L204="","missing last_name; ","")&amp;IF(S204="","missing status; ","")&amp;IF(AND(B204&lt;&gt;"",COUNTIF(الزبائن!$A$6:$A$505,B204)=0),"source key not found; ","")&amp;IF((COUNTIFS('أرقام التواصل'!$A$6:$A$505,"proposed_name",'أرقام التواصل'!$B$6:$B$505,A204,'أرقام التواصل'!$I$6:$I$505,"TRUE")+COUNTIFS('أرقام التواصل'!$A$6:$A$505,"proposed_name",'أرقام التواصل'!$B$6:$B$505,A204,'أرقام التواصل'!$C$6:$C$505,1))=0,"missing primary contact in أرقام التواصل; ","")&amp;IF(AND(U204="TRUE",V204=""),"duplicate_type required when duplicate_flag TRUE; ","")))))</f>
        <v/>
      </c>
    </row>
    <row r="205" spans="1:29">
      <c r="A205" s="36"/>
      <c r="B205" s="24"/>
      <c r="C205" s="25"/>
      <c r="D205" s="25"/>
      <c r="E205" s="25"/>
      <c r="F205" s="24"/>
      <c r="G205" s="25"/>
      <c r="H205" s="25"/>
      <c r="I205" s="25"/>
      <c r="J205" s="25"/>
      <c r="K205" s="25"/>
      <c r="L205" s="25"/>
      <c r="M205" s="25"/>
      <c r="N205" s="25" t="str">
        <f t="shared" si="3"/>
        <v/>
      </c>
      <c r="O205" s="25"/>
      <c r="P205" s="25"/>
      <c r="Q205" s="25"/>
      <c r="R205" s="25"/>
      <c r="S205" s="25"/>
      <c r="T205" s="25"/>
      <c r="U205" s="25"/>
      <c r="V205" s="25"/>
      <c r="W205" s="24"/>
      <c r="X205" s="24"/>
      <c r="Y205" s="25"/>
      <c r="Z205" s="25" t="str">
        <f>IF(B205="","",IFERROR(INDEX(الزبائن!$AZ$6:$AZ$505,MATCH(B205,الزبائن!$A$6:$A$505,0)),"source key not found"))</f>
        <v/>
      </c>
      <c r="AA205" s="25" t="str">
        <f>IF(B205="","",IFERROR(INDEX(الزبائن!$BA$6:$BA$505,MATCH(B205,الزبائن!$A$6:$A$505,0)),"source key not found"))</f>
        <v/>
      </c>
      <c r="AB205" s="25" t="str">
        <f>IF(AND(A205="",C205="",D205="",H205="",K205="",L205=""),"",IF(C205="skip","SKIP",IF(OR(A205="",C205="",D205="",H205="",K205="",L205="",S205="",COUNTIF($A$6:$A$505,A205)&gt;1,AND(B205&lt;&gt;"",COUNTIF(الزبائن!$A$6:$A$505,B205)=0),(COUNTIFS('أرقام التواصل'!$A$6:$A$505,"proposed_name",'أرقام التواصل'!$B$6:$B$505,A205,'أرقام التواصل'!$I$6:$I$505,"TRUE")+COUNTIFS('أرقام التواصل'!$A$6:$A$505,"proposed_name",'أرقام التواصل'!$B$6:$B$505,A205,'أرقام التواصل'!$C$6:$C$505,1))=0,AND(U205="TRUE",V205="")),"REVIEW","READY")))</f>
        <v/>
      </c>
      <c r="AC205" s="27" t="str">
        <f>IF(AB205="","",IF(AB205="READY","",IF(AB205="SKIP","Skipped by candidate_import_action",TRIM(IF(A205="","missing proposed_name_key; ","")&amp;IF(AND(A205&lt;&gt;"",COUNTIF($A$6:$A$505,A205)&gt;1),"duplicate proposed_name_key; ","")&amp;IF(C205="","missing candidate_import_action; ","")&amp;IF(D205="","missing move_reason; ","")&amp;IF(H205="","missing branch_id; ","")&amp;IF(K205="","missing first_name; ","")&amp;IF(L205="","missing last_name; ","")&amp;IF(S205="","missing status; ","")&amp;IF(AND(B205&lt;&gt;"",COUNTIF(الزبائن!$A$6:$A$505,B205)=0),"source key not found; ","")&amp;IF((COUNTIFS('أرقام التواصل'!$A$6:$A$505,"proposed_name",'أرقام التواصل'!$B$6:$B$505,A205,'أرقام التواصل'!$I$6:$I$505,"TRUE")+COUNTIFS('أرقام التواصل'!$A$6:$A$505,"proposed_name",'أرقام التواصل'!$B$6:$B$505,A205,'أرقام التواصل'!$C$6:$C$505,1))=0,"missing primary contact in أرقام التواصل; ","")&amp;IF(AND(U205="TRUE",V205=""),"duplicate_type required when duplicate_flag TRUE; ","")))))</f>
        <v/>
      </c>
    </row>
    <row r="206" spans="1:29">
      <c r="A206" s="36"/>
      <c r="B206" s="24"/>
      <c r="C206" s="25"/>
      <c r="D206" s="25"/>
      <c r="E206" s="25"/>
      <c r="F206" s="24"/>
      <c r="G206" s="25"/>
      <c r="H206" s="25"/>
      <c r="I206" s="25"/>
      <c r="J206" s="25"/>
      <c r="K206" s="25"/>
      <c r="L206" s="25"/>
      <c r="M206" s="25"/>
      <c r="N206" s="25" t="str">
        <f t="shared" si="3"/>
        <v/>
      </c>
      <c r="O206" s="25"/>
      <c r="P206" s="25"/>
      <c r="Q206" s="25"/>
      <c r="R206" s="25"/>
      <c r="S206" s="25"/>
      <c r="T206" s="25"/>
      <c r="U206" s="25"/>
      <c r="V206" s="25"/>
      <c r="W206" s="24"/>
      <c r="X206" s="24"/>
      <c r="Y206" s="25"/>
      <c r="Z206" s="25" t="str">
        <f>IF(B206="","",IFERROR(INDEX(الزبائن!$AZ$6:$AZ$505,MATCH(B206,الزبائن!$A$6:$A$505,0)),"source key not found"))</f>
        <v/>
      </c>
      <c r="AA206" s="25" t="str">
        <f>IF(B206="","",IFERROR(INDEX(الزبائن!$BA$6:$BA$505,MATCH(B206,الزبائن!$A$6:$A$505,0)),"source key not found"))</f>
        <v/>
      </c>
      <c r="AB206" s="25" t="str">
        <f>IF(AND(A206="",C206="",D206="",H206="",K206="",L206=""),"",IF(C206="skip","SKIP",IF(OR(A206="",C206="",D206="",H206="",K206="",L206="",S206="",COUNTIF($A$6:$A$505,A206)&gt;1,AND(B206&lt;&gt;"",COUNTIF(الزبائن!$A$6:$A$505,B206)=0),(COUNTIFS('أرقام التواصل'!$A$6:$A$505,"proposed_name",'أرقام التواصل'!$B$6:$B$505,A206,'أرقام التواصل'!$I$6:$I$505,"TRUE")+COUNTIFS('أرقام التواصل'!$A$6:$A$505,"proposed_name",'أرقام التواصل'!$B$6:$B$505,A206,'أرقام التواصل'!$C$6:$C$505,1))=0,AND(U206="TRUE",V206="")),"REVIEW","READY")))</f>
        <v/>
      </c>
      <c r="AC206" s="27" t="str">
        <f>IF(AB206="","",IF(AB206="READY","",IF(AB206="SKIP","Skipped by candidate_import_action",TRIM(IF(A206="","missing proposed_name_key; ","")&amp;IF(AND(A206&lt;&gt;"",COUNTIF($A$6:$A$505,A206)&gt;1),"duplicate proposed_name_key; ","")&amp;IF(C206="","missing candidate_import_action; ","")&amp;IF(D206="","missing move_reason; ","")&amp;IF(H206="","missing branch_id; ","")&amp;IF(K206="","missing first_name; ","")&amp;IF(L206="","missing last_name; ","")&amp;IF(S206="","missing status; ","")&amp;IF(AND(B206&lt;&gt;"",COUNTIF(الزبائن!$A$6:$A$505,B206)=0),"source key not found; ","")&amp;IF((COUNTIFS('أرقام التواصل'!$A$6:$A$505,"proposed_name",'أرقام التواصل'!$B$6:$B$505,A206,'أرقام التواصل'!$I$6:$I$505,"TRUE")+COUNTIFS('أرقام التواصل'!$A$6:$A$505,"proposed_name",'أرقام التواصل'!$B$6:$B$505,A206,'أرقام التواصل'!$C$6:$C$505,1))=0,"missing primary contact in أرقام التواصل; ","")&amp;IF(AND(U206="TRUE",V206=""),"duplicate_type required when duplicate_flag TRUE; ","")))))</f>
        <v/>
      </c>
    </row>
    <row r="207" spans="1:29">
      <c r="A207" s="36"/>
      <c r="B207" s="24"/>
      <c r="C207" s="25"/>
      <c r="D207" s="25"/>
      <c r="E207" s="25"/>
      <c r="F207" s="24"/>
      <c r="G207" s="25"/>
      <c r="H207" s="25"/>
      <c r="I207" s="25"/>
      <c r="J207" s="25"/>
      <c r="K207" s="25"/>
      <c r="L207" s="25"/>
      <c r="M207" s="25"/>
      <c r="N207" s="25" t="str">
        <f t="shared" si="3"/>
        <v/>
      </c>
      <c r="O207" s="25"/>
      <c r="P207" s="25"/>
      <c r="Q207" s="25"/>
      <c r="R207" s="25"/>
      <c r="S207" s="25"/>
      <c r="T207" s="25"/>
      <c r="U207" s="25"/>
      <c r="V207" s="25"/>
      <c r="W207" s="24"/>
      <c r="X207" s="24"/>
      <c r="Y207" s="25"/>
      <c r="Z207" s="25" t="str">
        <f>IF(B207="","",IFERROR(INDEX(الزبائن!$AZ$6:$AZ$505,MATCH(B207,الزبائن!$A$6:$A$505,0)),"source key not found"))</f>
        <v/>
      </c>
      <c r="AA207" s="25" t="str">
        <f>IF(B207="","",IFERROR(INDEX(الزبائن!$BA$6:$BA$505,MATCH(B207,الزبائن!$A$6:$A$505,0)),"source key not found"))</f>
        <v/>
      </c>
      <c r="AB207" s="25" t="str">
        <f>IF(AND(A207="",C207="",D207="",H207="",K207="",L207=""),"",IF(C207="skip","SKIP",IF(OR(A207="",C207="",D207="",H207="",K207="",L207="",S207="",COUNTIF($A$6:$A$505,A207)&gt;1,AND(B207&lt;&gt;"",COUNTIF(الزبائن!$A$6:$A$505,B207)=0),(COUNTIFS('أرقام التواصل'!$A$6:$A$505,"proposed_name",'أرقام التواصل'!$B$6:$B$505,A207,'أرقام التواصل'!$I$6:$I$505,"TRUE")+COUNTIFS('أرقام التواصل'!$A$6:$A$505,"proposed_name",'أرقام التواصل'!$B$6:$B$505,A207,'أرقام التواصل'!$C$6:$C$505,1))=0,AND(U207="TRUE",V207="")),"REVIEW","READY")))</f>
        <v/>
      </c>
      <c r="AC207" s="27" t="str">
        <f>IF(AB207="","",IF(AB207="READY","",IF(AB207="SKIP","Skipped by candidate_import_action",TRIM(IF(A207="","missing proposed_name_key; ","")&amp;IF(AND(A207&lt;&gt;"",COUNTIF($A$6:$A$505,A207)&gt;1),"duplicate proposed_name_key; ","")&amp;IF(C207="","missing candidate_import_action; ","")&amp;IF(D207="","missing move_reason; ","")&amp;IF(H207="","missing branch_id; ","")&amp;IF(K207="","missing first_name; ","")&amp;IF(L207="","missing last_name; ","")&amp;IF(S207="","missing status; ","")&amp;IF(AND(B207&lt;&gt;"",COUNTIF(الزبائن!$A$6:$A$505,B207)=0),"source key not found; ","")&amp;IF((COUNTIFS('أرقام التواصل'!$A$6:$A$505,"proposed_name",'أرقام التواصل'!$B$6:$B$505,A207,'أرقام التواصل'!$I$6:$I$505,"TRUE")+COUNTIFS('أرقام التواصل'!$A$6:$A$505,"proposed_name",'أرقام التواصل'!$B$6:$B$505,A207,'أرقام التواصل'!$C$6:$C$505,1))=0,"missing primary contact in أرقام التواصل; ","")&amp;IF(AND(U207="TRUE",V207=""),"duplicate_type required when duplicate_flag TRUE; ","")))))</f>
        <v/>
      </c>
    </row>
    <row r="208" spans="1:29">
      <c r="A208" s="36"/>
      <c r="B208" s="24"/>
      <c r="C208" s="25"/>
      <c r="D208" s="25"/>
      <c r="E208" s="25"/>
      <c r="F208" s="24"/>
      <c r="G208" s="25"/>
      <c r="H208" s="25"/>
      <c r="I208" s="25"/>
      <c r="J208" s="25"/>
      <c r="K208" s="25"/>
      <c r="L208" s="25"/>
      <c r="M208" s="25"/>
      <c r="N208" s="25" t="str">
        <f t="shared" si="3"/>
        <v/>
      </c>
      <c r="O208" s="25"/>
      <c r="P208" s="25"/>
      <c r="Q208" s="25"/>
      <c r="R208" s="25"/>
      <c r="S208" s="25"/>
      <c r="T208" s="25"/>
      <c r="U208" s="25"/>
      <c r="V208" s="25"/>
      <c r="W208" s="24"/>
      <c r="X208" s="24"/>
      <c r="Y208" s="25"/>
      <c r="Z208" s="25" t="str">
        <f>IF(B208="","",IFERROR(INDEX(الزبائن!$AZ$6:$AZ$505,MATCH(B208,الزبائن!$A$6:$A$505,0)),"source key not found"))</f>
        <v/>
      </c>
      <c r="AA208" s="25" t="str">
        <f>IF(B208="","",IFERROR(INDEX(الزبائن!$BA$6:$BA$505,MATCH(B208,الزبائن!$A$6:$A$505,0)),"source key not found"))</f>
        <v/>
      </c>
      <c r="AB208" s="25" t="str">
        <f>IF(AND(A208="",C208="",D208="",H208="",K208="",L208=""),"",IF(C208="skip","SKIP",IF(OR(A208="",C208="",D208="",H208="",K208="",L208="",S208="",COUNTIF($A$6:$A$505,A208)&gt;1,AND(B208&lt;&gt;"",COUNTIF(الزبائن!$A$6:$A$505,B208)=0),(COUNTIFS('أرقام التواصل'!$A$6:$A$505,"proposed_name",'أرقام التواصل'!$B$6:$B$505,A208,'أرقام التواصل'!$I$6:$I$505,"TRUE")+COUNTIFS('أرقام التواصل'!$A$6:$A$505,"proposed_name",'أرقام التواصل'!$B$6:$B$505,A208,'أرقام التواصل'!$C$6:$C$505,1))=0,AND(U208="TRUE",V208="")),"REVIEW","READY")))</f>
        <v/>
      </c>
      <c r="AC208" s="27" t="str">
        <f>IF(AB208="","",IF(AB208="READY","",IF(AB208="SKIP","Skipped by candidate_import_action",TRIM(IF(A208="","missing proposed_name_key; ","")&amp;IF(AND(A208&lt;&gt;"",COUNTIF($A$6:$A$505,A208)&gt;1),"duplicate proposed_name_key; ","")&amp;IF(C208="","missing candidate_import_action; ","")&amp;IF(D208="","missing move_reason; ","")&amp;IF(H208="","missing branch_id; ","")&amp;IF(K208="","missing first_name; ","")&amp;IF(L208="","missing last_name; ","")&amp;IF(S208="","missing status; ","")&amp;IF(AND(B208&lt;&gt;"",COUNTIF(الزبائن!$A$6:$A$505,B208)=0),"source key not found; ","")&amp;IF((COUNTIFS('أرقام التواصل'!$A$6:$A$505,"proposed_name",'أرقام التواصل'!$B$6:$B$505,A208,'أرقام التواصل'!$I$6:$I$505,"TRUE")+COUNTIFS('أرقام التواصل'!$A$6:$A$505,"proposed_name",'أرقام التواصل'!$B$6:$B$505,A208,'أرقام التواصل'!$C$6:$C$505,1))=0,"missing primary contact in أرقام التواصل; ","")&amp;IF(AND(U208="TRUE",V208=""),"duplicate_type required when duplicate_flag TRUE; ","")))))</f>
        <v/>
      </c>
    </row>
    <row r="209" spans="1:29">
      <c r="A209" s="36"/>
      <c r="B209" s="24"/>
      <c r="C209" s="25"/>
      <c r="D209" s="25"/>
      <c r="E209" s="25"/>
      <c r="F209" s="24"/>
      <c r="G209" s="25"/>
      <c r="H209" s="25"/>
      <c r="I209" s="25"/>
      <c r="J209" s="25"/>
      <c r="K209" s="25"/>
      <c r="L209" s="25"/>
      <c r="M209" s="25"/>
      <c r="N209" s="25" t="str">
        <f t="shared" si="3"/>
        <v/>
      </c>
      <c r="O209" s="25"/>
      <c r="P209" s="25"/>
      <c r="Q209" s="25"/>
      <c r="R209" s="25"/>
      <c r="S209" s="25"/>
      <c r="T209" s="25"/>
      <c r="U209" s="25"/>
      <c r="V209" s="25"/>
      <c r="W209" s="24"/>
      <c r="X209" s="24"/>
      <c r="Y209" s="25"/>
      <c r="Z209" s="25" t="str">
        <f>IF(B209="","",IFERROR(INDEX(الزبائن!$AZ$6:$AZ$505,MATCH(B209,الزبائن!$A$6:$A$505,0)),"source key not found"))</f>
        <v/>
      </c>
      <c r="AA209" s="25" t="str">
        <f>IF(B209="","",IFERROR(INDEX(الزبائن!$BA$6:$BA$505,MATCH(B209,الزبائن!$A$6:$A$505,0)),"source key not found"))</f>
        <v/>
      </c>
      <c r="AB209" s="25" t="str">
        <f>IF(AND(A209="",C209="",D209="",H209="",K209="",L209=""),"",IF(C209="skip","SKIP",IF(OR(A209="",C209="",D209="",H209="",K209="",L209="",S209="",COUNTIF($A$6:$A$505,A209)&gt;1,AND(B209&lt;&gt;"",COUNTIF(الزبائن!$A$6:$A$505,B209)=0),(COUNTIFS('أرقام التواصل'!$A$6:$A$505,"proposed_name",'أرقام التواصل'!$B$6:$B$505,A209,'أرقام التواصل'!$I$6:$I$505,"TRUE")+COUNTIFS('أرقام التواصل'!$A$6:$A$505,"proposed_name",'أرقام التواصل'!$B$6:$B$505,A209,'أرقام التواصل'!$C$6:$C$505,1))=0,AND(U209="TRUE",V209="")),"REVIEW","READY")))</f>
        <v/>
      </c>
      <c r="AC209" s="27" t="str">
        <f>IF(AB209="","",IF(AB209="READY","",IF(AB209="SKIP","Skipped by candidate_import_action",TRIM(IF(A209="","missing proposed_name_key; ","")&amp;IF(AND(A209&lt;&gt;"",COUNTIF($A$6:$A$505,A209)&gt;1),"duplicate proposed_name_key; ","")&amp;IF(C209="","missing candidate_import_action; ","")&amp;IF(D209="","missing move_reason; ","")&amp;IF(H209="","missing branch_id; ","")&amp;IF(K209="","missing first_name; ","")&amp;IF(L209="","missing last_name; ","")&amp;IF(S209="","missing status; ","")&amp;IF(AND(B209&lt;&gt;"",COUNTIF(الزبائن!$A$6:$A$505,B209)=0),"source key not found; ","")&amp;IF((COUNTIFS('أرقام التواصل'!$A$6:$A$505,"proposed_name",'أرقام التواصل'!$B$6:$B$505,A209,'أرقام التواصل'!$I$6:$I$505,"TRUE")+COUNTIFS('أرقام التواصل'!$A$6:$A$505,"proposed_name",'أرقام التواصل'!$B$6:$B$505,A209,'أرقام التواصل'!$C$6:$C$505,1))=0,"missing primary contact in أرقام التواصل; ","")&amp;IF(AND(U209="TRUE",V209=""),"duplicate_type required when duplicate_flag TRUE; ","")))))</f>
        <v/>
      </c>
    </row>
    <row r="210" spans="1:29">
      <c r="A210" s="36"/>
      <c r="B210" s="24"/>
      <c r="C210" s="25"/>
      <c r="D210" s="25"/>
      <c r="E210" s="25"/>
      <c r="F210" s="24"/>
      <c r="G210" s="25"/>
      <c r="H210" s="25"/>
      <c r="I210" s="25"/>
      <c r="J210" s="25"/>
      <c r="K210" s="25"/>
      <c r="L210" s="25"/>
      <c r="M210" s="25"/>
      <c r="N210" s="25" t="str">
        <f t="shared" si="3"/>
        <v/>
      </c>
      <c r="O210" s="25"/>
      <c r="P210" s="25"/>
      <c r="Q210" s="25"/>
      <c r="R210" s="25"/>
      <c r="S210" s="25"/>
      <c r="T210" s="25"/>
      <c r="U210" s="25"/>
      <c r="V210" s="25"/>
      <c r="W210" s="24"/>
      <c r="X210" s="24"/>
      <c r="Y210" s="25"/>
      <c r="Z210" s="25" t="str">
        <f>IF(B210="","",IFERROR(INDEX(الزبائن!$AZ$6:$AZ$505,MATCH(B210,الزبائن!$A$6:$A$505,0)),"source key not found"))</f>
        <v/>
      </c>
      <c r="AA210" s="25" t="str">
        <f>IF(B210="","",IFERROR(INDEX(الزبائن!$BA$6:$BA$505,MATCH(B210,الزبائن!$A$6:$A$505,0)),"source key not found"))</f>
        <v/>
      </c>
      <c r="AB210" s="25" t="str">
        <f>IF(AND(A210="",C210="",D210="",H210="",K210="",L210=""),"",IF(C210="skip","SKIP",IF(OR(A210="",C210="",D210="",H210="",K210="",L210="",S210="",COUNTIF($A$6:$A$505,A210)&gt;1,AND(B210&lt;&gt;"",COUNTIF(الزبائن!$A$6:$A$505,B210)=0),(COUNTIFS('أرقام التواصل'!$A$6:$A$505,"proposed_name",'أرقام التواصل'!$B$6:$B$505,A210,'أرقام التواصل'!$I$6:$I$505,"TRUE")+COUNTIFS('أرقام التواصل'!$A$6:$A$505,"proposed_name",'أرقام التواصل'!$B$6:$B$505,A210,'أرقام التواصل'!$C$6:$C$505,1))=0,AND(U210="TRUE",V210="")),"REVIEW","READY")))</f>
        <v/>
      </c>
      <c r="AC210" s="27" t="str">
        <f>IF(AB210="","",IF(AB210="READY","",IF(AB210="SKIP","Skipped by candidate_import_action",TRIM(IF(A210="","missing proposed_name_key; ","")&amp;IF(AND(A210&lt;&gt;"",COUNTIF($A$6:$A$505,A210)&gt;1),"duplicate proposed_name_key; ","")&amp;IF(C210="","missing candidate_import_action; ","")&amp;IF(D210="","missing move_reason; ","")&amp;IF(H210="","missing branch_id; ","")&amp;IF(K210="","missing first_name; ","")&amp;IF(L210="","missing last_name; ","")&amp;IF(S210="","missing status; ","")&amp;IF(AND(B210&lt;&gt;"",COUNTIF(الزبائن!$A$6:$A$505,B210)=0),"source key not found; ","")&amp;IF((COUNTIFS('أرقام التواصل'!$A$6:$A$505,"proposed_name",'أرقام التواصل'!$B$6:$B$505,A210,'أرقام التواصل'!$I$6:$I$505,"TRUE")+COUNTIFS('أرقام التواصل'!$A$6:$A$505,"proposed_name",'أرقام التواصل'!$B$6:$B$505,A210,'أرقام التواصل'!$C$6:$C$505,1))=0,"missing primary contact in أرقام التواصل; ","")&amp;IF(AND(U210="TRUE",V210=""),"duplicate_type required when duplicate_flag TRUE; ","")))))</f>
        <v/>
      </c>
    </row>
    <row r="211" spans="1:29">
      <c r="A211" s="36"/>
      <c r="B211" s="24"/>
      <c r="C211" s="25"/>
      <c r="D211" s="25"/>
      <c r="E211" s="25"/>
      <c r="F211" s="24"/>
      <c r="G211" s="25"/>
      <c r="H211" s="25"/>
      <c r="I211" s="25"/>
      <c r="J211" s="25"/>
      <c r="K211" s="25"/>
      <c r="L211" s="25"/>
      <c r="M211" s="25"/>
      <c r="N211" s="25" t="str">
        <f t="shared" si="3"/>
        <v/>
      </c>
      <c r="O211" s="25"/>
      <c r="P211" s="25"/>
      <c r="Q211" s="25"/>
      <c r="R211" s="25"/>
      <c r="S211" s="25"/>
      <c r="T211" s="25"/>
      <c r="U211" s="25"/>
      <c r="V211" s="25"/>
      <c r="W211" s="24"/>
      <c r="X211" s="24"/>
      <c r="Y211" s="25"/>
      <c r="Z211" s="25" t="str">
        <f>IF(B211="","",IFERROR(INDEX(الزبائن!$AZ$6:$AZ$505,MATCH(B211,الزبائن!$A$6:$A$505,0)),"source key not found"))</f>
        <v/>
      </c>
      <c r="AA211" s="25" t="str">
        <f>IF(B211="","",IFERROR(INDEX(الزبائن!$BA$6:$BA$505,MATCH(B211,الزبائن!$A$6:$A$505,0)),"source key not found"))</f>
        <v/>
      </c>
      <c r="AB211" s="25" t="str">
        <f>IF(AND(A211="",C211="",D211="",H211="",K211="",L211=""),"",IF(C211="skip","SKIP",IF(OR(A211="",C211="",D211="",H211="",K211="",L211="",S211="",COUNTIF($A$6:$A$505,A211)&gt;1,AND(B211&lt;&gt;"",COUNTIF(الزبائن!$A$6:$A$505,B211)=0),(COUNTIFS('أرقام التواصل'!$A$6:$A$505,"proposed_name",'أرقام التواصل'!$B$6:$B$505,A211,'أرقام التواصل'!$I$6:$I$505,"TRUE")+COUNTIFS('أرقام التواصل'!$A$6:$A$505,"proposed_name",'أرقام التواصل'!$B$6:$B$505,A211,'أرقام التواصل'!$C$6:$C$505,1))=0,AND(U211="TRUE",V211="")),"REVIEW","READY")))</f>
        <v/>
      </c>
      <c r="AC211" s="27" t="str">
        <f>IF(AB211="","",IF(AB211="READY","",IF(AB211="SKIP","Skipped by candidate_import_action",TRIM(IF(A211="","missing proposed_name_key; ","")&amp;IF(AND(A211&lt;&gt;"",COUNTIF($A$6:$A$505,A211)&gt;1),"duplicate proposed_name_key; ","")&amp;IF(C211="","missing candidate_import_action; ","")&amp;IF(D211="","missing move_reason; ","")&amp;IF(H211="","missing branch_id; ","")&amp;IF(K211="","missing first_name; ","")&amp;IF(L211="","missing last_name; ","")&amp;IF(S211="","missing status; ","")&amp;IF(AND(B211&lt;&gt;"",COUNTIF(الزبائن!$A$6:$A$505,B211)=0),"source key not found; ","")&amp;IF((COUNTIFS('أرقام التواصل'!$A$6:$A$505,"proposed_name",'أرقام التواصل'!$B$6:$B$505,A211,'أرقام التواصل'!$I$6:$I$505,"TRUE")+COUNTIFS('أرقام التواصل'!$A$6:$A$505,"proposed_name",'أرقام التواصل'!$B$6:$B$505,A211,'أرقام التواصل'!$C$6:$C$505,1))=0,"missing primary contact in أرقام التواصل; ","")&amp;IF(AND(U211="TRUE",V211=""),"duplicate_type required when duplicate_flag TRUE; ","")))))</f>
        <v/>
      </c>
    </row>
    <row r="212" spans="1:29">
      <c r="A212" s="36"/>
      <c r="B212" s="24"/>
      <c r="C212" s="25"/>
      <c r="D212" s="25"/>
      <c r="E212" s="25"/>
      <c r="F212" s="24"/>
      <c r="G212" s="25"/>
      <c r="H212" s="25"/>
      <c r="I212" s="25"/>
      <c r="J212" s="25"/>
      <c r="K212" s="25"/>
      <c r="L212" s="25"/>
      <c r="M212" s="25"/>
      <c r="N212" s="25" t="str">
        <f t="shared" si="3"/>
        <v/>
      </c>
      <c r="O212" s="25"/>
      <c r="P212" s="25"/>
      <c r="Q212" s="25"/>
      <c r="R212" s="25"/>
      <c r="S212" s="25"/>
      <c r="T212" s="25"/>
      <c r="U212" s="25"/>
      <c r="V212" s="25"/>
      <c r="W212" s="24"/>
      <c r="X212" s="24"/>
      <c r="Y212" s="25"/>
      <c r="Z212" s="25" t="str">
        <f>IF(B212="","",IFERROR(INDEX(الزبائن!$AZ$6:$AZ$505,MATCH(B212,الزبائن!$A$6:$A$505,0)),"source key not found"))</f>
        <v/>
      </c>
      <c r="AA212" s="25" t="str">
        <f>IF(B212="","",IFERROR(INDEX(الزبائن!$BA$6:$BA$505,MATCH(B212,الزبائن!$A$6:$A$505,0)),"source key not found"))</f>
        <v/>
      </c>
      <c r="AB212" s="25" t="str">
        <f>IF(AND(A212="",C212="",D212="",H212="",K212="",L212=""),"",IF(C212="skip","SKIP",IF(OR(A212="",C212="",D212="",H212="",K212="",L212="",S212="",COUNTIF($A$6:$A$505,A212)&gt;1,AND(B212&lt;&gt;"",COUNTIF(الزبائن!$A$6:$A$505,B212)=0),(COUNTIFS('أرقام التواصل'!$A$6:$A$505,"proposed_name",'أرقام التواصل'!$B$6:$B$505,A212,'أرقام التواصل'!$I$6:$I$505,"TRUE")+COUNTIFS('أرقام التواصل'!$A$6:$A$505,"proposed_name",'أرقام التواصل'!$B$6:$B$505,A212,'أرقام التواصل'!$C$6:$C$505,1))=0,AND(U212="TRUE",V212="")),"REVIEW","READY")))</f>
        <v/>
      </c>
      <c r="AC212" s="27" t="str">
        <f>IF(AB212="","",IF(AB212="READY","",IF(AB212="SKIP","Skipped by candidate_import_action",TRIM(IF(A212="","missing proposed_name_key; ","")&amp;IF(AND(A212&lt;&gt;"",COUNTIF($A$6:$A$505,A212)&gt;1),"duplicate proposed_name_key; ","")&amp;IF(C212="","missing candidate_import_action; ","")&amp;IF(D212="","missing move_reason; ","")&amp;IF(H212="","missing branch_id; ","")&amp;IF(K212="","missing first_name; ","")&amp;IF(L212="","missing last_name; ","")&amp;IF(S212="","missing status; ","")&amp;IF(AND(B212&lt;&gt;"",COUNTIF(الزبائن!$A$6:$A$505,B212)=0),"source key not found; ","")&amp;IF((COUNTIFS('أرقام التواصل'!$A$6:$A$505,"proposed_name",'أرقام التواصل'!$B$6:$B$505,A212,'أرقام التواصل'!$I$6:$I$505,"TRUE")+COUNTIFS('أرقام التواصل'!$A$6:$A$505,"proposed_name",'أرقام التواصل'!$B$6:$B$505,A212,'أرقام التواصل'!$C$6:$C$505,1))=0,"missing primary contact in أرقام التواصل; ","")&amp;IF(AND(U212="TRUE",V212=""),"duplicate_type required when duplicate_flag TRUE; ","")))))</f>
        <v/>
      </c>
    </row>
    <row r="213" spans="1:29">
      <c r="A213" s="36"/>
      <c r="B213" s="24"/>
      <c r="C213" s="25"/>
      <c r="D213" s="25"/>
      <c r="E213" s="25"/>
      <c r="F213" s="24"/>
      <c r="G213" s="25"/>
      <c r="H213" s="25"/>
      <c r="I213" s="25"/>
      <c r="J213" s="25"/>
      <c r="K213" s="25"/>
      <c r="L213" s="25"/>
      <c r="M213" s="25"/>
      <c r="N213" s="25" t="str">
        <f t="shared" si="3"/>
        <v/>
      </c>
      <c r="O213" s="25"/>
      <c r="P213" s="25"/>
      <c r="Q213" s="25"/>
      <c r="R213" s="25"/>
      <c r="S213" s="25"/>
      <c r="T213" s="25"/>
      <c r="U213" s="25"/>
      <c r="V213" s="25"/>
      <c r="W213" s="24"/>
      <c r="X213" s="24"/>
      <c r="Y213" s="25"/>
      <c r="Z213" s="25" t="str">
        <f>IF(B213="","",IFERROR(INDEX(الزبائن!$AZ$6:$AZ$505,MATCH(B213,الزبائن!$A$6:$A$505,0)),"source key not found"))</f>
        <v/>
      </c>
      <c r="AA213" s="25" t="str">
        <f>IF(B213="","",IFERROR(INDEX(الزبائن!$BA$6:$BA$505,MATCH(B213,الزبائن!$A$6:$A$505,0)),"source key not found"))</f>
        <v/>
      </c>
      <c r="AB213" s="25" t="str">
        <f>IF(AND(A213="",C213="",D213="",H213="",K213="",L213=""),"",IF(C213="skip","SKIP",IF(OR(A213="",C213="",D213="",H213="",K213="",L213="",S213="",COUNTIF($A$6:$A$505,A213)&gt;1,AND(B213&lt;&gt;"",COUNTIF(الزبائن!$A$6:$A$505,B213)=0),(COUNTIFS('أرقام التواصل'!$A$6:$A$505,"proposed_name",'أرقام التواصل'!$B$6:$B$505,A213,'أرقام التواصل'!$I$6:$I$505,"TRUE")+COUNTIFS('أرقام التواصل'!$A$6:$A$505,"proposed_name",'أرقام التواصل'!$B$6:$B$505,A213,'أرقام التواصل'!$C$6:$C$505,1))=0,AND(U213="TRUE",V213="")),"REVIEW","READY")))</f>
        <v/>
      </c>
      <c r="AC213" s="27" t="str">
        <f>IF(AB213="","",IF(AB213="READY","",IF(AB213="SKIP","Skipped by candidate_import_action",TRIM(IF(A213="","missing proposed_name_key; ","")&amp;IF(AND(A213&lt;&gt;"",COUNTIF($A$6:$A$505,A213)&gt;1),"duplicate proposed_name_key; ","")&amp;IF(C213="","missing candidate_import_action; ","")&amp;IF(D213="","missing move_reason; ","")&amp;IF(H213="","missing branch_id; ","")&amp;IF(K213="","missing first_name; ","")&amp;IF(L213="","missing last_name; ","")&amp;IF(S213="","missing status; ","")&amp;IF(AND(B213&lt;&gt;"",COUNTIF(الزبائن!$A$6:$A$505,B213)=0),"source key not found; ","")&amp;IF((COUNTIFS('أرقام التواصل'!$A$6:$A$505,"proposed_name",'أرقام التواصل'!$B$6:$B$505,A213,'أرقام التواصل'!$I$6:$I$505,"TRUE")+COUNTIFS('أرقام التواصل'!$A$6:$A$505,"proposed_name",'أرقام التواصل'!$B$6:$B$505,A213,'أرقام التواصل'!$C$6:$C$505,1))=0,"missing primary contact in أرقام التواصل; ","")&amp;IF(AND(U213="TRUE",V213=""),"duplicate_type required when duplicate_flag TRUE; ","")))))</f>
        <v/>
      </c>
    </row>
    <row r="214" spans="1:29">
      <c r="A214" s="36"/>
      <c r="B214" s="24"/>
      <c r="C214" s="25"/>
      <c r="D214" s="25"/>
      <c r="E214" s="25"/>
      <c r="F214" s="24"/>
      <c r="G214" s="25"/>
      <c r="H214" s="25"/>
      <c r="I214" s="25"/>
      <c r="J214" s="25"/>
      <c r="K214" s="25"/>
      <c r="L214" s="25"/>
      <c r="M214" s="25"/>
      <c r="N214" s="25" t="str">
        <f t="shared" si="3"/>
        <v/>
      </c>
      <c r="O214" s="25"/>
      <c r="P214" s="25"/>
      <c r="Q214" s="25"/>
      <c r="R214" s="25"/>
      <c r="S214" s="25"/>
      <c r="T214" s="25"/>
      <c r="U214" s="25"/>
      <c r="V214" s="25"/>
      <c r="W214" s="24"/>
      <c r="X214" s="24"/>
      <c r="Y214" s="25"/>
      <c r="Z214" s="25" t="str">
        <f>IF(B214="","",IFERROR(INDEX(الزبائن!$AZ$6:$AZ$505,MATCH(B214,الزبائن!$A$6:$A$505,0)),"source key not found"))</f>
        <v/>
      </c>
      <c r="AA214" s="25" t="str">
        <f>IF(B214="","",IFERROR(INDEX(الزبائن!$BA$6:$BA$505,MATCH(B214,الزبائن!$A$6:$A$505,0)),"source key not found"))</f>
        <v/>
      </c>
      <c r="AB214" s="25" t="str">
        <f>IF(AND(A214="",C214="",D214="",H214="",K214="",L214=""),"",IF(C214="skip","SKIP",IF(OR(A214="",C214="",D214="",H214="",K214="",L214="",S214="",COUNTIF($A$6:$A$505,A214)&gt;1,AND(B214&lt;&gt;"",COUNTIF(الزبائن!$A$6:$A$505,B214)=0),(COUNTIFS('أرقام التواصل'!$A$6:$A$505,"proposed_name",'أرقام التواصل'!$B$6:$B$505,A214,'أرقام التواصل'!$I$6:$I$505,"TRUE")+COUNTIFS('أرقام التواصل'!$A$6:$A$505,"proposed_name",'أرقام التواصل'!$B$6:$B$505,A214,'أرقام التواصل'!$C$6:$C$505,1))=0,AND(U214="TRUE",V214="")),"REVIEW","READY")))</f>
        <v/>
      </c>
      <c r="AC214" s="27" t="str">
        <f>IF(AB214="","",IF(AB214="READY","",IF(AB214="SKIP","Skipped by candidate_import_action",TRIM(IF(A214="","missing proposed_name_key; ","")&amp;IF(AND(A214&lt;&gt;"",COUNTIF($A$6:$A$505,A214)&gt;1),"duplicate proposed_name_key; ","")&amp;IF(C214="","missing candidate_import_action; ","")&amp;IF(D214="","missing move_reason; ","")&amp;IF(H214="","missing branch_id; ","")&amp;IF(K214="","missing first_name; ","")&amp;IF(L214="","missing last_name; ","")&amp;IF(S214="","missing status; ","")&amp;IF(AND(B214&lt;&gt;"",COUNTIF(الزبائن!$A$6:$A$505,B214)=0),"source key not found; ","")&amp;IF((COUNTIFS('أرقام التواصل'!$A$6:$A$505,"proposed_name",'أرقام التواصل'!$B$6:$B$505,A214,'أرقام التواصل'!$I$6:$I$505,"TRUE")+COUNTIFS('أرقام التواصل'!$A$6:$A$505,"proposed_name",'أرقام التواصل'!$B$6:$B$505,A214,'أرقام التواصل'!$C$6:$C$505,1))=0,"missing primary contact in أرقام التواصل; ","")&amp;IF(AND(U214="TRUE",V214=""),"duplicate_type required when duplicate_flag TRUE; ","")))))</f>
        <v/>
      </c>
    </row>
    <row r="215" spans="1:29">
      <c r="A215" s="36"/>
      <c r="B215" s="24"/>
      <c r="C215" s="25"/>
      <c r="D215" s="25"/>
      <c r="E215" s="25"/>
      <c r="F215" s="24"/>
      <c r="G215" s="25"/>
      <c r="H215" s="25"/>
      <c r="I215" s="25"/>
      <c r="J215" s="25"/>
      <c r="K215" s="25"/>
      <c r="L215" s="25"/>
      <c r="M215" s="25"/>
      <c r="N215" s="25" t="str">
        <f t="shared" si="3"/>
        <v/>
      </c>
      <c r="O215" s="25"/>
      <c r="P215" s="25"/>
      <c r="Q215" s="25"/>
      <c r="R215" s="25"/>
      <c r="S215" s="25"/>
      <c r="T215" s="25"/>
      <c r="U215" s="25"/>
      <c r="V215" s="25"/>
      <c r="W215" s="24"/>
      <c r="X215" s="24"/>
      <c r="Y215" s="25"/>
      <c r="Z215" s="25" t="str">
        <f>IF(B215="","",IFERROR(INDEX(الزبائن!$AZ$6:$AZ$505,MATCH(B215,الزبائن!$A$6:$A$505,0)),"source key not found"))</f>
        <v/>
      </c>
      <c r="AA215" s="25" t="str">
        <f>IF(B215="","",IFERROR(INDEX(الزبائن!$BA$6:$BA$505,MATCH(B215,الزبائن!$A$6:$A$505,0)),"source key not found"))</f>
        <v/>
      </c>
      <c r="AB215" s="25" t="str">
        <f>IF(AND(A215="",C215="",D215="",H215="",K215="",L215=""),"",IF(C215="skip","SKIP",IF(OR(A215="",C215="",D215="",H215="",K215="",L215="",S215="",COUNTIF($A$6:$A$505,A215)&gt;1,AND(B215&lt;&gt;"",COUNTIF(الزبائن!$A$6:$A$505,B215)=0),(COUNTIFS('أرقام التواصل'!$A$6:$A$505,"proposed_name",'أرقام التواصل'!$B$6:$B$505,A215,'أرقام التواصل'!$I$6:$I$505,"TRUE")+COUNTIFS('أرقام التواصل'!$A$6:$A$505,"proposed_name",'أرقام التواصل'!$B$6:$B$505,A215,'أرقام التواصل'!$C$6:$C$505,1))=0,AND(U215="TRUE",V215="")),"REVIEW","READY")))</f>
        <v/>
      </c>
      <c r="AC215" s="27" t="str">
        <f>IF(AB215="","",IF(AB215="READY","",IF(AB215="SKIP","Skipped by candidate_import_action",TRIM(IF(A215="","missing proposed_name_key; ","")&amp;IF(AND(A215&lt;&gt;"",COUNTIF($A$6:$A$505,A215)&gt;1),"duplicate proposed_name_key; ","")&amp;IF(C215="","missing candidate_import_action; ","")&amp;IF(D215="","missing move_reason; ","")&amp;IF(H215="","missing branch_id; ","")&amp;IF(K215="","missing first_name; ","")&amp;IF(L215="","missing last_name; ","")&amp;IF(S215="","missing status; ","")&amp;IF(AND(B215&lt;&gt;"",COUNTIF(الزبائن!$A$6:$A$505,B215)=0),"source key not found; ","")&amp;IF((COUNTIFS('أرقام التواصل'!$A$6:$A$505,"proposed_name",'أرقام التواصل'!$B$6:$B$505,A215,'أرقام التواصل'!$I$6:$I$505,"TRUE")+COUNTIFS('أرقام التواصل'!$A$6:$A$505,"proposed_name",'أرقام التواصل'!$B$6:$B$505,A215,'أرقام التواصل'!$C$6:$C$505,1))=0,"missing primary contact in أرقام التواصل; ","")&amp;IF(AND(U215="TRUE",V215=""),"duplicate_type required when duplicate_flag TRUE; ","")))))</f>
        <v/>
      </c>
    </row>
    <row r="216" spans="1:29">
      <c r="A216" s="36"/>
      <c r="B216" s="24"/>
      <c r="C216" s="25"/>
      <c r="D216" s="25"/>
      <c r="E216" s="25"/>
      <c r="F216" s="24"/>
      <c r="G216" s="25"/>
      <c r="H216" s="25"/>
      <c r="I216" s="25"/>
      <c r="J216" s="25"/>
      <c r="K216" s="25"/>
      <c r="L216" s="25"/>
      <c r="M216" s="25"/>
      <c r="N216" s="25" t="str">
        <f t="shared" si="3"/>
        <v/>
      </c>
      <c r="O216" s="25"/>
      <c r="P216" s="25"/>
      <c r="Q216" s="25"/>
      <c r="R216" s="25"/>
      <c r="S216" s="25"/>
      <c r="T216" s="25"/>
      <c r="U216" s="25"/>
      <c r="V216" s="25"/>
      <c r="W216" s="24"/>
      <c r="X216" s="24"/>
      <c r="Y216" s="25"/>
      <c r="Z216" s="25" t="str">
        <f>IF(B216="","",IFERROR(INDEX(الزبائن!$AZ$6:$AZ$505,MATCH(B216,الزبائن!$A$6:$A$505,0)),"source key not found"))</f>
        <v/>
      </c>
      <c r="AA216" s="25" t="str">
        <f>IF(B216="","",IFERROR(INDEX(الزبائن!$BA$6:$BA$505,MATCH(B216,الزبائن!$A$6:$A$505,0)),"source key not found"))</f>
        <v/>
      </c>
      <c r="AB216" s="25" t="str">
        <f>IF(AND(A216="",C216="",D216="",H216="",K216="",L216=""),"",IF(C216="skip","SKIP",IF(OR(A216="",C216="",D216="",H216="",K216="",L216="",S216="",COUNTIF($A$6:$A$505,A216)&gt;1,AND(B216&lt;&gt;"",COUNTIF(الزبائن!$A$6:$A$505,B216)=0),(COUNTIFS('أرقام التواصل'!$A$6:$A$505,"proposed_name",'أرقام التواصل'!$B$6:$B$505,A216,'أرقام التواصل'!$I$6:$I$505,"TRUE")+COUNTIFS('أرقام التواصل'!$A$6:$A$505,"proposed_name",'أرقام التواصل'!$B$6:$B$505,A216,'أرقام التواصل'!$C$6:$C$505,1))=0,AND(U216="TRUE",V216="")),"REVIEW","READY")))</f>
        <v/>
      </c>
      <c r="AC216" s="27" t="str">
        <f>IF(AB216="","",IF(AB216="READY","",IF(AB216="SKIP","Skipped by candidate_import_action",TRIM(IF(A216="","missing proposed_name_key; ","")&amp;IF(AND(A216&lt;&gt;"",COUNTIF($A$6:$A$505,A216)&gt;1),"duplicate proposed_name_key; ","")&amp;IF(C216="","missing candidate_import_action; ","")&amp;IF(D216="","missing move_reason; ","")&amp;IF(H216="","missing branch_id; ","")&amp;IF(K216="","missing first_name; ","")&amp;IF(L216="","missing last_name; ","")&amp;IF(S216="","missing status; ","")&amp;IF(AND(B216&lt;&gt;"",COUNTIF(الزبائن!$A$6:$A$505,B216)=0),"source key not found; ","")&amp;IF((COUNTIFS('أرقام التواصل'!$A$6:$A$505,"proposed_name",'أرقام التواصل'!$B$6:$B$505,A216,'أرقام التواصل'!$I$6:$I$505,"TRUE")+COUNTIFS('أرقام التواصل'!$A$6:$A$505,"proposed_name",'أرقام التواصل'!$B$6:$B$505,A216,'أرقام التواصل'!$C$6:$C$505,1))=0,"missing primary contact in أرقام التواصل; ","")&amp;IF(AND(U216="TRUE",V216=""),"duplicate_type required when duplicate_flag TRUE; ","")))))</f>
        <v/>
      </c>
    </row>
    <row r="217" spans="1:29">
      <c r="A217" s="36"/>
      <c r="B217" s="24"/>
      <c r="C217" s="25"/>
      <c r="D217" s="25"/>
      <c r="E217" s="25"/>
      <c r="F217" s="24"/>
      <c r="G217" s="25"/>
      <c r="H217" s="25"/>
      <c r="I217" s="25"/>
      <c r="J217" s="25"/>
      <c r="K217" s="25"/>
      <c r="L217" s="25"/>
      <c r="M217" s="25"/>
      <c r="N217" s="25" t="str">
        <f t="shared" si="3"/>
        <v/>
      </c>
      <c r="O217" s="25"/>
      <c r="P217" s="25"/>
      <c r="Q217" s="25"/>
      <c r="R217" s="25"/>
      <c r="S217" s="25"/>
      <c r="T217" s="25"/>
      <c r="U217" s="25"/>
      <c r="V217" s="25"/>
      <c r="W217" s="24"/>
      <c r="X217" s="24"/>
      <c r="Y217" s="25"/>
      <c r="Z217" s="25" t="str">
        <f>IF(B217="","",IFERROR(INDEX(الزبائن!$AZ$6:$AZ$505,MATCH(B217,الزبائن!$A$6:$A$505,0)),"source key not found"))</f>
        <v/>
      </c>
      <c r="AA217" s="25" t="str">
        <f>IF(B217="","",IFERROR(INDEX(الزبائن!$BA$6:$BA$505,MATCH(B217,الزبائن!$A$6:$A$505,0)),"source key not found"))</f>
        <v/>
      </c>
      <c r="AB217" s="25" t="str">
        <f>IF(AND(A217="",C217="",D217="",H217="",K217="",L217=""),"",IF(C217="skip","SKIP",IF(OR(A217="",C217="",D217="",H217="",K217="",L217="",S217="",COUNTIF($A$6:$A$505,A217)&gt;1,AND(B217&lt;&gt;"",COUNTIF(الزبائن!$A$6:$A$505,B217)=0),(COUNTIFS('أرقام التواصل'!$A$6:$A$505,"proposed_name",'أرقام التواصل'!$B$6:$B$505,A217,'أرقام التواصل'!$I$6:$I$505,"TRUE")+COUNTIFS('أرقام التواصل'!$A$6:$A$505,"proposed_name",'أرقام التواصل'!$B$6:$B$505,A217,'أرقام التواصل'!$C$6:$C$505,1))=0,AND(U217="TRUE",V217="")),"REVIEW","READY")))</f>
        <v/>
      </c>
      <c r="AC217" s="27" t="str">
        <f>IF(AB217="","",IF(AB217="READY","",IF(AB217="SKIP","Skipped by candidate_import_action",TRIM(IF(A217="","missing proposed_name_key; ","")&amp;IF(AND(A217&lt;&gt;"",COUNTIF($A$6:$A$505,A217)&gt;1),"duplicate proposed_name_key; ","")&amp;IF(C217="","missing candidate_import_action; ","")&amp;IF(D217="","missing move_reason; ","")&amp;IF(H217="","missing branch_id; ","")&amp;IF(K217="","missing first_name; ","")&amp;IF(L217="","missing last_name; ","")&amp;IF(S217="","missing status; ","")&amp;IF(AND(B217&lt;&gt;"",COUNTIF(الزبائن!$A$6:$A$505,B217)=0),"source key not found; ","")&amp;IF((COUNTIFS('أرقام التواصل'!$A$6:$A$505,"proposed_name",'أرقام التواصل'!$B$6:$B$505,A217,'أرقام التواصل'!$I$6:$I$505,"TRUE")+COUNTIFS('أرقام التواصل'!$A$6:$A$505,"proposed_name",'أرقام التواصل'!$B$6:$B$505,A217,'أرقام التواصل'!$C$6:$C$505,1))=0,"missing primary contact in أرقام التواصل; ","")&amp;IF(AND(U217="TRUE",V217=""),"duplicate_type required when duplicate_flag TRUE; ","")))))</f>
        <v/>
      </c>
    </row>
    <row r="218" spans="1:29">
      <c r="A218" s="36"/>
      <c r="B218" s="24"/>
      <c r="C218" s="25"/>
      <c r="D218" s="25"/>
      <c r="E218" s="25"/>
      <c r="F218" s="24"/>
      <c r="G218" s="25"/>
      <c r="H218" s="25"/>
      <c r="I218" s="25"/>
      <c r="J218" s="25"/>
      <c r="K218" s="25"/>
      <c r="L218" s="25"/>
      <c r="M218" s="25"/>
      <c r="N218" s="25" t="str">
        <f t="shared" si="3"/>
        <v/>
      </c>
      <c r="O218" s="25"/>
      <c r="P218" s="25"/>
      <c r="Q218" s="25"/>
      <c r="R218" s="25"/>
      <c r="S218" s="25"/>
      <c r="T218" s="25"/>
      <c r="U218" s="25"/>
      <c r="V218" s="25"/>
      <c r="W218" s="24"/>
      <c r="X218" s="24"/>
      <c r="Y218" s="25"/>
      <c r="Z218" s="25" t="str">
        <f>IF(B218="","",IFERROR(INDEX(الزبائن!$AZ$6:$AZ$505,MATCH(B218,الزبائن!$A$6:$A$505,0)),"source key not found"))</f>
        <v/>
      </c>
      <c r="AA218" s="25" t="str">
        <f>IF(B218="","",IFERROR(INDEX(الزبائن!$BA$6:$BA$505,MATCH(B218,الزبائن!$A$6:$A$505,0)),"source key not found"))</f>
        <v/>
      </c>
      <c r="AB218" s="25" t="str">
        <f>IF(AND(A218="",C218="",D218="",H218="",K218="",L218=""),"",IF(C218="skip","SKIP",IF(OR(A218="",C218="",D218="",H218="",K218="",L218="",S218="",COUNTIF($A$6:$A$505,A218)&gt;1,AND(B218&lt;&gt;"",COUNTIF(الزبائن!$A$6:$A$505,B218)=0),(COUNTIFS('أرقام التواصل'!$A$6:$A$505,"proposed_name",'أرقام التواصل'!$B$6:$B$505,A218,'أرقام التواصل'!$I$6:$I$505,"TRUE")+COUNTIFS('أرقام التواصل'!$A$6:$A$505,"proposed_name",'أرقام التواصل'!$B$6:$B$505,A218,'أرقام التواصل'!$C$6:$C$505,1))=0,AND(U218="TRUE",V218="")),"REVIEW","READY")))</f>
        <v/>
      </c>
      <c r="AC218" s="27" t="str">
        <f>IF(AB218="","",IF(AB218="READY","",IF(AB218="SKIP","Skipped by candidate_import_action",TRIM(IF(A218="","missing proposed_name_key; ","")&amp;IF(AND(A218&lt;&gt;"",COUNTIF($A$6:$A$505,A218)&gt;1),"duplicate proposed_name_key; ","")&amp;IF(C218="","missing candidate_import_action; ","")&amp;IF(D218="","missing move_reason; ","")&amp;IF(H218="","missing branch_id; ","")&amp;IF(K218="","missing first_name; ","")&amp;IF(L218="","missing last_name; ","")&amp;IF(S218="","missing status; ","")&amp;IF(AND(B218&lt;&gt;"",COUNTIF(الزبائن!$A$6:$A$505,B218)=0),"source key not found; ","")&amp;IF((COUNTIFS('أرقام التواصل'!$A$6:$A$505,"proposed_name",'أرقام التواصل'!$B$6:$B$505,A218,'أرقام التواصل'!$I$6:$I$505,"TRUE")+COUNTIFS('أرقام التواصل'!$A$6:$A$505,"proposed_name",'أرقام التواصل'!$B$6:$B$505,A218,'أرقام التواصل'!$C$6:$C$505,1))=0,"missing primary contact in أرقام التواصل; ","")&amp;IF(AND(U218="TRUE",V218=""),"duplicate_type required when duplicate_flag TRUE; ","")))))</f>
        <v/>
      </c>
    </row>
    <row r="219" spans="1:29">
      <c r="A219" s="36"/>
      <c r="B219" s="24"/>
      <c r="C219" s="25"/>
      <c r="D219" s="25"/>
      <c r="E219" s="25"/>
      <c r="F219" s="24"/>
      <c r="G219" s="25"/>
      <c r="H219" s="25"/>
      <c r="I219" s="25"/>
      <c r="J219" s="25"/>
      <c r="K219" s="25"/>
      <c r="L219" s="25"/>
      <c r="M219" s="25"/>
      <c r="N219" s="25" t="str">
        <f t="shared" si="3"/>
        <v/>
      </c>
      <c r="O219" s="25"/>
      <c r="P219" s="25"/>
      <c r="Q219" s="25"/>
      <c r="R219" s="25"/>
      <c r="S219" s="25"/>
      <c r="T219" s="25"/>
      <c r="U219" s="25"/>
      <c r="V219" s="25"/>
      <c r="W219" s="24"/>
      <c r="X219" s="24"/>
      <c r="Y219" s="25"/>
      <c r="Z219" s="25" t="str">
        <f>IF(B219="","",IFERROR(INDEX(الزبائن!$AZ$6:$AZ$505,MATCH(B219,الزبائن!$A$6:$A$505,0)),"source key not found"))</f>
        <v/>
      </c>
      <c r="AA219" s="25" t="str">
        <f>IF(B219="","",IFERROR(INDEX(الزبائن!$BA$6:$BA$505,MATCH(B219,الزبائن!$A$6:$A$505,0)),"source key not found"))</f>
        <v/>
      </c>
      <c r="AB219" s="25" t="str">
        <f>IF(AND(A219="",C219="",D219="",H219="",K219="",L219=""),"",IF(C219="skip","SKIP",IF(OR(A219="",C219="",D219="",H219="",K219="",L219="",S219="",COUNTIF($A$6:$A$505,A219)&gt;1,AND(B219&lt;&gt;"",COUNTIF(الزبائن!$A$6:$A$505,B219)=0),(COUNTIFS('أرقام التواصل'!$A$6:$A$505,"proposed_name",'أرقام التواصل'!$B$6:$B$505,A219,'أرقام التواصل'!$I$6:$I$505,"TRUE")+COUNTIFS('أرقام التواصل'!$A$6:$A$505,"proposed_name",'أرقام التواصل'!$B$6:$B$505,A219,'أرقام التواصل'!$C$6:$C$505,1))=0,AND(U219="TRUE",V219="")),"REVIEW","READY")))</f>
        <v/>
      </c>
      <c r="AC219" s="27" t="str">
        <f>IF(AB219="","",IF(AB219="READY","",IF(AB219="SKIP","Skipped by candidate_import_action",TRIM(IF(A219="","missing proposed_name_key; ","")&amp;IF(AND(A219&lt;&gt;"",COUNTIF($A$6:$A$505,A219)&gt;1),"duplicate proposed_name_key; ","")&amp;IF(C219="","missing candidate_import_action; ","")&amp;IF(D219="","missing move_reason; ","")&amp;IF(H219="","missing branch_id; ","")&amp;IF(K219="","missing first_name; ","")&amp;IF(L219="","missing last_name; ","")&amp;IF(S219="","missing status; ","")&amp;IF(AND(B219&lt;&gt;"",COUNTIF(الزبائن!$A$6:$A$505,B219)=0),"source key not found; ","")&amp;IF((COUNTIFS('أرقام التواصل'!$A$6:$A$505,"proposed_name",'أرقام التواصل'!$B$6:$B$505,A219,'أرقام التواصل'!$I$6:$I$505,"TRUE")+COUNTIFS('أرقام التواصل'!$A$6:$A$505,"proposed_name",'أرقام التواصل'!$B$6:$B$505,A219,'أرقام التواصل'!$C$6:$C$505,1))=0,"missing primary contact in أرقام التواصل; ","")&amp;IF(AND(U219="TRUE",V219=""),"duplicate_type required when duplicate_flag TRUE; ","")))))</f>
        <v/>
      </c>
    </row>
    <row r="220" spans="1:29">
      <c r="A220" s="36"/>
      <c r="B220" s="24"/>
      <c r="C220" s="25"/>
      <c r="D220" s="25"/>
      <c r="E220" s="25"/>
      <c r="F220" s="24"/>
      <c r="G220" s="25"/>
      <c r="H220" s="25"/>
      <c r="I220" s="25"/>
      <c r="J220" s="25"/>
      <c r="K220" s="25"/>
      <c r="L220" s="25"/>
      <c r="M220" s="25"/>
      <c r="N220" s="25" t="str">
        <f t="shared" si="3"/>
        <v/>
      </c>
      <c r="O220" s="25"/>
      <c r="P220" s="25"/>
      <c r="Q220" s="25"/>
      <c r="R220" s="25"/>
      <c r="S220" s="25"/>
      <c r="T220" s="25"/>
      <c r="U220" s="25"/>
      <c r="V220" s="25"/>
      <c r="W220" s="24"/>
      <c r="X220" s="24"/>
      <c r="Y220" s="25"/>
      <c r="Z220" s="25" t="str">
        <f>IF(B220="","",IFERROR(INDEX(الزبائن!$AZ$6:$AZ$505,MATCH(B220,الزبائن!$A$6:$A$505,0)),"source key not found"))</f>
        <v/>
      </c>
      <c r="AA220" s="25" t="str">
        <f>IF(B220="","",IFERROR(INDEX(الزبائن!$BA$6:$BA$505,MATCH(B220,الزبائن!$A$6:$A$505,0)),"source key not found"))</f>
        <v/>
      </c>
      <c r="AB220" s="25" t="str">
        <f>IF(AND(A220="",C220="",D220="",H220="",K220="",L220=""),"",IF(C220="skip","SKIP",IF(OR(A220="",C220="",D220="",H220="",K220="",L220="",S220="",COUNTIF($A$6:$A$505,A220)&gt;1,AND(B220&lt;&gt;"",COUNTIF(الزبائن!$A$6:$A$505,B220)=0),(COUNTIFS('أرقام التواصل'!$A$6:$A$505,"proposed_name",'أرقام التواصل'!$B$6:$B$505,A220,'أرقام التواصل'!$I$6:$I$505,"TRUE")+COUNTIFS('أرقام التواصل'!$A$6:$A$505,"proposed_name",'أرقام التواصل'!$B$6:$B$505,A220,'أرقام التواصل'!$C$6:$C$505,1))=0,AND(U220="TRUE",V220="")),"REVIEW","READY")))</f>
        <v/>
      </c>
      <c r="AC220" s="27" t="str">
        <f>IF(AB220="","",IF(AB220="READY","",IF(AB220="SKIP","Skipped by candidate_import_action",TRIM(IF(A220="","missing proposed_name_key; ","")&amp;IF(AND(A220&lt;&gt;"",COUNTIF($A$6:$A$505,A220)&gt;1),"duplicate proposed_name_key; ","")&amp;IF(C220="","missing candidate_import_action; ","")&amp;IF(D220="","missing move_reason; ","")&amp;IF(H220="","missing branch_id; ","")&amp;IF(K220="","missing first_name; ","")&amp;IF(L220="","missing last_name; ","")&amp;IF(S220="","missing status; ","")&amp;IF(AND(B220&lt;&gt;"",COUNTIF(الزبائن!$A$6:$A$505,B220)=0),"source key not found; ","")&amp;IF((COUNTIFS('أرقام التواصل'!$A$6:$A$505,"proposed_name",'أرقام التواصل'!$B$6:$B$505,A220,'أرقام التواصل'!$I$6:$I$505,"TRUE")+COUNTIFS('أرقام التواصل'!$A$6:$A$505,"proposed_name",'أرقام التواصل'!$B$6:$B$505,A220,'أرقام التواصل'!$C$6:$C$505,1))=0,"missing primary contact in أرقام التواصل; ","")&amp;IF(AND(U220="TRUE",V220=""),"duplicate_type required when duplicate_flag TRUE; ","")))))</f>
        <v/>
      </c>
    </row>
    <row r="221" spans="1:29">
      <c r="A221" s="36"/>
      <c r="B221" s="24"/>
      <c r="C221" s="25"/>
      <c r="D221" s="25"/>
      <c r="E221" s="25"/>
      <c r="F221" s="24"/>
      <c r="G221" s="25"/>
      <c r="H221" s="25"/>
      <c r="I221" s="25"/>
      <c r="J221" s="25"/>
      <c r="K221" s="25"/>
      <c r="L221" s="25"/>
      <c r="M221" s="25"/>
      <c r="N221" s="25" t="str">
        <f t="shared" si="3"/>
        <v/>
      </c>
      <c r="O221" s="25"/>
      <c r="P221" s="25"/>
      <c r="Q221" s="25"/>
      <c r="R221" s="25"/>
      <c r="S221" s="25"/>
      <c r="T221" s="25"/>
      <c r="U221" s="25"/>
      <c r="V221" s="25"/>
      <c r="W221" s="24"/>
      <c r="X221" s="24"/>
      <c r="Y221" s="25"/>
      <c r="Z221" s="25" t="str">
        <f>IF(B221="","",IFERROR(INDEX(الزبائن!$AZ$6:$AZ$505,MATCH(B221,الزبائن!$A$6:$A$505,0)),"source key not found"))</f>
        <v/>
      </c>
      <c r="AA221" s="25" t="str">
        <f>IF(B221="","",IFERROR(INDEX(الزبائن!$BA$6:$BA$505,MATCH(B221,الزبائن!$A$6:$A$505,0)),"source key not found"))</f>
        <v/>
      </c>
      <c r="AB221" s="25" t="str">
        <f>IF(AND(A221="",C221="",D221="",H221="",K221="",L221=""),"",IF(C221="skip","SKIP",IF(OR(A221="",C221="",D221="",H221="",K221="",L221="",S221="",COUNTIF($A$6:$A$505,A221)&gt;1,AND(B221&lt;&gt;"",COUNTIF(الزبائن!$A$6:$A$505,B221)=0),(COUNTIFS('أرقام التواصل'!$A$6:$A$505,"proposed_name",'أرقام التواصل'!$B$6:$B$505,A221,'أرقام التواصل'!$I$6:$I$505,"TRUE")+COUNTIFS('أرقام التواصل'!$A$6:$A$505,"proposed_name",'أرقام التواصل'!$B$6:$B$505,A221,'أرقام التواصل'!$C$6:$C$505,1))=0,AND(U221="TRUE",V221="")),"REVIEW","READY")))</f>
        <v/>
      </c>
      <c r="AC221" s="27" t="str">
        <f>IF(AB221="","",IF(AB221="READY","",IF(AB221="SKIP","Skipped by candidate_import_action",TRIM(IF(A221="","missing proposed_name_key; ","")&amp;IF(AND(A221&lt;&gt;"",COUNTIF($A$6:$A$505,A221)&gt;1),"duplicate proposed_name_key; ","")&amp;IF(C221="","missing candidate_import_action; ","")&amp;IF(D221="","missing move_reason; ","")&amp;IF(H221="","missing branch_id; ","")&amp;IF(K221="","missing first_name; ","")&amp;IF(L221="","missing last_name; ","")&amp;IF(S221="","missing status; ","")&amp;IF(AND(B221&lt;&gt;"",COUNTIF(الزبائن!$A$6:$A$505,B221)=0),"source key not found; ","")&amp;IF((COUNTIFS('أرقام التواصل'!$A$6:$A$505,"proposed_name",'أرقام التواصل'!$B$6:$B$505,A221,'أرقام التواصل'!$I$6:$I$505,"TRUE")+COUNTIFS('أرقام التواصل'!$A$6:$A$505,"proposed_name",'أرقام التواصل'!$B$6:$B$505,A221,'أرقام التواصل'!$C$6:$C$505,1))=0,"missing primary contact in أرقام التواصل; ","")&amp;IF(AND(U221="TRUE",V221=""),"duplicate_type required when duplicate_flag TRUE; ","")))))</f>
        <v/>
      </c>
    </row>
    <row r="222" spans="1:29">
      <c r="A222" s="36"/>
      <c r="B222" s="24"/>
      <c r="C222" s="25"/>
      <c r="D222" s="25"/>
      <c r="E222" s="25"/>
      <c r="F222" s="24"/>
      <c r="G222" s="25"/>
      <c r="H222" s="25"/>
      <c r="I222" s="25"/>
      <c r="J222" s="25"/>
      <c r="K222" s="25"/>
      <c r="L222" s="25"/>
      <c r="M222" s="25"/>
      <c r="N222" s="25" t="str">
        <f t="shared" si="3"/>
        <v/>
      </c>
      <c r="O222" s="25"/>
      <c r="P222" s="25"/>
      <c r="Q222" s="25"/>
      <c r="R222" s="25"/>
      <c r="S222" s="25"/>
      <c r="T222" s="25"/>
      <c r="U222" s="25"/>
      <c r="V222" s="25"/>
      <c r="W222" s="24"/>
      <c r="X222" s="24"/>
      <c r="Y222" s="25"/>
      <c r="Z222" s="25" t="str">
        <f>IF(B222="","",IFERROR(INDEX(الزبائن!$AZ$6:$AZ$505,MATCH(B222,الزبائن!$A$6:$A$505,0)),"source key not found"))</f>
        <v/>
      </c>
      <c r="AA222" s="25" t="str">
        <f>IF(B222="","",IFERROR(INDEX(الزبائن!$BA$6:$BA$505,MATCH(B222,الزبائن!$A$6:$A$505,0)),"source key not found"))</f>
        <v/>
      </c>
      <c r="AB222" s="25" t="str">
        <f>IF(AND(A222="",C222="",D222="",H222="",K222="",L222=""),"",IF(C222="skip","SKIP",IF(OR(A222="",C222="",D222="",H222="",K222="",L222="",S222="",COUNTIF($A$6:$A$505,A222)&gt;1,AND(B222&lt;&gt;"",COUNTIF(الزبائن!$A$6:$A$505,B222)=0),(COUNTIFS('أرقام التواصل'!$A$6:$A$505,"proposed_name",'أرقام التواصل'!$B$6:$B$505,A222,'أرقام التواصل'!$I$6:$I$505,"TRUE")+COUNTIFS('أرقام التواصل'!$A$6:$A$505,"proposed_name",'أرقام التواصل'!$B$6:$B$505,A222,'أرقام التواصل'!$C$6:$C$505,1))=0,AND(U222="TRUE",V222="")),"REVIEW","READY")))</f>
        <v/>
      </c>
      <c r="AC222" s="27" t="str">
        <f>IF(AB222="","",IF(AB222="READY","",IF(AB222="SKIP","Skipped by candidate_import_action",TRIM(IF(A222="","missing proposed_name_key; ","")&amp;IF(AND(A222&lt;&gt;"",COUNTIF($A$6:$A$505,A222)&gt;1),"duplicate proposed_name_key; ","")&amp;IF(C222="","missing candidate_import_action; ","")&amp;IF(D222="","missing move_reason; ","")&amp;IF(H222="","missing branch_id; ","")&amp;IF(K222="","missing first_name; ","")&amp;IF(L222="","missing last_name; ","")&amp;IF(S222="","missing status; ","")&amp;IF(AND(B222&lt;&gt;"",COUNTIF(الزبائن!$A$6:$A$505,B222)=0),"source key not found; ","")&amp;IF((COUNTIFS('أرقام التواصل'!$A$6:$A$505,"proposed_name",'أرقام التواصل'!$B$6:$B$505,A222,'أرقام التواصل'!$I$6:$I$505,"TRUE")+COUNTIFS('أرقام التواصل'!$A$6:$A$505,"proposed_name",'أرقام التواصل'!$B$6:$B$505,A222,'أرقام التواصل'!$C$6:$C$505,1))=0,"missing primary contact in أرقام التواصل; ","")&amp;IF(AND(U222="TRUE",V222=""),"duplicate_type required when duplicate_flag TRUE; ","")))))</f>
        <v/>
      </c>
    </row>
    <row r="223" spans="1:29">
      <c r="A223" s="36"/>
      <c r="B223" s="24"/>
      <c r="C223" s="25"/>
      <c r="D223" s="25"/>
      <c r="E223" s="25"/>
      <c r="F223" s="24"/>
      <c r="G223" s="25"/>
      <c r="H223" s="25"/>
      <c r="I223" s="25"/>
      <c r="J223" s="25"/>
      <c r="K223" s="25"/>
      <c r="L223" s="25"/>
      <c r="M223" s="25"/>
      <c r="N223" s="25" t="str">
        <f t="shared" si="3"/>
        <v/>
      </c>
      <c r="O223" s="25"/>
      <c r="P223" s="25"/>
      <c r="Q223" s="25"/>
      <c r="R223" s="25"/>
      <c r="S223" s="25"/>
      <c r="T223" s="25"/>
      <c r="U223" s="25"/>
      <c r="V223" s="25"/>
      <c r="W223" s="24"/>
      <c r="X223" s="24"/>
      <c r="Y223" s="25"/>
      <c r="Z223" s="25" t="str">
        <f>IF(B223="","",IFERROR(INDEX(الزبائن!$AZ$6:$AZ$505,MATCH(B223,الزبائن!$A$6:$A$505,0)),"source key not found"))</f>
        <v/>
      </c>
      <c r="AA223" s="25" t="str">
        <f>IF(B223="","",IFERROR(INDEX(الزبائن!$BA$6:$BA$505,MATCH(B223,الزبائن!$A$6:$A$505,0)),"source key not found"))</f>
        <v/>
      </c>
      <c r="AB223" s="25" t="str">
        <f>IF(AND(A223="",C223="",D223="",H223="",K223="",L223=""),"",IF(C223="skip","SKIP",IF(OR(A223="",C223="",D223="",H223="",K223="",L223="",S223="",COUNTIF($A$6:$A$505,A223)&gt;1,AND(B223&lt;&gt;"",COUNTIF(الزبائن!$A$6:$A$505,B223)=0),(COUNTIFS('أرقام التواصل'!$A$6:$A$505,"proposed_name",'أرقام التواصل'!$B$6:$B$505,A223,'أرقام التواصل'!$I$6:$I$505,"TRUE")+COUNTIFS('أرقام التواصل'!$A$6:$A$505,"proposed_name",'أرقام التواصل'!$B$6:$B$505,A223,'أرقام التواصل'!$C$6:$C$505,1))=0,AND(U223="TRUE",V223="")),"REVIEW","READY")))</f>
        <v/>
      </c>
      <c r="AC223" s="27" t="str">
        <f>IF(AB223="","",IF(AB223="READY","",IF(AB223="SKIP","Skipped by candidate_import_action",TRIM(IF(A223="","missing proposed_name_key; ","")&amp;IF(AND(A223&lt;&gt;"",COUNTIF($A$6:$A$505,A223)&gt;1),"duplicate proposed_name_key; ","")&amp;IF(C223="","missing candidate_import_action; ","")&amp;IF(D223="","missing move_reason; ","")&amp;IF(H223="","missing branch_id; ","")&amp;IF(K223="","missing first_name; ","")&amp;IF(L223="","missing last_name; ","")&amp;IF(S223="","missing status; ","")&amp;IF(AND(B223&lt;&gt;"",COUNTIF(الزبائن!$A$6:$A$505,B223)=0),"source key not found; ","")&amp;IF((COUNTIFS('أرقام التواصل'!$A$6:$A$505,"proposed_name",'أرقام التواصل'!$B$6:$B$505,A223,'أرقام التواصل'!$I$6:$I$505,"TRUE")+COUNTIFS('أرقام التواصل'!$A$6:$A$505,"proposed_name",'أرقام التواصل'!$B$6:$B$505,A223,'أرقام التواصل'!$C$6:$C$505,1))=0,"missing primary contact in أرقام التواصل; ","")&amp;IF(AND(U223="TRUE",V223=""),"duplicate_type required when duplicate_flag TRUE; ","")))))</f>
        <v/>
      </c>
    </row>
    <row r="224" spans="1:29">
      <c r="A224" s="36"/>
      <c r="B224" s="24"/>
      <c r="C224" s="25"/>
      <c r="D224" s="25"/>
      <c r="E224" s="25"/>
      <c r="F224" s="24"/>
      <c r="G224" s="25"/>
      <c r="H224" s="25"/>
      <c r="I224" s="25"/>
      <c r="J224" s="25"/>
      <c r="K224" s="25"/>
      <c r="L224" s="25"/>
      <c r="M224" s="25"/>
      <c r="N224" s="25" t="str">
        <f t="shared" si="3"/>
        <v/>
      </c>
      <c r="O224" s="25"/>
      <c r="P224" s="25"/>
      <c r="Q224" s="25"/>
      <c r="R224" s="25"/>
      <c r="S224" s="25"/>
      <c r="T224" s="25"/>
      <c r="U224" s="25"/>
      <c r="V224" s="25"/>
      <c r="W224" s="24"/>
      <c r="X224" s="24"/>
      <c r="Y224" s="25"/>
      <c r="Z224" s="25" t="str">
        <f>IF(B224="","",IFERROR(INDEX(الزبائن!$AZ$6:$AZ$505,MATCH(B224,الزبائن!$A$6:$A$505,0)),"source key not found"))</f>
        <v/>
      </c>
      <c r="AA224" s="25" t="str">
        <f>IF(B224="","",IFERROR(INDEX(الزبائن!$BA$6:$BA$505,MATCH(B224,الزبائن!$A$6:$A$505,0)),"source key not found"))</f>
        <v/>
      </c>
      <c r="AB224" s="25" t="str">
        <f>IF(AND(A224="",C224="",D224="",H224="",K224="",L224=""),"",IF(C224="skip","SKIP",IF(OR(A224="",C224="",D224="",H224="",K224="",L224="",S224="",COUNTIF($A$6:$A$505,A224)&gt;1,AND(B224&lt;&gt;"",COUNTIF(الزبائن!$A$6:$A$505,B224)=0),(COUNTIFS('أرقام التواصل'!$A$6:$A$505,"proposed_name",'أرقام التواصل'!$B$6:$B$505,A224,'أرقام التواصل'!$I$6:$I$505,"TRUE")+COUNTIFS('أرقام التواصل'!$A$6:$A$505,"proposed_name",'أرقام التواصل'!$B$6:$B$505,A224,'أرقام التواصل'!$C$6:$C$505,1))=0,AND(U224="TRUE",V224="")),"REVIEW","READY")))</f>
        <v/>
      </c>
      <c r="AC224" s="27" t="str">
        <f>IF(AB224="","",IF(AB224="READY","",IF(AB224="SKIP","Skipped by candidate_import_action",TRIM(IF(A224="","missing proposed_name_key; ","")&amp;IF(AND(A224&lt;&gt;"",COUNTIF($A$6:$A$505,A224)&gt;1),"duplicate proposed_name_key; ","")&amp;IF(C224="","missing candidate_import_action; ","")&amp;IF(D224="","missing move_reason; ","")&amp;IF(H224="","missing branch_id; ","")&amp;IF(K224="","missing first_name; ","")&amp;IF(L224="","missing last_name; ","")&amp;IF(S224="","missing status; ","")&amp;IF(AND(B224&lt;&gt;"",COUNTIF(الزبائن!$A$6:$A$505,B224)=0),"source key not found; ","")&amp;IF((COUNTIFS('أرقام التواصل'!$A$6:$A$505,"proposed_name",'أرقام التواصل'!$B$6:$B$505,A224,'أرقام التواصل'!$I$6:$I$505,"TRUE")+COUNTIFS('أرقام التواصل'!$A$6:$A$505,"proposed_name",'أرقام التواصل'!$B$6:$B$505,A224,'أرقام التواصل'!$C$6:$C$505,1))=0,"missing primary contact in أرقام التواصل; ","")&amp;IF(AND(U224="TRUE",V224=""),"duplicate_type required when duplicate_flag TRUE; ","")))))</f>
        <v/>
      </c>
    </row>
    <row r="225" spans="1:29">
      <c r="A225" s="36"/>
      <c r="B225" s="24"/>
      <c r="C225" s="25"/>
      <c r="D225" s="25"/>
      <c r="E225" s="25"/>
      <c r="F225" s="24"/>
      <c r="G225" s="25"/>
      <c r="H225" s="25"/>
      <c r="I225" s="25"/>
      <c r="J225" s="25"/>
      <c r="K225" s="25"/>
      <c r="L225" s="25"/>
      <c r="M225" s="25"/>
      <c r="N225" s="25" t="str">
        <f t="shared" si="3"/>
        <v/>
      </c>
      <c r="O225" s="25"/>
      <c r="P225" s="25"/>
      <c r="Q225" s="25"/>
      <c r="R225" s="25"/>
      <c r="S225" s="25"/>
      <c r="T225" s="25"/>
      <c r="U225" s="25"/>
      <c r="V225" s="25"/>
      <c r="W225" s="24"/>
      <c r="X225" s="24"/>
      <c r="Y225" s="25"/>
      <c r="Z225" s="25" t="str">
        <f>IF(B225="","",IFERROR(INDEX(الزبائن!$AZ$6:$AZ$505,MATCH(B225,الزبائن!$A$6:$A$505,0)),"source key not found"))</f>
        <v/>
      </c>
      <c r="AA225" s="25" t="str">
        <f>IF(B225="","",IFERROR(INDEX(الزبائن!$BA$6:$BA$505,MATCH(B225,الزبائن!$A$6:$A$505,0)),"source key not found"))</f>
        <v/>
      </c>
      <c r="AB225" s="25" t="str">
        <f>IF(AND(A225="",C225="",D225="",H225="",K225="",L225=""),"",IF(C225="skip","SKIP",IF(OR(A225="",C225="",D225="",H225="",K225="",L225="",S225="",COUNTIF($A$6:$A$505,A225)&gt;1,AND(B225&lt;&gt;"",COUNTIF(الزبائن!$A$6:$A$505,B225)=0),(COUNTIFS('أرقام التواصل'!$A$6:$A$505,"proposed_name",'أرقام التواصل'!$B$6:$B$505,A225,'أرقام التواصل'!$I$6:$I$505,"TRUE")+COUNTIFS('أرقام التواصل'!$A$6:$A$505,"proposed_name",'أرقام التواصل'!$B$6:$B$505,A225,'أرقام التواصل'!$C$6:$C$505,1))=0,AND(U225="TRUE",V225="")),"REVIEW","READY")))</f>
        <v/>
      </c>
      <c r="AC225" s="27" t="str">
        <f>IF(AB225="","",IF(AB225="READY","",IF(AB225="SKIP","Skipped by candidate_import_action",TRIM(IF(A225="","missing proposed_name_key; ","")&amp;IF(AND(A225&lt;&gt;"",COUNTIF($A$6:$A$505,A225)&gt;1),"duplicate proposed_name_key; ","")&amp;IF(C225="","missing candidate_import_action; ","")&amp;IF(D225="","missing move_reason; ","")&amp;IF(H225="","missing branch_id; ","")&amp;IF(K225="","missing first_name; ","")&amp;IF(L225="","missing last_name; ","")&amp;IF(S225="","missing status; ","")&amp;IF(AND(B225&lt;&gt;"",COUNTIF(الزبائن!$A$6:$A$505,B225)=0),"source key not found; ","")&amp;IF((COUNTIFS('أرقام التواصل'!$A$6:$A$505,"proposed_name",'أرقام التواصل'!$B$6:$B$505,A225,'أرقام التواصل'!$I$6:$I$505,"TRUE")+COUNTIFS('أرقام التواصل'!$A$6:$A$505,"proposed_name",'أرقام التواصل'!$B$6:$B$505,A225,'أرقام التواصل'!$C$6:$C$505,1))=0,"missing primary contact in أرقام التواصل; ","")&amp;IF(AND(U225="TRUE",V225=""),"duplicate_type required when duplicate_flag TRUE; ","")))))</f>
        <v/>
      </c>
    </row>
    <row r="226" spans="1:29">
      <c r="A226" s="36"/>
      <c r="B226" s="24"/>
      <c r="C226" s="25"/>
      <c r="D226" s="25"/>
      <c r="E226" s="25"/>
      <c r="F226" s="24"/>
      <c r="G226" s="25"/>
      <c r="H226" s="25"/>
      <c r="I226" s="25"/>
      <c r="J226" s="25"/>
      <c r="K226" s="25"/>
      <c r="L226" s="25"/>
      <c r="M226" s="25"/>
      <c r="N226" s="25" t="str">
        <f t="shared" si="3"/>
        <v/>
      </c>
      <c r="O226" s="25"/>
      <c r="P226" s="25"/>
      <c r="Q226" s="25"/>
      <c r="R226" s="25"/>
      <c r="S226" s="25"/>
      <c r="T226" s="25"/>
      <c r="U226" s="25"/>
      <c r="V226" s="25"/>
      <c r="W226" s="24"/>
      <c r="X226" s="24"/>
      <c r="Y226" s="25"/>
      <c r="Z226" s="25" t="str">
        <f>IF(B226="","",IFERROR(INDEX(الزبائن!$AZ$6:$AZ$505,MATCH(B226,الزبائن!$A$6:$A$505,0)),"source key not found"))</f>
        <v/>
      </c>
      <c r="AA226" s="25" t="str">
        <f>IF(B226="","",IFERROR(INDEX(الزبائن!$BA$6:$BA$505,MATCH(B226,الزبائن!$A$6:$A$505,0)),"source key not found"))</f>
        <v/>
      </c>
      <c r="AB226" s="25" t="str">
        <f>IF(AND(A226="",C226="",D226="",H226="",K226="",L226=""),"",IF(C226="skip","SKIP",IF(OR(A226="",C226="",D226="",H226="",K226="",L226="",S226="",COUNTIF($A$6:$A$505,A226)&gt;1,AND(B226&lt;&gt;"",COUNTIF(الزبائن!$A$6:$A$505,B226)=0),(COUNTIFS('أرقام التواصل'!$A$6:$A$505,"proposed_name",'أرقام التواصل'!$B$6:$B$505,A226,'أرقام التواصل'!$I$6:$I$505,"TRUE")+COUNTIFS('أرقام التواصل'!$A$6:$A$505,"proposed_name",'أرقام التواصل'!$B$6:$B$505,A226,'أرقام التواصل'!$C$6:$C$505,1))=0,AND(U226="TRUE",V226="")),"REVIEW","READY")))</f>
        <v/>
      </c>
      <c r="AC226" s="27" t="str">
        <f>IF(AB226="","",IF(AB226="READY","",IF(AB226="SKIP","Skipped by candidate_import_action",TRIM(IF(A226="","missing proposed_name_key; ","")&amp;IF(AND(A226&lt;&gt;"",COUNTIF($A$6:$A$505,A226)&gt;1),"duplicate proposed_name_key; ","")&amp;IF(C226="","missing candidate_import_action; ","")&amp;IF(D226="","missing move_reason; ","")&amp;IF(H226="","missing branch_id; ","")&amp;IF(K226="","missing first_name; ","")&amp;IF(L226="","missing last_name; ","")&amp;IF(S226="","missing status; ","")&amp;IF(AND(B226&lt;&gt;"",COUNTIF(الزبائن!$A$6:$A$505,B226)=0),"source key not found; ","")&amp;IF((COUNTIFS('أرقام التواصل'!$A$6:$A$505,"proposed_name",'أرقام التواصل'!$B$6:$B$505,A226,'أرقام التواصل'!$I$6:$I$505,"TRUE")+COUNTIFS('أرقام التواصل'!$A$6:$A$505,"proposed_name",'أرقام التواصل'!$B$6:$B$505,A226,'أرقام التواصل'!$C$6:$C$505,1))=0,"missing primary contact in أرقام التواصل; ","")&amp;IF(AND(U226="TRUE",V226=""),"duplicate_type required when duplicate_flag TRUE; ","")))))</f>
        <v/>
      </c>
    </row>
    <row r="227" spans="1:29">
      <c r="A227" s="36"/>
      <c r="B227" s="24"/>
      <c r="C227" s="25"/>
      <c r="D227" s="25"/>
      <c r="E227" s="25"/>
      <c r="F227" s="24"/>
      <c r="G227" s="25"/>
      <c r="H227" s="25"/>
      <c r="I227" s="25"/>
      <c r="J227" s="25"/>
      <c r="K227" s="25"/>
      <c r="L227" s="25"/>
      <c r="M227" s="25"/>
      <c r="N227" s="25" t="str">
        <f t="shared" si="3"/>
        <v/>
      </c>
      <c r="O227" s="25"/>
      <c r="P227" s="25"/>
      <c r="Q227" s="25"/>
      <c r="R227" s="25"/>
      <c r="S227" s="25"/>
      <c r="T227" s="25"/>
      <c r="U227" s="25"/>
      <c r="V227" s="25"/>
      <c r="W227" s="24"/>
      <c r="X227" s="24"/>
      <c r="Y227" s="25"/>
      <c r="Z227" s="25" t="str">
        <f>IF(B227="","",IFERROR(INDEX(الزبائن!$AZ$6:$AZ$505,MATCH(B227,الزبائن!$A$6:$A$505,0)),"source key not found"))</f>
        <v/>
      </c>
      <c r="AA227" s="25" t="str">
        <f>IF(B227="","",IFERROR(INDEX(الزبائن!$BA$6:$BA$505,MATCH(B227,الزبائن!$A$6:$A$505,0)),"source key not found"))</f>
        <v/>
      </c>
      <c r="AB227" s="25" t="str">
        <f>IF(AND(A227="",C227="",D227="",H227="",K227="",L227=""),"",IF(C227="skip","SKIP",IF(OR(A227="",C227="",D227="",H227="",K227="",L227="",S227="",COUNTIF($A$6:$A$505,A227)&gt;1,AND(B227&lt;&gt;"",COUNTIF(الزبائن!$A$6:$A$505,B227)=0),(COUNTIFS('أرقام التواصل'!$A$6:$A$505,"proposed_name",'أرقام التواصل'!$B$6:$B$505,A227,'أرقام التواصل'!$I$6:$I$505,"TRUE")+COUNTIFS('أرقام التواصل'!$A$6:$A$505,"proposed_name",'أرقام التواصل'!$B$6:$B$505,A227,'أرقام التواصل'!$C$6:$C$505,1))=0,AND(U227="TRUE",V227="")),"REVIEW","READY")))</f>
        <v/>
      </c>
      <c r="AC227" s="27" t="str">
        <f>IF(AB227="","",IF(AB227="READY","",IF(AB227="SKIP","Skipped by candidate_import_action",TRIM(IF(A227="","missing proposed_name_key; ","")&amp;IF(AND(A227&lt;&gt;"",COUNTIF($A$6:$A$505,A227)&gt;1),"duplicate proposed_name_key; ","")&amp;IF(C227="","missing candidate_import_action; ","")&amp;IF(D227="","missing move_reason; ","")&amp;IF(H227="","missing branch_id; ","")&amp;IF(K227="","missing first_name; ","")&amp;IF(L227="","missing last_name; ","")&amp;IF(S227="","missing status; ","")&amp;IF(AND(B227&lt;&gt;"",COUNTIF(الزبائن!$A$6:$A$505,B227)=0),"source key not found; ","")&amp;IF((COUNTIFS('أرقام التواصل'!$A$6:$A$505,"proposed_name",'أرقام التواصل'!$B$6:$B$505,A227,'أرقام التواصل'!$I$6:$I$505,"TRUE")+COUNTIFS('أرقام التواصل'!$A$6:$A$505,"proposed_name",'أرقام التواصل'!$B$6:$B$505,A227,'أرقام التواصل'!$C$6:$C$505,1))=0,"missing primary contact in أرقام التواصل; ","")&amp;IF(AND(U227="TRUE",V227=""),"duplicate_type required when duplicate_flag TRUE; ","")))))</f>
        <v/>
      </c>
    </row>
    <row r="228" spans="1:29">
      <c r="A228" s="36"/>
      <c r="B228" s="24"/>
      <c r="C228" s="25"/>
      <c r="D228" s="25"/>
      <c r="E228" s="25"/>
      <c r="F228" s="24"/>
      <c r="G228" s="25"/>
      <c r="H228" s="25"/>
      <c r="I228" s="25"/>
      <c r="J228" s="25"/>
      <c r="K228" s="25"/>
      <c r="L228" s="25"/>
      <c r="M228" s="25"/>
      <c r="N228" s="25" t="str">
        <f t="shared" si="3"/>
        <v/>
      </c>
      <c r="O228" s="25"/>
      <c r="P228" s="25"/>
      <c r="Q228" s="25"/>
      <c r="R228" s="25"/>
      <c r="S228" s="25"/>
      <c r="T228" s="25"/>
      <c r="U228" s="25"/>
      <c r="V228" s="25"/>
      <c r="W228" s="24"/>
      <c r="X228" s="24"/>
      <c r="Y228" s="25"/>
      <c r="Z228" s="25" t="str">
        <f>IF(B228="","",IFERROR(INDEX(الزبائن!$AZ$6:$AZ$505,MATCH(B228,الزبائن!$A$6:$A$505,0)),"source key not found"))</f>
        <v/>
      </c>
      <c r="AA228" s="25" t="str">
        <f>IF(B228="","",IFERROR(INDEX(الزبائن!$BA$6:$BA$505,MATCH(B228,الزبائن!$A$6:$A$505,0)),"source key not found"))</f>
        <v/>
      </c>
      <c r="AB228" s="25" t="str">
        <f>IF(AND(A228="",C228="",D228="",H228="",K228="",L228=""),"",IF(C228="skip","SKIP",IF(OR(A228="",C228="",D228="",H228="",K228="",L228="",S228="",COUNTIF($A$6:$A$505,A228)&gt;1,AND(B228&lt;&gt;"",COUNTIF(الزبائن!$A$6:$A$505,B228)=0),(COUNTIFS('أرقام التواصل'!$A$6:$A$505,"proposed_name",'أرقام التواصل'!$B$6:$B$505,A228,'أرقام التواصل'!$I$6:$I$505,"TRUE")+COUNTIFS('أرقام التواصل'!$A$6:$A$505,"proposed_name",'أرقام التواصل'!$B$6:$B$505,A228,'أرقام التواصل'!$C$6:$C$505,1))=0,AND(U228="TRUE",V228="")),"REVIEW","READY")))</f>
        <v/>
      </c>
      <c r="AC228" s="27" t="str">
        <f>IF(AB228="","",IF(AB228="READY","",IF(AB228="SKIP","Skipped by candidate_import_action",TRIM(IF(A228="","missing proposed_name_key; ","")&amp;IF(AND(A228&lt;&gt;"",COUNTIF($A$6:$A$505,A228)&gt;1),"duplicate proposed_name_key; ","")&amp;IF(C228="","missing candidate_import_action; ","")&amp;IF(D228="","missing move_reason; ","")&amp;IF(H228="","missing branch_id; ","")&amp;IF(K228="","missing first_name; ","")&amp;IF(L228="","missing last_name; ","")&amp;IF(S228="","missing status; ","")&amp;IF(AND(B228&lt;&gt;"",COUNTIF(الزبائن!$A$6:$A$505,B228)=0),"source key not found; ","")&amp;IF((COUNTIFS('أرقام التواصل'!$A$6:$A$505,"proposed_name",'أرقام التواصل'!$B$6:$B$505,A228,'أرقام التواصل'!$I$6:$I$505,"TRUE")+COUNTIFS('أرقام التواصل'!$A$6:$A$505,"proposed_name",'أرقام التواصل'!$B$6:$B$505,A228,'أرقام التواصل'!$C$6:$C$505,1))=0,"missing primary contact in أرقام التواصل; ","")&amp;IF(AND(U228="TRUE",V228=""),"duplicate_type required when duplicate_flag TRUE; ","")))))</f>
        <v/>
      </c>
    </row>
    <row r="229" spans="1:29">
      <c r="A229" s="36"/>
      <c r="B229" s="24"/>
      <c r="C229" s="25"/>
      <c r="D229" s="25"/>
      <c r="E229" s="25"/>
      <c r="F229" s="24"/>
      <c r="G229" s="25"/>
      <c r="H229" s="25"/>
      <c r="I229" s="25"/>
      <c r="J229" s="25"/>
      <c r="K229" s="25"/>
      <c r="L229" s="25"/>
      <c r="M229" s="25"/>
      <c r="N229" s="25" t="str">
        <f t="shared" si="3"/>
        <v/>
      </c>
      <c r="O229" s="25"/>
      <c r="P229" s="25"/>
      <c r="Q229" s="25"/>
      <c r="R229" s="25"/>
      <c r="S229" s="25"/>
      <c r="T229" s="25"/>
      <c r="U229" s="25"/>
      <c r="V229" s="25"/>
      <c r="W229" s="24"/>
      <c r="X229" s="24"/>
      <c r="Y229" s="25"/>
      <c r="Z229" s="25" t="str">
        <f>IF(B229="","",IFERROR(INDEX(الزبائن!$AZ$6:$AZ$505,MATCH(B229,الزبائن!$A$6:$A$505,0)),"source key not found"))</f>
        <v/>
      </c>
      <c r="AA229" s="25" t="str">
        <f>IF(B229="","",IFERROR(INDEX(الزبائن!$BA$6:$BA$505,MATCH(B229,الزبائن!$A$6:$A$505,0)),"source key not found"))</f>
        <v/>
      </c>
      <c r="AB229" s="25" t="str">
        <f>IF(AND(A229="",C229="",D229="",H229="",K229="",L229=""),"",IF(C229="skip","SKIP",IF(OR(A229="",C229="",D229="",H229="",K229="",L229="",S229="",COUNTIF($A$6:$A$505,A229)&gt;1,AND(B229&lt;&gt;"",COUNTIF(الزبائن!$A$6:$A$505,B229)=0),(COUNTIFS('أرقام التواصل'!$A$6:$A$505,"proposed_name",'أرقام التواصل'!$B$6:$B$505,A229,'أرقام التواصل'!$I$6:$I$505,"TRUE")+COUNTIFS('أرقام التواصل'!$A$6:$A$505,"proposed_name",'أرقام التواصل'!$B$6:$B$505,A229,'أرقام التواصل'!$C$6:$C$505,1))=0,AND(U229="TRUE",V229="")),"REVIEW","READY")))</f>
        <v/>
      </c>
      <c r="AC229" s="27" t="str">
        <f>IF(AB229="","",IF(AB229="READY","",IF(AB229="SKIP","Skipped by candidate_import_action",TRIM(IF(A229="","missing proposed_name_key; ","")&amp;IF(AND(A229&lt;&gt;"",COUNTIF($A$6:$A$505,A229)&gt;1),"duplicate proposed_name_key; ","")&amp;IF(C229="","missing candidate_import_action; ","")&amp;IF(D229="","missing move_reason; ","")&amp;IF(H229="","missing branch_id; ","")&amp;IF(K229="","missing first_name; ","")&amp;IF(L229="","missing last_name; ","")&amp;IF(S229="","missing status; ","")&amp;IF(AND(B229&lt;&gt;"",COUNTIF(الزبائن!$A$6:$A$505,B229)=0),"source key not found; ","")&amp;IF((COUNTIFS('أرقام التواصل'!$A$6:$A$505,"proposed_name",'أرقام التواصل'!$B$6:$B$505,A229,'أرقام التواصل'!$I$6:$I$505,"TRUE")+COUNTIFS('أرقام التواصل'!$A$6:$A$505,"proposed_name",'أرقام التواصل'!$B$6:$B$505,A229,'أرقام التواصل'!$C$6:$C$505,1))=0,"missing primary contact in أرقام التواصل; ","")&amp;IF(AND(U229="TRUE",V229=""),"duplicate_type required when duplicate_flag TRUE; ","")))))</f>
        <v/>
      </c>
    </row>
    <row r="230" spans="1:29">
      <c r="A230" s="36"/>
      <c r="B230" s="24"/>
      <c r="C230" s="25"/>
      <c r="D230" s="25"/>
      <c r="E230" s="25"/>
      <c r="F230" s="24"/>
      <c r="G230" s="25"/>
      <c r="H230" s="25"/>
      <c r="I230" s="25"/>
      <c r="J230" s="25"/>
      <c r="K230" s="25"/>
      <c r="L230" s="25"/>
      <c r="M230" s="25"/>
      <c r="N230" s="25" t="str">
        <f t="shared" si="3"/>
        <v/>
      </c>
      <c r="O230" s="25"/>
      <c r="P230" s="25"/>
      <c r="Q230" s="25"/>
      <c r="R230" s="25"/>
      <c r="S230" s="25"/>
      <c r="T230" s="25"/>
      <c r="U230" s="25"/>
      <c r="V230" s="25"/>
      <c r="W230" s="24"/>
      <c r="X230" s="24"/>
      <c r="Y230" s="25"/>
      <c r="Z230" s="25" t="str">
        <f>IF(B230="","",IFERROR(INDEX(الزبائن!$AZ$6:$AZ$505,MATCH(B230,الزبائن!$A$6:$A$505,0)),"source key not found"))</f>
        <v/>
      </c>
      <c r="AA230" s="25" t="str">
        <f>IF(B230="","",IFERROR(INDEX(الزبائن!$BA$6:$BA$505,MATCH(B230,الزبائن!$A$6:$A$505,0)),"source key not found"))</f>
        <v/>
      </c>
      <c r="AB230" s="25" t="str">
        <f>IF(AND(A230="",C230="",D230="",H230="",K230="",L230=""),"",IF(C230="skip","SKIP",IF(OR(A230="",C230="",D230="",H230="",K230="",L230="",S230="",COUNTIF($A$6:$A$505,A230)&gt;1,AND(B230&lt;&gt;"",COUNTIF(الزبائن!$A$6:$A$505,B230)=0),(COUNTIFS('أرقام التواصل'!$A$6:$A$505,"proposed_name",'أرقام التواصل'!$B$6:$B$505,A230,'أرقام التواصل'!$I$6:$I$505,"TRUE")+COUNTIFS('أرقام التواصل'!$A$6:$A$505,"proposed_name",'أرقام التواصل'!$B$6:$B$505,A230,'أرقام التواصل'!$C$6:$C$505,1))=0,AND(U230="TRUE",V230="")),"REVIEW","READY")))</f>
        <v/>
      </c>
      <c r="AC230" s="27" t="str">
        <f>IF(AB230="","",IF(AB230="READY","",IF(AB230="SKIP","Skipped by candidate_import_action",TRIM(IF(A230="","missing proposed_name_key; ","")&amp;IF(AND(A230&lt;&gt;"",COUNTIF($A$6:$A$505,A230)&gt;1),"duplicate proposed_name_key; ","")&amp;IF(C230="","missing candidate_import_action; ","")&amp;IF(D230="","missing move_reason; ","")&amp;IF(H230="","missing branch_id; ","")&amp;IF(K230="","missing first_name; ","")&amp;IF(L230="","missing last_name; ","")&amp;IF(S230="","missing status; ","")&amp;IF(AND(B230&lt;&gt;"",COUNTIF(الزبائن!$A$6:$A$505,B230)=0),"source key not found; ","")&amp;IF((COUNTIFS('أرقام التواصل'!$A$6:$A$505,"proposed_name",'أرقام التواصل'!$B$6:$B$505,A230,'أرقام التواصل'!$I$6:$I$505,"TRUE")+COUNTIFS('أرقام التواصل'!$A$6:$A$505,"proposed_name",'أرقام التواصل'!$B$6:$B$505,A230,'أرقام التواصل'!$C$6:$C$505,1))=0,"missing primary contact in أرقام التواصل; ","")&amp;IF(AND(U230="TRUE",V230=""),"duplicate_type required when duplicate_flag TRUE; ","")))))</f>
        <v/>
      </c>
    </row>
    <row r="231" spans="1:29">
      <c r="A231" s="36"/>
      <c r="B231" s="24"/>
      <c r="C231" s="25"/>
      <c r="D231" s="25"/>
      <c r="E231" s="25"/>
      <c r="F231" s="24"/>
      <c r="G231" s="25"/>
      <c r="H231" s="25"/>
      <c r="I231" s="25"/>
      <c r="J231" s="25"/>
      <c r="K231" s="25"/>
      <c r="L231" s="25"/>
      <c r="M231" s="25"/>
      <c r="N231" s="25" t="str">
        <f t="shared" si="3"/>
        <v/>
      </c>
      <c r="O231" s="25"/>
      <c r="P231" s="25"/>
      <c r="Q231" s="25"/>
      <c r="R231" s="25"/>
      <c r="S231" s="25"/>
      <c r="T231" s="25"/>
      <c r="U231" s="25"/>
      <c r="V231" s="25"/>
      <c r="W231" s="24"/>
      <c r="X231" s="24"/>
      <c r="Y231" s="25"/>
      <c r="Z231" s="25" t="str">
        <f>IF(B231="","",IFERROR(INDEX(الزبائن!$AZ$6:$AZ$505,MATCH(B231,الزبائن!$A$6:$A$505,0)),"source key not found"))</f>
        <v/>
      </c>
      <c r="AA231" s="25" t="str">
        <f>IF(B231="","",IFERROR(INDEX(الزبائن!$BA$6:$BA$505,MATCH(B231,الزبائن!$A$6:$A$505,0)),"source key not found"))</f>
        <v/>
      </c>
      <c r="AB231" s="25" t="str">
        <f>IF(AND(A231="",C231="",D231="",H231="",K231="",L231=""),"",IF(C231="skip","SKIP",IF(OR(A231="",C231="",D231="",H231="",K231="",L231="",S231="",COUNTIF($A$6:$A$505,A231)&gt;1,AND(B231&lt;&gt;"",COUNTIF(الزبائن!$A$6:$A$505,B231)=0),(COUNTIFS('أرقام التواصل'!$A$6:$A$505,"proposed_name",'أرقام التواصل'!$B$6:$B$505,A231,'أرقام التواصل'!$I$6:$I$505,"TRUE")+COUNTIFS('أرقام التواصل'!$A$6:$A$505,"proposed_name",'أرقام التواصل'!$B$6:$B$505,A231,'أرقام التواصل'!$C$6:$C$505,1))=0,AND(U231="TRUE",V231="")),"REVIEW","READY")))</f>
        <v/>
      </c>
      <c r="AC231" s="27" t="str">
        <f>IF(AB231="","",IF(AB231="READY","",IF(AB231="SKIP","Skipped by candidate_import_action",TRIM(IF(A231="","missing proposed_name_key; ","")&amp;IF(AND(A231&lt;&gt;"",COUNTIF($A$6:$A$505,A231)&gt;1),"duplicate proposed_name_key; ","")&amp;IF(C231="","missing candidate_import_action; ","")&amp;IF(D231="","missing move_reason; ","")&amp;IF(H231="","missing branch_id; ","")&amp;IF(K231="","missing first_name; ","")&amp;IF(L231="","missing last_name; ","")&amp;IF(S231="","missing status; ","")&amp;IF(AND(B231&lt;&gt;"",COUNTIF(الزبائن!$A$6:$A$505,B231)=0),"source key not found; ","")&amp;IF((COUNTIFS('أرقام التواصل'!$A$6:$A$505,"proposed_name",'أرقام التواصل'!$B$6:$B$505,A231,'أرقام التواصل'!$I$6:$I$505,"TRUE")+COUNTIFS('أرقام التواصل'!$A$6:$A$505,"proposed_name",'أرقام التواصل'!$B$6:$B$505,A231,'أرقام التواصل'!$C$6:$C$505,1))=0,"missing primary contact in أرقام التواصل; ","")&amp;IF(AND(U231="TRUE",V231=""),"duplicate_type required when duplicate_flag TRUE; ","")))))</f>
        <v/>
      </c>
    </row>
    <row r="232" spans="1:29">
      <c r="A232" s="36"/>
      <c r="B232" s="24"/>
      <c r="C232" s="25"/>
      <c r="D232" s="25"/>
      <c r="E232" s="25"/>
      <c r="F232" s="24"/>
      <c r="G232" s="25"/>
      <c r="H232" s="25"/>
      <c r="I232" s="25"/>
      <c r="J232" s="25"/>
      <c r="K232" s="25"/>
      <c r="L232" s="25"/>
      <c r="M232" s="25"/>
      <c r="N232" s="25" t="str">
        <f t="shared" si="3"/>
        <v/>
      </c>
      <c r="O232" s="25"/>
      <c r="P232" s="25"/>
      <c r="Q232" s="25"/>
      <c r="R232" s="25"/>
      <c r="S232" s="25"/>
      <c r="T232" s="25"/>
      <c r="U232" s="25"/>
      <c r="V232" s="25"/>
      <c r="W232" s="24"/>
      <c r="X232" s="24"/>
      <c r="Y232" s="25"/>
      <c r="Z232" s="25" t="str">
        <f>IF(B232="","",IFERROR(INDEX(الزبائن!$AZ$6:$AZ$505,MATCH(B232,الزبائن!$A$6:$A$505,0)),"source key not found"))</f>
        <v/>
      </c>
      <c r="AA232" s="25" t="str">
        <f>IF(B232="","",IFERROR(INDEX(الزبائن!$BA$6:$BA$505,MATCH(B232,الزبائن!$A$6:$A$505,0)),"source key not found"))</f>
        <v/>
      </c>
      <c r="AB232" s="25" t="str">
        <f>IF(AND(A232="",C232="",D232="",H232="",K232="",L232=""),"",IF(C232="skip","SKIP",IF(OR(A232="",C232="",D232="",H232="",K232="",L232="",S232="",COUNTIF($A$6:$A$505,A232)&gt;1,AND(B232&lt;&gt;"",COUNTIF(الزبائن!$A$6:$A$505,B232)=0),(COUNTIFS('أرقام التواصل'!$A$6:$A$505,"proposed_name",'أرقام التواصل'!$B$6:$B$505,A232,'أرقام التواصل'!$I$6:$I$505,"TRUE")+COUNTIFS('أرقام التواصل'!$A$6:$A$505,"proposed_name",'أرقام التواصل'!$B$6:$B$505,A232,'أرقام التواصل'!$C$6:$C$505,1))=0,AND(U232="TRUE",V232="")),"REVIEW","READY")))</f>
        <v/>
      </c>
      <c r="AC232" s="27" t="str">
        <f>IF(AB232="","",IF(AB232="READY","",IF(AB232="SKIP","Skipped by candidate_import_action",TRIM(IF(A232="","missing proposed_name_key; ","")&amp;IF(AND(A232&lt;&gt;"",COUNTIF($A$6:$A$505,A232)&gt;1),"duplicate proposed_name_key; ","")&amp;IF(C232="","missing candidate_import_action; ","")&amp;IF(D232="","missing move_reason; ","")&amp;IF(H232="","missing branch_id; ","")&amp;IF(K232="","missing first_name; ","")&amp;IF(L232="","missing last_name; ","")&amp;IF(S232="","missing status; ","")&amp;IF(AND(B232&lt;&gt;"",COUNTIF(الزبائن!$A$6:$A$505,B232)=0),"source key not found; ","")&amp;IF((COUNTIFS('أرقام التواصل'!$A$6:$A$505,"proposed_name",'أرقام التواصل'!$B$6:$B$505,A232,'أرقام التواصل'!$I$6:$I$505,"TRUE")+COUNTIFS('أرقام التواصل'!$A$6:$A$505,"proposed_name",'أرقام التواصل'!$B$6:$B$505,A232,'أرقام التواصل'!$C$6:$C$505,1))=0,"missing primary contact in أرقام التواصل; ","")&amp;IF(AND(U232="TRUE",V232=""),"duplicate_type required when duplicate_flag TRUE; ","")))))</f>
        <v/>
      </c>
    </row>
    <row r="233" spans="1:29">
      <c r="A233" s="36"/>
      <c r="B233" s="24"/>
      <c r="C233" s="25"/>
      <c r="D233" s="25"/>
      <c r="E233" s="25"/>
      <c r="F233" s="24"/>
      <c r="G233" s="25"/>
      <c r="H233" s="25"/>
      <c r="I233" s="25"/>
      <c r="J233" s="25"/>
      <c r="K233" s="25"/>
      <c r="L233" s="25"/>
      <c r="M233" s="25"/>
      <c r="N233" s="25" t="str">
        <f t="shared" si="3"/>
        <v/>
      </c>
      <c r="O233" s="25"/>
      <c r="P233" s="25"/>
      <c r="Q233" s="25"/>
      <c r="R233" s="25"/>
      <c r="S233" s="25"/>
      <c r="T233" s="25"/>
      <c r="U233" s="25"/>
      <c r="V233" s="25"/>
      <c r="W233" s="24"/>
      <c r="X233" s="24"/>
      <c r="Y233" s="25"/>
      <c r="Z233" s="25" t="str">
        <f>IF(B233="","",IFERROR(INDEX(الزبائن!$AZ$6:$AZ$505,MATCH(B233,الزبائن!$A$6:$A$505,0)),"source key not found"))</f>
        <v/>
      </c>
      <c r="AA233" s="25" t="str">
        <f>IF(B233="","",IFERROR(INDEX(الزبائن!$BA$6:$BA$505,MATCH(B233,الزبائن!$A$6:$A$505,0)),"source key not found"))</f>
        <v/>
      </c>
      <c r="AB233" s="25" t="str">
        <f>IF(AND(A233="",C233="",D233="",H233="",K233="",L233=""),"",IF(C233="skip","SKIP",IF(OR(A233="",C233="",D233="",H233="",K233="",L233="",S233="",COUNTIF($A$6:$A$505,A233)&gt;1,AND(B233&lt;&gt;"",COUNTIF(الزبائن!$A$6:$A$505,B233)=0),(COUNTIFS('أرقام التواصل'!$A$6:$A$505,"proposed_name",'أرقام التواصل'!$B$6:$B$505,A233,'أرقام التواصل'!$I$6:$I$505,"TRUE")+COUNTIFS('أرقام التواصل'!$A$6:$A$505,"proposed_name",'أرقام التواصل'!$B$6:$B$505,A233,'أرقام التواصل'!$C$6:$C$505,1))=0,AND(U233="TRUE",V233="")),"REVIEW","READY")))</f>
        <v/>
      </c>
      <c r="AC233" s="27" t="str">
        <f>IF(AB233="","",IF(AB233="READY","",IF(AB233="SKIP","Skipped by candidate_import_action",TRIM(IF(A233="","missing proposed_name_key; ","")&amp;IF(AND(A233&lt;&gt;"",COUNTIF($A$6:$A$505,A233)&gt;1),"duplicate proposed_name_key; ","")&amp;IF(C233="","missing candidate_import_action; ","")&amp;IF(D233="","missing move_reason; ","")&amp;IF(H233="","missing branch_id; ","")&amp;IF(K233="","missing first_name; ","")&amp;IF(L233="","missing last_name; ","")&amp;IF(S233="","missing status; ","")&amp;IF(AND(B233&lt;&gt;"",COUNTIF(الزبائن!$A$6:$A$505,B233)=0),"source key not found; ","")&amp;IF((COUNTIFS('أرقام التواصل'!$A$6:$A$505,"proposed_name",'أرقام التواصل'!$B$6:$B$505,A233,'أرقام التواصل'!$I$6:$I$505,"TRUE")+COUNTIFS('أرقام التواصل'!$A$6:$A$505,"proposed_name",'أرقام التواصل'!$B$6:$B$505,A233,'أرقام التواصل'!$C$6:$C$505,1))=0,"missing primary contact in أرقام التواصل; ","")&amp;IF(AND(U233="TRUE",V233=""),"duplicate_type required when duplicate_flag TRUE; ","")))))</f>
        <v/>
      </c>
    </row>
    <row r="234" spans="1:29">
      <c r="A234" s="36"/>
      <c r="B234" s="24"/>
      <c r="C234" s="25"/>
      <c r="D234" s="25"/>
      <c r="E234" s="25"/>
      <c r="F234" s="24"/>
      <c r="G234" s="25"/>
      <c r="H234" s="25"/>
      <c r="I234" s="25"/>
      <c r="J234" s="25"/>
      <c r="K234" s="25"/>
      <c r="L234" s="25"/>
      <c r="M234" s="25"/>
      <c r="N234" s="25" t="str">
        <f t="shared" si="3"/>
        <v/>
      </c>
      <c r="O234" s="25"/>
      <c r="P234" s="25"/>
      <c r="Q234" s="25"/>
      <c r="R234" s="25"/>
      <c r="S234" s="25"/>
      <c r="T234" s="25"/>
      <c r="U234" s="25"/>
      <c r="V234" s="25"/>
      <c r="W234" s="24"/>
      <c r="X234" s="24"/>
      <c r="Y234" s="25"/>
      <c r="Z234" s="25" t="str">
        <f>IF(B234="","",IFERROR(INDEX(الزبائن!$AZ$6:$AZ$505,MATCH(B234,الزبائن!$A$6:$A$505,0)),"source key not found"))</f>
        <v/>
      </c>
      <c r="AA234" s="25" t="str">
        <f>IF(B234="","",IFERROR(INDEX(الزبائن!$BA$6:$BA$505,MATCH(B234,الزبائن!$A$6:$A$505,0)),"source key not found"))</f>
        <v/>
      </c>
      <c r="AB234" s="25" t="str">
        <f>IF(AND(A234="",C234="",D234="",H234="",K234="",L234=""),"",IF(C234="skip","SKIP",IF(OR(A234="",C234="",D234="",H234="",K234="",L234="",S234="",COUNTIF($A$6:$A$505,A234)&gt;1,AND(B234&lt;&gt;"",COUNTIF(الزبائن!$A$6:$A$505,B234)=0),(COUNTIFS('أرقام التواصل'!$A$6:$A$505,"proposed_name",'أرقام التواصل'!$B$6:$B$505,A234,'أرقام التواصل'!$I$6:$I$505,"TRUE")+COUNTIFS('أرقام التواصل'!$A$6:$A$505,"proposed_name",'أرقام التواصل'!$B$6:$B$505,A234,'أرقام التواصل'!$C$6:$C$505,1))=0,AND(U234="TRUE",V234="")),"REVIEW","READY")))</f>
        <v/>
      </c>
      <c r="AC234" s="27" t="str">
        <f>IF(AB234="","",IF(AB234="READY","",IF(AB234="SKIP","Skipped by candidate_import_action",TRIM(IF(A234="","missing proposed_name_key; ","")&amp;IF(AND(A234&lt;&gt;"",COUNTIF($A$6:$A$505,A234)&gt;1),"duplicate proposed_name_key; ","")&amp;IF(C234="","missing candidate_import_action; ","")&amp;IF(D234="","missing move_reason; ","")&amp;IF(H234="","missing branch_id; ","")&amp;IF(K234="","missing first_name; ","")&amp;IF(L234="","missing last_name; ","")&amp;IF(S234="","missing status; ","")&amp;IF(AND(B234&lt;&gt;"",COUNTIF(الزبائن!$A$6:$A$505,B234)=0),"source key not found; ","")&amp;IF((COUNTIFS('أرقام التواصل'!$A$6:$A$505,"proposed_name",'أرقام التواصل'!$B$6:$B$505,A234,'أرقام التواصل'!$I$6:$I$505,"TRUE")+COUNTIFS('أرقام التواصل'!$A$6:$A$505,"proposed_name",'أرقام التواصل'!$B$6:$B$505,A234,'أرقام التواصل'!$C$6:$C$505,1))=0,"missing primary contact in أرقام التواصل; ","")&amp;IF(AND(U234="TRUE",V234=""),"duplicate_type required when duplicate_flag TRUE; ","")))))</f>
        <v/>
      </c>
    </row>
    <row r="235" spans="1:29">
      <c r="A235" s="36"/>
      <c r="B235" s="24"/>
      <c r="C235" s="25"/>
      <c r="D235" s="25"/>
      <c r="E235" s="25"/>
      <c r="F235" s="24"/>
      <c r="G235" s="25"/>
      <c r="H235" s="25"/>
      <c r="I235" s="25"/>
      <c r="J235" s="25"/>
      <c r="K235" s="25"/>
      <c r="L235" s="25"/>
      <c r="M235" s="25"/>
      <c r="N235" s="25" t="str">
        <f t="shared" si="3"/>
        <v/>
      </c>
      <c r="O235" s="25"/>
      <c r="P235" s="25"/>
      <c r="Q235" s="25"/>
      <c r="R235" s="25"/>
      <c r="S235" s="25"/>
      <c r="T235" s="25"/>
      <c r="U235" s="25"/>
      <c r="V235" s="25"/>
      <c r="W235" s="24"/>
      <c r="X235" s="24"/>
      <c r="Y235" s="25"/>
      <c r="Z235" s="25" t="str">
        <f>IF(B235="","",IFERROR(INDEX(الزبائن!$AZ$6:$AZ$505,MATCH(B235,الزبائن!$A$6:$A$505,0)),"source key not found"))</f>
        <v/>
      </c>
      <c r="AA235" s="25" t="str">
        <f>IF(B235="","",IFERROR(INDEX(الزبائن!$BA$6:$BA$505,MATCH(B235,الزبائن!$A$6:$A$505,0)),"source key not found"))</f>
        <v/>
      </c>
      <c r="AB235" s="25" t="str">
        <f>IF(AND(A235="",C235="",D235="",H235="",K235="",L235=""),"",IF(C235="skip","SKIP",IF(OR(A235="",C235="",D235="",H235="",K235="",L235="",S235="",COUNTIF($A$6:$A$505,A235)&gt;1,AND(B235&lt;&gt;"",COUNTIF(الزبائن!$A$6:$A$505,B235)=0),(COUNTIFS('أرقام التواصل'!$A$6:$A$505,"proposed_name",'أرقام التواصل'!$B$6:$B$505,A235,'أرقام التواصل'!$I$6:$I$505,"TRUE")+COUNTIFS('أرقام التواصل'!$A$6:$A$505,"proposed_name",'أرقام التواصل'!$B$6:$B$505,A235,'أرقام التواصل'!$C$6:$C$505,1))=0,AND(U235="TRUE",V235="")),"REVIEW","READY")))</f>
        <v/>
      </c>
      <c r="AC235" s="27" t="str">
        <f>IF(AB235="","",IF(AB235="READY","",IF(AB235="SKIP","Skipped by candidate_import_action",TRIM(IF(A235="","missing proposed_name_key; ","")&amp;IF(AND(A235&lt;&gt;"",COUNTIF($A$6:$A$505,A235)&gt;1),"duplicate proposed_name_key; ","")&amp;IF(C235="","missing candidate_import_action; ","")&amp;IF(D235="","missing move_reason; ","")&amp;IF(H235="","missing branch_id; ","")&amp;IF(K235="","missing first_name; ","")&amp;IF(L235="","missing last_name; ","")&amp;IF(S235="","missing status; ","")&amp;IF(AND(B235&lt;&gt;"",COUNTIF(الزبائن!$A$6:$A$505,B235)=0),"source key not found; ","")&amp;IF((COUNTIFS('أرقام التواصل'!$A$6:$A$505,"proposed_name",'أرقام التواصل'!$B$6:$B$505,A235,'أرقام التواصل'!$I$6:$I$505,"TRUE")+COUNTIFS('أرقام التواصل'!$A$6:$A$505,"proposed_name",'أرقام التواصل'!$B$6:$B$505,A235,'أرقام التواصل'!$C$6:$C$505,1))=0,"missing primary contact in أرقام التواصل; ","")&amp;IF(AND(U235="TRUE",V235=""),"duplicate_type required when duplicate_flag TRUE; ","")))))</f>
        <v/>
      </c>
    </row>
    <row r="236" spans="1:29">
      <c r="A236" s="36"/>
      <c r="B236" s="24"/>
      <c r="C236" s="25"/>
      <c r="D236" s="25"/>
      <c r="E236" s="25"/>
      <c r="F236" s="24"/>
      <c r="G236" s="25"/>
      <c r="H236" s="25"/>
      <c r="I236" s="25"/>
      <c r="J236" s="25"/>
      <c r="K236" s="25"/>
      <c r="L236" s="25"/>
      <c r="M236" s="25"/>
      <c r="N236" s="25" t="str">
        <f t="shared" si="3"/>
        <v/>
      </c>
      <c r="O236" s="25"/>
      <c r="P236" s="25"/>
      <c r="Q236" s="25"/>
      <c r="R236" s="25"/>
      <c r="S236" s="25"/>
      <c r="T236" s="25"/>
      <c r="U236" s="25"/>
      <c r="V236" s="25"/>
      <c r="W236" s="24"/>
      <c r="X236" s="24"/>
      <c r="Y236" s="25"/>
      <c r="Z236" s="25" t="str">
        <f>IF(B236="","",IFERROR(INDEX(الزبائن!$AZ$6:$AZ$505,MATCH(B236,الزبائن!$A$6:$A$505,0)),"source key not found"))</f>
        <v/>
      </c>
      <c r="AA236" s="25" t="str">
        <f>IF(B236="","",IFERROR(INDEX(الزبائن!$BA$6:$BA$505,MATCH(B236,الزبائن!$A$6:$A$505,0)),"source key not found"))</f>
        <v/>
      </c>
      <c r="AB236" s="25" t="str">
        <f>IF(AND(A236="",C236="",D236="",H236="",K236="",L236=""),"",IF(C236="skip","SKIP",IF(OR(A236="",C236="",D236="",H236="",K236="",L236="",S236="",COUNTIF($A$6:$A$505,A236)&gt;1,AND(B236&lt;&gt;"",COUNTIF(الزبائن!$A$6:$A$505,B236)=0),(COUNTIFS('أرقام التواصل'!$A$6:$A$505,"proposed_name",'أرقام التواصل'!$B$6:$B$505,A236,'أرقام التواصل'!$I$6:$I$505,"TRUE")+COUNTIFS('أرقام التواصل'!$A$6:$A$505,"proposed_name",'أرقام التواصل'!$B$6:$B$505,A236,'أرقام التواصل'!$C$6:$C$505,1))=0,AND(U236="TRUE",V236="")),"REVIEW","READY")))</f>
        <v/>
      </c>
      <c r="AC236" s="27" t="str">
        <f>IF(AB236="","",IF(AB236="READY","",IF(AB236="SKIP","Skipped by candidate_import_action",TRIM(IF(A236="","missing proposed_name_key; ","")&amp;IF(AND(A236&lt;&gt;"",COUNTIF($A$6:$A$505,A236)&gt;1),"duplicate proposed_name_key; ","")&amp;IF(C236="","missing candidate_import_action; ","")&amp;IF(D236="","missing move_reason; ","")&amp;IF(H236="","missing branch_id; ","")&amp;IF(K236="","missing first_name; ","")&amp;IF(L236="","missing last_name; ","")&amp;IF(S236="","missing status; ","")&amp;IF(AND(B236&lt;&gt;"",COUNTIF(الزبائن!$A$6:$A$505,B236)=0),"source key not found; ","")&amp;IF((COUNTIFS('أرقام التواصل'!$A$6:$A$505,"proposed_name",'أرقام التواصل'!$B$6:$B$505,A236,'أرقام التواصل'!$I$6:$I$505,"TRUE")+COUNTIFS('أرقام التواصل'!$A$6:$A$505,"proposed_name",'أرقام التواصل'!$B$6:$B$505,A236,'أرقام التواصل'!$C$6:$C$505,1))=0,"missing primary contact in أرقام التواصل; ","")&amp;IF(AND(U236="TRUE",V236=""),"duplicate_type required when duplicate_flag TRUE; ","")))))</f>
        <v/>
      </c>
    </row>
    <row r="237" spans="1:29">
      <c r="A237" s="36"/>
      <c r="B237" s="24"/>
      <c r="C237" s="25"/>
      <c r="D237" s="25"/>
      <c r="E237" s="25"/>
      <c r="F237" s="24"/>
      <c r="G237" s="25"/>
      <c r="H237" s="25"/>
      <c r="I237" s="25"/>
      <c r="J237" s="25"/>
      <c r="K237" s="25"/>
      <c r="L237" s="25"/>
      <c r="M237" s="25"/>
      <c r="N237" s="25" t="str">
        <f t="shared" si="3"/>
        <v/>
      </c>
      <c r="O237" s="25"/>
      <c r="P237" s="25"/>
      <c r="Q237" s="25"/>
      <c r="R237" s="25"/>
      <c r="S237" s="25"/>
      <c r="T237" s="25"/>
      <c r="U237" s="25"/>
      <c r="V237" s="25"/>
      <c r="W237" s="24"/>
      <c r="X237" s="24"/>
      <c r="Y237" s="25"/>
      <c r="Z237" s="25" t="str">
        <f>IF(B237="","",IFERROR(INDEX(الزبائن!$AZ$6:$AZ$505,MATCH(B237,الزبائن!$A$6:$A$505,0)),"source key not found"))</f>
        <v/>
      </c>
      <c r="AA237" s="25" t="str">
        <f>IF(B237="","",IFERROR(INDEX(الزبائن!$BA$6:$BA$505,MATCH(B237,الزبائن!$A$6:$A$505,0)),"source key not found"))</f>
        <v/>
      </c>
      <c r="AB237" s="25" t="str">
        <f>IF(AND(A237="",C237="",D237="",H237="",K237="",L237=""),"",IF(C237="skip","SKIP",IF(OR(A237="",C237="",D237="",H237="",K237="",L237="",S237="",COUNTIF($A$6:$A$505,A237)&gt;1,AND(B237&lt;&gt;"",COUNTIF(الزبائن!$A$6:$A$505,B237)=0),(COUNTIFS('أرقام التواصل'!$A$6:$A$505,"proposed_name",'أرقام التواصل'!$B$6:$B$505,A237,'أرقام التواصل'!$I$6:$I$505,"TRUE")+COUNTIFS('أرقام التواصل'!$A$6:$A$505,"proposed_name",'أرقام التواصل'!$B$6:$B$505,A237,'أرقام التواصل'!$C$6:$C$505,1))=0,AND(U237="TRUE",V237="")),"REVIEW","READY")))</f>
        <v/>
      </c>
      <c r="AC237" s="27" t="str">
        <f>IF(AB237="","",IF(AB237="READY","",IF(AB237="SKIP","Skipped by candidate_import_action",TRIM(IF(A237="","missing proposed_name_key; ","")&amp;IF(AND(A237&lt;&gt;"",COUNTIF($A$6:$A$505,A237)&gt;1),"duplicate proposed_name_key; ","")&amp;IF(C237="","missing candidate_import_action; ","")&amp;IF(D237="","missing move_reason; ","")&amp;IF(H237="","missing branch_id; ","")&amp;IF(K237="","missing first_name; ","")&amp;IF(L237="","missing last_name; ","")&amp;IF(S237="","missing status; ","")&amp;IF(AND(B237&lt;&gt;"",COUNTIF(الزبائن!$A$6:$A$505,B237)=0),"source key not found; ","")&amp;IF((COUNTIFS('أرقام التواصل'!$A$6:$A$505,"proposed_name",'أرقام التواصل'!$B$6:$B$505,A237,'أرقام التواصل'!$I$6:$I$505,"TRUE")+COUNTIFS('أرقام التواصل'!$A$6:$A$505,"proposed_name",'أرقام التواصل'!$B$6:$B$505,A237,'أرقام التواصل'!$C$6:$C$505,1))=0,"missing primary contact in أرقام التواصل; ","")&amp;IF(AND(U237="TRUE",V237=""),"duplicate_type required when duplicate_flag TRUE; ","")))))</f>
        <v/>
      </c>
    </row>
    <row r="238" spans="1:29">
      <c r="A238" s="36"/>
      <c r="B238" s="24"/>
      <c r="C238" s="25"/>
      <c r="D238" s="25"/>
      <c r="E238" s="25"/>
      <c r="F238" s="24"/>
      <c r="G238" s="25"/>
      <c r="H238" s="25"/>
      <c r="I238" s="25"/>
      <c r="J238" s="25"/>
      <c r="K238" s="25"/>
      <c r="L238" s="25"/>
      <c r="M238" s="25"/>
      <c r="N238" s="25" t="str">
        <f t="shared" si="3"/>
        <v/>
      </c>
      <c r="O238" s="25"/>
      <c r="P238" s="25"/>
      <c r="Q238" s="25"/>
      <c r="R238" s="25"/>
      <c r="S238" s="25"/>
      <c r="T238" s="25"/>
      <c r="U238" s="25"/>
      <c r="V238" s="25"/>
      <c r="W238" s="24"/>
      <c r="X238" s="24"/>
      <c r="Y238" s="25"/>
      <c r="Z238" s="25" t="str">
        <f>IF(B238="","",IFERROR(INDEX(الزبائن!$AZ$6:$AZ$505,MATCH(B238,الزبائن!$A$6:$A$505,0)),"source key not found"))</f>
        <v/>
      </c>
      <c r="AA238" s="25" t="str">
        <f>IF(B238="","",IFERROR(INDEX(الزبائن!$BA$6:$BA$505,MATCH(B238,الزبائن!$A$6:$A$505,0)),"source key not found"))</f>
        <v/>
      </c>
      <c r="AB238" s="25" t="str">
        <f>IF(AND(A238="",C238="",D238="",H238="",K238="",L238=""),"",IF(C238="skip","SKIP",IF(OR(A238="",C238="",D238="",H238="",K238="",L238="",S238="",COUNTIF($A$6:$A$505,A238)&gt;1,AND(B238&lt;&gt;"",COUNTIF(الزبائن!$A$6:$A$505,B238)=0),(COUNTIFS('أرقام التواصل'!$A$6:$A$505,"proposed_name",'أرقام التواصل'!$B$6:$B$505,A238,'أرقام التواصل'!$I$6:$I$505,"TRUE")+COUNTIFS('أرقام التواصل'!$A$6:$A$505,"proposed_name",'أرقام التواصل'!$B$6:$B$505,A238,'أرقام التواصل'!$C$6:$C$505,1))=0,AND(U238="TRUE",V238="")),"REVIEW","READY")))</f>
        <v/>
      </c>
      <c r="AC238" s="27" t="str">
        <f>IF(AB238="","",IF(AB238="READY","",IF(AB238="SKIP","Skipped by candidate_import_action",TRIM(IF(A238="","missing proposed_name_key; ","")&amp;IF(AND(A238&lt;&gt;"",COUNTIF($A$6:$A$505,A238)&gt;1),"duplicate proposed_name_key; ","")&amp;IF(C238="","missing candidate_import_action; ","")&amp;IF(D238="","missing move_reason; ","")&amp;IF(H238="","missing branch_id; ","")&amp;IF(K238="","missing first_name; ","")&amp;IF(L238="","missing last_name; ","")&amp;IF(S238="","missing status; ","")&amp;IF(AND(B238&lt;&gt;"",COUNTIF(الزبائن!$A$6:$A$505,B238)=0),"source key not found; ","")&amp;IF((COUNTIFS('أرقام التواصل'!$A$6:$A$505,"proposed_name",'أرقام التواصل'!$B$6:$B$505,A238,'أرقام التواصل'!$I$6:$I$505,"TRUE")+COUNTIFS('أرقام التواصل'!$A$6:$A$505,"proposed_name",'أرقام التواصل'!$B$6:$B$505,A238,'أرقام التواصل'!$C$6:$C$505,1))=0,"missing primary contact in أرقام التواصل; ","")&amp;IF(AND(U238="TRUE",V238=""),"duplicate_type required when duplicate_flag TRUE; ","")))))</f>
        <v/>
      </c>
    </row>
    <row r="239" spans="1:29">
      <c r="A239" s="36"/>
      <c r="B239" s="24"/>
      <c r="C239" s="25"/>
      <c r="D239" s="25"/>
      <c r="E239" s="25"/>
      <c r="F239" s="24"/>
      <c r="G239" s="25"/>
      <c r="H239" s="25"/>
      <c r="I239" s="25"/>
      <c r="J239" s="25"/>
      <c r="K239" s="25"/>
      <c r="L239" s="25"/>
      <c r="M239" s="25"/>
      <c r="N239" s="25" t="str">
        <f t="shared" si="3"/>
        <v/>
      </c>
      <c r="O239" s="25"/>
      <c r="P239" s="25"/>
      <c r="Q239" s="25"/>
      <c r="R239" s="25"/>
      <c r="S239" s="25"/>
      <c r="T239" s="25"/>
      <c r="U239" s="25"/>
      <c r="V239" s="25"/>
      <c r="W239" s="24"/>
      <c r="X239" s="24"/>
      <c r="Y239" s="25"/>
      <c r="Z239" s="25" t="str">
        <f>IF(B239="","",IFERROR(INDEX(الزبائن!$AZ$6:$AZ$505,MATCH(B239,الزبائن!$A$6:$A$505,0)),"source key not found"))</f>
        <v/>
      </c>
      <c r="AA239" s="25" t="str">
        <f>IF(B239="","",IFERROR(INDEX(الزبائن!$BA$6:$BA$505,MATCH(B239,الزبائن!$A$6:$A$505,0)),"source key not found"))</f>
        <v/>
      </c>
      <c r="AB239" s="25" t="str">
        <f>IF(AND(A239="",C239="",D239="",H239="",K239="",L239=""),"",IF(C239="skip","SKIP",IF(OR(A239="",C239="",D239="",H239="",K239="",L239="",S239="",COUNTIF($A$6:$A$505,A239)&gt;1,AND(B239&lt;&gt;"",COUNTIF(الزبائن!$A$6:$A$505,B239)=0),(COUNTIFS('أرقام التواصل'!$A$6:$A$505,"proposed_name",'أرقام التواصل'!$B$6:$B$505,A239,'أرقام التواصل'!$I$6:$I$505,"TRUE")+COUNTIFS('أرقام التواصل'!$A$6:$A$505,"proposed_name",'أرقام التواصل'!$B$6:$B$505,A239,'أرقام التواصل'!$C$6:$C$505,1))=0,AND(U239="TRUE",V239="")),"REVIEW","READY")))</f>
        <v/>
      </c>
      <c r="AC239" s="27" t="str">
        <f>IF(AB239="","",IF(AB239="READY","",IF(AB239="SKIP","Skipped by candidate_import_action",TRIM(IF(A239="","missing proposed_name_key; ","")&amp;IF(AND(A239&lt;&gt;"",COUNTIF($A$6:$A$505,A239)&gt;1),"duplicate proposed_name_key; ","")&amp;IF(C239="","missing candidate_import_action; ","")&amp;IF(D239="","missing move_reason; ","")&amp;IF(H239="","missing branch_id; ","")&amp;IF(K239="","missing first_name; ","")&amp;IF(L239="","missing last_name; ","")&amp;IF(S239="","missing status; ","")&amp;IF(AND(B239&lt;&gt;"",COUNTIF(الزبائن!$A$6:$A$505,B239)=0),"source key not found; ","")&amp;IF((COUNTIFS('أرقام التواصل'!$A$6:$A$505,"proposed_name",'أرقام التواصل'!$B$6:$B$505,A239,'أرقام التواصل'!$I$6:$I$505,"TRUE")+COUNTIFS('أرقام التواصل'!$A$6:$A$505,"proposed_name",'أرقام التواصل'!$B$6:$B$505,A239,'أرقام التواصل'!$C$6:$C$505,1))=0,"missing primary contact in أرقام التواصل; ","")&amp;IF(AND(U239="TRUE",V239=""),"duplicate_type required when duplicate_flag TRUE; ","")))))</f>
        <v/>
      </c>
    </row>
    <row r="240" spans="1:29">
      <c r="A240" s="36"/>
      <c r="B240" s="24"/>
      <c r="C240" s="25"/>
      <c r="D240" s="25"/>
      <c r="E240" s="25"/>
      <c r="F240" s="24"/>
      <c r="G240" s="25"/>
      <c r="H240" s="25"/>
      <c r="I240" s="25"/>
      <c r="J240" s="25"/>
      <c r="K240" s="25"/>
      <c r="L240" s="25"/>
      <c r="M240" s="25"/>
      <c r="N240" s="25" t="str">
        <f t="shared" si="3"/>
        <v/>
      </c>
      <c r="O240" s="25"/>
      <c r="P240" s="25"/>
      <c r="Q240" s="25"/>
      <c r="R240" s="25"/>
      <c r="S240" s="25"/>
      <c r="T240" s="25"/>
      <c r="U240" s="25"/>
      <c r="V240" s="25"/>
      <c r="W240" s="24"/>
      <c r="X240" s="24"/>
      <c r="Y240" s="25"/>
      <c r="Z240" s="25" t="str">
        <f>IF(B240="","",IFERROR(INDEX(الزبائن!$AZ$6:$AZ$505,MATCH(B240,الزبائن!$A$6:$A$505,0)),"source key not found"))</f>
        <v/>
      </c>
      <c r="AA240" s="25" t="str">
        <f>IF(B240="","",IFERROR(INDEX(الزبائن!$BA$6:$BA$505,MATCH(B240,الزبائن!$A$6:$A$505,0)),"source key not found"))</f>
        <v/>
      </c>
      <c r="AB240" s="25" t="str">
        <f>IF(AND(A240="",C240="",D240="",H240="",K240="",L240=""),"",IF(C240="skip","SKIP",IF(OR(A240="",C240="",D240="",H240="",K240="",L240="",S240="",COUNTIF($A$6:$A$505,A240)&gt;1,AND(B240&lt;&gt;"",COUNTIF(الزبائن!$A$6:$A$505,B240)=0),(COUNTIFS('أرقام التواصل'!$A$6:$A$505,"proposed_name",'أرقام التواصل'!$B$6:$B$505,A240,'أرقام التواصل'!$I$6:$I$505,"TRUE")+COUNTIFS('أرقام التواصل'!$A$6:$A$505,"proposed_name",'أرقام التواصل'!$B$6:$B$505,A240,'أرقام التواصل'!$C$6:$C$505,1))=0,AND(U240="TRUE",V240="")),"REVIEW","READY")))</f>
        <v/>
      </c>
      <c r="AC240" s="27" t="str">
        <f>IF(AB240="","",IF(AB240="READY","",IF(AB240="SKIP","Skipped by candidate_import_action",TRIM(IF(A240="","missing proposed_name_key; ","")&amp;IF(AND(A240&lt;&gt;"",COUNTIF($A$6:$A$505,A240)&gt;1),"duplicate proposed_name_key; ","")&amp;IF(C240="","missing candidate_import_action; ","")&amp;IF(D240="","missing move_reason; ","")&amp;IF(H240="","missing branch_id; ","")&amp;IF(K240="","missing first_name; ","")&amp;IF(L240="","missing last_name; ","")&amp;IF(S240="","missing status; ","")&amp;IF(AND(B240&lt;&gt;"",COUNTIF(الزبائن!$A$6:$A$505,B240)=0),"source key not found; ","")&amp;IF((COUNTIFS('أرقام التواصل'!$A$6:$A$505,"proposed_name",'أرقام التواصل'!$B$6:$B$505,A240,'أرقام التواصل'!$I$6:$I$505,"TRUE")+COUNTIFS('أرقام التواصل'!$A$6:$A$505,"proposed_name",'أرقام التواصل'!$B$6:$B$505,A240,'أرقام التواصل'!$C$6:$C$505,1))=0,"missing primary contact in أرقام التواصل; ","")&amp;IF(AND(U240="TRUE",V240=""),"duplicate_type required when duplicate_flag TRUE; ","")))))</f>
        <v/>
      </c>
    </row>
    <row r="241" spans="1:29">
      <c r="A241" s="36"/>
      <c r="B241" s="24"/>
      <c r="C241" s="25"/>
      <c r="D241" s="25"/>
      <c r="E241" s="25"/>
      <c r="F241" s="24"/>
      <c r="G241" s="25"/>
      <c r="H241" s="25"/>
      <c r="I241" s="25"/>
      <c r="J241" s="25"/>
      <c r="K241" s="25"/>
      <c r="L241" s="25"/>
      <c r="M241" s="25"/>
      <c r="N241" s="25" t="str">
        <f t="shared" si="3"/>
        <v/>
      </c>
      <c r="O241" s="25"/>
      <c r="P241" s="25"/>
      <c r="Q241" s="25"/>
      <c r="R241" s="25"/>
      <c r="S241" s="25"/>
      <c r="T241" s="25"/>
      <c r="U241" s="25"/>
      <c r="V241" s="25"/>
      <c r="W241" s="24"/>
      <c r="X241" s="24"/>
      <c r="Y241" s="25"/>
      <c r="Z241" s="25" t="str">
        <f>IF(B241="","",IFERROR(INDEX(الزبائن!$AZ$6:$AZ$505,MATCH(B241,الزبائن!$A$6:$A$505,0)),"source key not found"))</f>
        <v/>
      </c>
      <c r="AA241" s="25" t="str">
        <f>IF(B241="","",IFERROR(INDEX(الزبائن!$BA$6:$BA$505,MATCH(B241,الزبائن!$A$6:$A$505,0)),"source key not found"))</f>
        <v/>
      </c>
      <c r="AB241" s="25" t="str">
        <f>IF(AND(A241="",C241="",D241="",H241="",K241="",L241=""),"",IF(C241="skip","SKIP",IF(OR(A241="",C241="",D241="",H241="",K241="",L241="",S241="",COUNTIF($A$6:$A$505,A241)&gt;1,AND(B241&lt;&gt;"",COUNTIF(الزبائن!$A$6:$A$505,B241)=0),(COUNTIFS('أرقام التواصل'!$A$6:$A$505,"proposed_name",'أرقام التواصل'!$B$6:$B$505,A241,'أرقام التواصل'!$I$6:$I$505,"TRUE")+COUNTIFS('أرقام التواصل'!$A$6:$A$505,"proposed_name",'أرقام التواصل'!$B$6:$B$505,A241,'أرقام التواصل'!$C$6:$C$505,1))=0,AND(U241="TRUE",V241="")),"REVIEW","READY")))</f>
        <v/>
      </c>
      <c r="AC241" s="27" t="str">
        <f>IF(AB241="","",IF(AB241="READY","",IF(AB241="SKIP","Skipped by candidate_import_action",TRIM(IF(A241="","missing proposed_name_key; ","")&amp;IF(AND(A241&lt;&gt;"",COUNTIF($A$6:$A$505,A241)&gt;1),"duplicate proposed_name_key; ","")&amp;IF(C241="","missing candidate_import_action; ","")&amp;IF(D241="","missing move_reason; ","")&amp;IF(H241="","missing branch_id; ","")&amp;IF(K241="","missing first_name; ","")&amp;IF(L241="","missing last_name; ","")&amp;IF(S241="","missing status; ","")&amp;IF(AND(B241&lt;&gt;"",COUNTIF(الزبائن!$A$6:$A$505,B241)=0),"source key not found; ","")&amp;IF((COUNTIFS('أرقام التواصل'!$A$6:$A$505,"proposed_name",'أرقام التواصل'!$B$6:$B$505,A241,'أرقام التواصل'!$I$6:$I$505,"TRUE")+COUNTIFS('أرقام التواصل'!$A$6:$A$505,"proposed_name",'أرقام التواصل'!$B$6:$B$505,A241,'أرقام التواصل'!$C$6:$C$505,1))=0,"missing primary contact in أرقام التواصل; ","")&amp;IF(AND(U241="TRUE",V241=""),"duplicate_type required when duplicate_flag TRUE; ","")))))</f>
        <v/>
      </c>
    </row>
    <row r="242" spans="1:29">
      <c r="A242" s="36"/>
      <c r="B242" s="24"/>
      <c r="C242" s="25"/>
      <c r="D242" s="25"/>
      <c r="E242" s="25"/>
      <c r="F242" s="24"/>
      <c r="G242" s="25"/>
      <c r="H242" s="25"/>
      <c r="I242" s="25"/>
      <c r="J242" s="25"/>
      <c r="K242" s="25"/>
      <c r="L242" s="25"/>
      <c r="M242" s="25"/>
      <c r="N242" s="25" t="str">
        <f t="shared" si="3"/>
        <v/>
      </c>
      <c r="O242" s="25"/>
      <c r="P242" s="25"/>
      <c r="Q242" s="25"/>
      <c r="R242" s="25"/>
      <c r="S242" s="25"/>
      <c r="T242" s="25"/>
      <c r="U242" s="25"/>
      <c r="V242" s="25"/>
      <c r="W242" s="24"/>
      <c r="X242" s="24"/>
      <c r="Y242" s="25"/>
      <c r="Z242" s="25" t="str">
        <f>IF(B242="","",IFERROR(INDEX(الزبائن!$AZ$6:$AZ$505,MATCH(B242,الزبائن!$A$6:$A$505,0)),"source key not found"))</f>
        <v/>
      </c>
      <c r="AA242" s="25" t="str">
        <f>IF(B242="","",IFERROR(INDEX(الزبائن!$BA$6:$BA$505,MATCH(B242,الزبائن!$A$6:$A$505,0)),"source key not found"))</f>
        <v/>
      </c>
      <c r="AB242" s="25" t="str">
        <f>IF(AND(A242="",C242="",D242="",H242="",K242="",L242=""),"",IF(C242="skip","SKIP",IF(OR(A242="",C242="",D242="",H242="",K242="",L242="",S242="",COUNTIF($A$6:$A$505,A242)&gt;1,AND(B242&lt;&gt;"",COUNTIF(الزبائن!$A$6:$A$505,B242)=0),(COUNTIFS('أرقام التواصل'!$A$6:$A$505,"proposed_name",'أرقام التواصل'!$B$6:$B$505,A242,'أرقام التواصل'!$I$6:$I$505,"TRUE")+COUNTIFS('أرقام التواصل'!$A$6:$A$505,"proposed_name",'أرقام التواصل'!$B$6:$B$505,A242,'أرقام التواصل'!$C$6:$C$505,1))=0,AND(U242="TRUE",V242="")),"REVIEW","READY")))</f>
        <v/>
      </c>
      <c r="AC242" s="27" t="str">
        <f>IF(AB242="","",IF(AB242="READY","",IF(AB242="SKIP","Skipped by candidate_import_action",TRIM(IF(A242="","missing proposed_name_key; ","")&amp;IF(AND(A242&lt;&gt;"",COUNTIF($A$6:$A$505,A242)&gt;1),"duplicate proposed_name_key; ","")&amp;IF(C242="","missing candidate_import_action; ","")&amp;IF(D242="","missing move_reason; ","")&amp;IF(H242="","missing branch_id; ","")&amp;IF(K242="","missing first_name; ","")&amp;IF(L242="","missing last_name; ","")&amp;IF(S242="","missing status; ","")&amp;IF(AND(B242&lt;&gt;"",COUNTIF(الزبائن!$A$6:$A$505,B242)=0),"source key not found; ","")&amp;IF((COUNTIFS('أرقام التواصل'!$A$6:$A$505,"proposed_name",'أرقام التواصل'!$B$6:$B$505,A242,'أرقام التواصل'!$I$6:$I$505,"TRUE")+COUNTIFS('أرقام التواصل'!$A$6:$A$505,"proposed_name",'أرقام التواصل'!$B$6:$B$505,A242,'أرقام التواصل'!$C$6:$C$505,1))=0,"missing primary contact in أرقام التواصل; ","")&amp;IF(AND(U242="TRUE",V242=""),"duplicate_type required when duplicate_flag TRUE; ","")))))</f>
        <v/>
      </c>
    </row>
    <row r="243" spans="1:29">
      <c r="A243" s="36"/>
      <c r="B243" s="24"/>
      <c r="C243" s="25"/>
      <c r="D243" s="25"/>
      <c r="E243" s="25"/>
      <c r="F243" s="24"/>
      <c r="G243" s="25"/>
      <c r="H243" s="25"/>
      <c r="I243" s="25"/>
      <c r="J243" s="25"/>
      <c r="K243" s="25"/>
      <c r="L243" s="25"/>
      <c r="M243" s="25"/>
      <c r="N243" s="25" t="str">
        <f t="shared" si="3"/>
        <v/>
      </c>
      <c r="O243" s="25"/>
      <c r="P243" s="25"/>
      <c r="Q243" s="25"/>
      <c r="R243" s="25"/>
      <c r="S243" s="25"/>
      <c r="T243" s="25"/>
      <c r="U243" s="25"/>
      <c r="V243" s="25"/>
      <c r="W243" s="24"/>
      <c r="X243" s="24"/>
      <c r="Y243" s="25"/>
      <c r="Z243" s="25" t="str">
        <f>IF(B243="","",IFERROR(INDEX(الزبائن!$AZ$6:$AZ$505,MATCH(B243,الزبائن!$A$6:$A$505,0)),"source key not found"))</f>
        <v/>
      </c>
      <c r="AA243" s="25" t="str">
        <f>IF(B243="","",IFERROR(INDEX(الزبائن!$BA$6:$BA$505,MATCH(B243,الزبائن!$A$6:$A$505,0)),"source key not found"))</f>
        <v/>
      </c>
      <c r="AB243" s="25" t="str">
        <f>IF(AND(A243="",C243="",D243="",H243="",K243="",L243=""),"",IF(C243="skip","SKIP",IF(OR(A243="",C243="",D243="",H243="",K243="",L243="",S243="",COUNTIF($A$6:$A$505,A243)&gt;1,AND(B243&lt;&gt;"",COUNTIF(الزبائن!$A$6:$A$505,B243)=0),(COUNTIFS('أرقام التواصل'!$A$6:$A$505,"proposed_name",'أرقام التواصل'!$B$6:$B$505,A243,'أرقام التواصل'!$I$6:$I$505,"TRUE")+COUNTIFS('أرقام التواصل'!$A$6:$A$505,"proposed_name",'أرقام التواصل'!$B$6:$B$505,A243,'أرقام التواصل'!$C$6:$C$505,1))=0,AND(U243="TRUE",V243="")),"REVIEW","READY")))</f>
        <v/>
      </c>
      <c r="AC243" s="27" t="str">
        <f>IF(AB243="","",IF(AB243="READY","",IF(AB243="SKIP","Skipped by candidate_import_action",TRIM(IF(A243="","missing proposed_name_key; ","")&amp;IF(AND(A243&lt;&gt;"",COUNTIF($A$6:$A$505,A243)&gt;1),"duplicate proposed_name_key; ","")&amp;IF(C243="","missing candidate_import_action; ","")&amp;IF(D243="","missing move_reason; ","")&amp;IF(H243="","missing branch_id; ","")&amp;IF(K243="","missing first_name; ","")&amp;IF(L243="","missing last_name; ","")&amp;IF(S243="","missing status; ","")&amp;IF(AND(B243&lt;&gt;"",COUNTIF(الزبائن!$A$6:$A$505,B243)=0),"source key not found; ","")&amp;IF((COUNTIFS('أرقام التواصل'!$A$6:$A$505,"proposed_name",'أرقام التواصل'!$B$6:$B$505,A243,'أرقام التواصل'!$I$6:$I$505,"TRUE")+COUNTIFS('أرقام التواصل'!$A$6:$A$505,"proposed_name",'أرقام التواصل'!$B$6:$B$505,A243,'أرقام التواصل'!$C$6:$C$505,1))=0,"missing primary contact in أرقام التواصل; ","")&amp;IF(AND(U243="TRUE",V243=""),"duplicate_type required when duplicate_flag TRUE; ","")))))</f>
        <v/>
      </c>
    </row>
    <row r="244" spans="1:29">
      <c r="A244" s="36"/>
      <c r="B244" s="24"/>
      <c r="C244" s="25"/>
      <c r="D244" s="25"/>
      <c r="E244" s="25"/>
      <c r="F244" s="24"/>
      <c r="G244" s="25"/>
      <c r="H244" s="25"/>
      <c r="I244" s="25"/>
      <c r="J244" s="25"/>
      <c r="K244" s="25"/>
      <c r="L244" s="25"/>
      <c r="M244" s="25"/>
      <c r="N244" s="25" t="str">
        <f t="shared" si="3"/>
        <v/>
      </c>
      <c r="O244" s="25"/>
      <c r="P244" s="25"/>
      <c r="Q244" s="25"/>
      <c r="R244" s="25"/>
      <c r="S244" s="25"/>
      <c r="T244" s="25"/>
      <c r="U244" s="25"/>
      <c r="V244" s="25"/>
      <c r="W244" s="24"/>
      <c r="X244" s="24"/>
      <c r="Y244" s="25"/>
      <c r="Z244" s="25" t="str">
        <f>IF(B244="","",IFERROR(INDEX(الزبائن!$AZ$6:$AZ$505,MATCH(B244,الزبائن!$A$6:$A$505,0)),"source key not found"))</f>
        <v/>
      </c>
      <c r="AA244" s="25" t="str">
        <f>IF(B244="","",IFERROR(INDEX(الزبائن!$BA$6:$BA$505,MATCH(B244,الزبائن!$A$6:$A$505,0)),"source key not found"))</f>
        <v/>
      </c>
      <c r="AB244" s="25" t="str">
        <f>IF(AND(A244="",C244="",D244="",H244="",K244="",L244=""),"",IF(C244="skip","SKIP",IF(OR(A244="",C244="",D244="",H244="",K244="",L244="",S244="",COUNTIF($A$6:$A$505,A244)&gt;1,AND(B244&lt;&gt;"",COUNTIF(الزبائن!$A$6:$A$505,B244)=0),(COUNTIFS('أرقام التواصل'!$A$6:$A$505,"proposed_name",'أرقام التواصل'!$B$6:$B$505,A244,'أرقام التواصل'!$I$6:$I$505,"TRUE")+COUNTIFS('أرقام التواصل'!$A$6:$A$505,"proposed_name",'أرقام التواصل'!$B$6:$B$505,A244,'أرقام التواصل'!$C$6:$C$505,1))=0,AND(U244="TRUE",V244="")),"REVIEW","READY")))</f>
        <v/>
      </c>
      <c r="AC244" s="27" t="str">
        <f>IF(AB244="","",IF(AB244="READY","",IF(AB244="SKIP","Skipped by candidate_import_action",TRIM(IF(A244="","missing proposed_name_key; ","")&amp;IF(AND(A244&lt;&gt;"",COUNTIF($A$6:$A$505,A244)&gt;1),"duplicate proposed_name_key; ","")&amp;IF(C244="","missing candidate_import_action; ","")&amp;IF(D244="","missing move_reason; ","")&amp;IF(H244="","missing branch_id; ","")&amp;IF(K244="","missing first_name; ","")&amp;IF(L244="","missing last_name; ","")&amp;IF(S244="","missing status; ","")&amp;IF(AND(B244&lt;&gt;"",COUNTIF(الزبائن!$A$6:$A$505,B244)=0),"source key not found; ","")&amp;IF((COUNTIFS('أرقام التواصل'!$A$6:$A$505,"proposed_name",'أرقام التواصل'!$B$6:$B$505,A244,'أرقام التواصل'!$I$6:$I$505,"TRUE")+COUNTIFS('أرقام التواصل'!$A$6:$A$505,"proposed_name",'أرقام التواصل'!$B$6:$B$505,A244,'أرقام التواصل'!$C$6:$C$505,1))=0,"missing primary contact in أرقام التواصل; ","")&amp;IF(AND(U244="TRUE",V244=""),"duplicate_type required when duplicate_flag TRUE; ","")))))</f>
        <v/>
      </c>
    </row>
    <row r="245" spans="1:29">
      <c r="A245" s="36"/>
      <c r="B245" s="24"/>
      <c r="C245" s="25"/>
      <c r="D245" s="25"/>
      <c r="E245" s="25"/>
      <c r="F245" s="24"/>
      <c r="G245" s="25"/>
      <c r="H245" s="25"/>
      <c r="I245" s="25"/>
      <c r="J245" s="25"/>
      <c r="K245" s="25"/>
      <c r="L245" s="25"/>
      <c r="M245" s="25"/>
      <c r="N245" s="25" t="str">
        <f t="shared" si="3"/>
        <v/>
      </c>
      <c r="O245" s="25"/>
      <c r="P245" s="25"/>
      <c r="Q245" s="25"/>
      <c r="R245" s="25"/>
      <c r="S245" s="25"/>
      <c r="T245" s="25"/>
      <c r="U245" s="25"/>
      <c r="V245" s="25"/>
      <c r="W245" s="24"/>
      <c r="X245" s="24"/>
      <c r="Y245" s="25"/>
      <c r="Z245" s="25" t="str">
        <f>IF(B245="","",IFERROR(INDEX(الزبائن!$AZ$6:$AZ$505,MATCH(B245,الزبائن!$A$6:$A$505,0)),"source key not found"))</f>
        <v/>
      </c>
      <c r="AA245" s="25" t="str">
        <f>IF(B245="","",IFERROR(INDEX(الزبائن!$BA$6:$BA$505,MATCH(B245,الزبائن!$A$6:$A$505,0)),"source key not found"))</f>
        <v/>
      </c>
      <c r="AB245" s="25" t="str">
        <f>IF(AND(A245="",C245="",D245="",H245="",K245="",L245=""),"",IF(C245="skip","SKIP",IF(OR(A245="",C245="",D245="",H245="",K245="",L245="",S245="",COUNTIF($A$6:$A$505,A245)&gt;1,AND(B245&lt;&gt;"",COUNTIF(الزبائن!$A$6:$A$505,B245)=0),(COUNTIFS('أرقام التواصل'!$A$6:$A$505,"proposed_name",'أرقام التواصل'!$B$6:$B$505,A245,'أرقام التواصل'!$I$6:$I$505,"TRUE")+COUNTIFS('أرقام التواصل'!$A$6:$A$505,"proposed_name",'أرقام التواصل'!$B$6:$B$505,A245,'أرقام التواصل'!$C$6:$C$505,1))=0,AND(U245="TRUE",V245="")),"REVIEW","READY")))</f>
        <v/>
      </c>
      <c r="AC245" s="27" t="str">
        <f>IF(AB245="","",IF(AB245="READY","",IF(AB245="SKIP","Skipped by candidate_import_action",TRIM(IF(A245="","missing proposed_name_key; ","")&amp;IF(AND(A245&lt;&gt;"",COUNTIF($A$6:$A$505,A245)&gt;1),"duplicate proposed_name_key; ","")&amp;IF(C245="","missing candidate_import_action; ","")&amp;IF(D245="","missing move_reason; ","")&amp;IF(H245="","missing branch_id; ","")&amp;IF(K245="","missing first_name; ","")&amp;IF(L245="","missing last_name; ","")&amp;IF(S245="","missing status; ","")&amp;IF(AND(B245&lt;&gt;"",COUNTIF(الزبائن!$A$6:$A$505,B245)=0),"source key not found; ","")&amp;IF((COUNTIFS('أرقام التواصل'!$A$6:$A$505,"proposed_name",'أرقام التواصل'!$B$6:$B$505,A245,'أرقام التواصل'!$I$6:$I$505,"TRUE")+COUNTIFS('أرقام التواصل'!$A$6:$A$505,"proposed_name",'أرقام التواصل'!$B$6:$B$505,A245,'أرقام التواصل'!$C$6:$C$505,1))=0,"missing primary contact in أرقام التواصل; ","")&amp;IF(AND(U245="TRUE",V245=""),"duplicate_type required when duplicate_flag TRUE; ","")))))</f>
        <v/>
      </c>
    </row>
    <row r="246" spans="1:29">
      <c r="A246" s="36"/>
      <c r="B246" s="24"/>
      <c r="C246" s="25"/>
      <c r="D246" s="25"/>
      <c r="E246" s="25"/>
      <c r="F246" s="24"/>
      <c r="G246" s="25"/>
      <c r="H246" s="25"/>
      <c r="I246" s="25"/>
      <c r="J246" s="25"/>
      <c r="K246" s="25"/>
      <c r="L246" s="25"/>
      <c r="M246" s="25"/>
      <c r="N246" s="25" t="str">
        <f t="shared" si="3"/>
        <v/>
      </c>
      <c r="O246" s="25"/>
      <c r="P246" s="25"/>
      <c r="Q246" s="25"/>
      <c r="R246" s="25"/>
      <c r="S246" s="25"/>
      <c r="T246" s="25"/>
      <c r="U246" s="25"/>
      <c r="V246" s="25"/>
      <c r="W246" s="24"/>
      <c r="X246" s="24"/>
      <c r="Y246" s="25"/>
      <c r="Z246" s="25" t="str">
        <f>IF(B246="","",IFERROR(INDEX(الزبائن!$AZ$6:$AZ$505,MATCH(B246,الزبائن!$A$6:$A$505,0)),"source key not found"))</f>
        <v/>
      </c>
      <c r="AA246" s="25" t="str">
        <f>IF(B246="","",IFERROR(INDEX(الزبائن!$BA$6:$BA$505,MATCH(B246,الزبائن!$A$6:$A$505,0)),"source key not found"))</f>
        <v/>
      </c>
      <c r="AB246" s="25" t="str">
        <f>IF(AND(A246="",C246="",D246="",H246="",K246="",L246=""),"",IF(C246="skip","SKIP",IF(OR(A246="",C246="",D246="",H246="",K246="",L246="",S246="",COUNTIF($A$6:$A$505,A246)&gt;1,AND(B246&lt;&gt;"",COUNTIF(الزبائن!$A$6:$A$505,B246)=0),(COUNTIFS('أرقام التواصل'!$A$6:$A$505,"proposed_name",'أرقام التواصل'!$B$6:$B$505,A246,'أرقام التواصل'!$I$6:$I$505,"TRUE")+COUNTIFS('أرقام التواصل'!$A$6:$A$505,"proposed_name",'أرقام التواصل'!$B$6:$B$505,A246,'أرقام التواصل'!$C$6:$C$505,1))=0,AND(U246="TRUE",V246="")),"REVIEW","READY")))</f>
        <v/>
      </c>
      <c r="AC246" s="27" t="str">
        <f>IF(AB246="","",IF(AB246="READY","",IF(AB246="SKIP","Skipped by candidate_import_action",TRIM(IF(A246="","missing proposed_name_key; ","")&amp;IF(AND(A246&lt;&gt;"",COUNTIF($A$6:$A$505,A246)&gt;1),"duplicate proposed_name_key; ","")&amp;IF(C246="","missing candidate_import_action; ","")&amp;IF(D246="","missing move_reason; ","")&amp;IF(H246="","missing branch_id; ","")&amp;IF(K246="","missing first_name; ","")&amp;IF(L246="","missing last_name; ","")&amp;IF(S246="","missing status; ","")&amp;IF(AND(B246&lt;&gt;"",COUNTIF(الزبائن!$A$6:$A$505,B246)=0),"source key not found; ","")&amp;IF((COUNTIFS('أرقام التواصل'!$A$6:$A$505,"proposed_name",'أرقام التواصل'!$B$6:$B$505,A246,'أرقام التواصل'!$I$6:$I$505,"TRUE")+COUNTIFS('أرقام التواصل'!$A$6:$A$505,"proposed_name",'أرقام التواصل'!$B$6:$B$505,A246,'أرقام التواصل'!$C$6:$C$505,1))=0,"missing primary contact in أرقام التواصل; ","")&amp;IF(AND(U246="TRUE",V246=""),"duplicate_type required when duplicate_flag TRUE; ","")))))</f>
        <v/>
      </c>
    </row>
    <row r="247" spans="1:29">
      <c r="A247" s="36"/>
      <c r="B247" s="24"/>
      <c r="C247" s="25"/>
      <c r="D247" s="25"/>
      <c r="E247" s="25"/>
      <c r="F247" s="24"/>
      <c r="G247" s="25"/>
      <c r="H247" s="25"/>
      <c r="I247" s="25"/>
      <c r="J247" s="25"/>
      <c r="K247" s="25"/>
      <c r="L247" s="25"/>
      <c r="M247" s="25"/>
      <c r="N247" s="25" t="str">
        <f t="shared" si="3"/>
        <v/>
      </c>
      <c r="O247" s="25"/>
      <c r="P247" s="25"/>
      <c r="Q247" s="25"/>
      <c r="R247" s="25"/>
      <c r="S247" s="25"/>
      <c r="T247" s="25"/>
      <c r="U247" s="25"/>
      <c r="V247" s="25"/>
      <c r="W247" s="24"/>
      <c r="X247" s="24"/>
      <c r="Y247" s="25"/>
      <c r="Z247" s="25" t="str">
        <f>IF(B247="","",IFERROR(INDEX(الزبائن!$AZ$6:$AZ$505,MATCH(B247,الزبائن!$A$6:$A$505,0)),"source key not found"))</f>
        <v/>
      </c>
      <c r="AA247" s="25" t="str">
        <f>IF(B247="","",IFERROR(INDEX(الزبائن!$BA$6:$BA$505,MATCH(B247,الزبائن!$A$6:$A$505,0)),"source key not found"))</f>
        <v/>
      </c>
      <c r="AB247" s="25" t="str">
        <f>IF(AND(A247="",C247="",D247="",H247="",K247="",L247=""),"",IF(C247="skip","SKIP",IF(OR(A247="",C247="",D247="",H247="",K247="",L247="",S247="",COUNTIF($A$6:$A$505,A247)&gt;1,AND(B247&lt;&gt;"",COUNTIF(الزبائن!$A$6:$A$505,B247)=0),(COUNTIFS('أرقام التواصل'!$A$6:$A$505,"proposed_name",'أرقام التواصل'!$B$6:$B$505,A247,'أرقام التواصل'!$I$6:$I$505,"TRUE")+COUNTIFS('أرقام التواصل'!$A$6:$A$505,"proposed_name",'أرقام التواصل'!$B$6:$B$505,A247,'أرقام التواصل'!$C$6:$C$505,1))=0,AND(U247="TRUE",V247="")),"REVIEW","READY")))</f>
        <v/>
      </c>
      <c r="AC247" s="27" t="str">
        <f>IF(AB247="","",IF(AB247="READY","",IF(AB247="SKIP","Skipped by candidate_import_action",TRIM(IF(A247="","missing proposed_name_key; ","")&amp;IF(AND(A247&lt;&gt;"",COUNTIF($A$6:$A$505,A247)&gt;1),"duplicate proposed_name_key; ","")&amp;IF(C247="","missing candidate_import_action; ","")&amp;IF(D247="","missing move_reason; ","")&amp;IF(H247="","missing branch_id; ","")&amp;IF(K247="","missing first_name; ","")&amp;IF(L247="","missing last_name; ","")&amp;IF(S247="","missing status; ","")&amp;IF(AND(B247&lt;&gt;"",COUNTIF(الزبائن!$A$6:$A$505,B247)=0),"source key not found; ","")&amp;IF((COUNTIFS('أرقام التواصل'!$A$6:$A$505,"proposed_name",'أرقام التواصل'!$B$6:$B$505,A247,'أرقام التواصل'!$I$6:$I$505,"TRUE")+COUNTIFS('أرقام التواصل'!$A$6:$A$505,"proposed_name",'أرقام التواصل'!$B$6:$B$505,A247,'أرقام التواصل'!$C$6:$C$505,1))=0,"missing primary contact in أرقام التواصل; ","")&amp;IF(AND(U247="TRUE",V247=""),"duplicate_type required when duplicate_flag TRUE; ","")))))</f>
        <v/>
      </c>
    </row>
    <row r="248" spans="1:29">
      <c r="A248" s="36"/>
      <c r="B248" s="24"/>
      <c r="C248" s="25"/>
      <c r="D248" s="25"/>
      <c r="E248" s="25"/>
      <c r="F248" s="24"/>
      <c r="G248" s="25"/>
      <c r="H248" s="25"/>
      <c r="I248" s="25"/>
      <c r="J248" s="25"/>
      <c r="K248" s="25"/>
      <c r="L248" s="25"/>
      <c r="M248" s="25"/>
      <c r="N248" s="25" t="str">
        <f t="shared" si="3"/>
        <v/>
      </c>
      <c r="O248" s="25"/>
      <c r="P248" s="25"/>
      <c r="Q248" s="25"/>
      <c r="R248" s="25"/>
      <c r="S248" s="25"/>
      <c r="T248" s="25"/>
      <c r="U248" s="25"/>
      <c r="V248" s="25"/>
      <c r="W248" s="24"/>
      <c r="X248" s="24"/>
      <c r="Y248" s="25"/>
      <c r="Z248" s="25" t="str">
        <f>IF(B248="","",IFERROR(INDEX(الزبائن!$AZ$6:$AZ$505,MATCH(B248,الزبائن!$A$6:$A$505,0)),"source key not found"))</f>
        <v/>
      </c>
      <c r="AA248" s="25" t="str">
        <f>IF(B248="","",IFERROR(INDEX(الزبائن!$BA$6:$BA$505,MATCH(B248,الزبائن!$A$6:$A$505,0)),"source key not found"))</f>
        <v/>
      </c>
      <c r="AB248" s="25" t="str">
        <f>IF(AND(A248="",C248="",D248="",H248="",K248="",L248=""),"",IF(C248="skip","SKIP",IF(OR(A248="",C248="",D248="",H248="",K248="",L248="",S248="",COUNTIF($A$6:$A$505,A248)&gt;1,AND(B248&lt;&gt;"",COUNTIF(الزبائن!$A$6:$A$505,B248)=0),(COUNTIFS('أرقام التواصل'!$A$6:$A$505,"proposed_name",'أرقام التواصل'!$B$6:$B$505,A248,'أرقام التواصل'!$I$6:$I$505,"TRUE")+COUNTIFS('أرقام التواصل'!$A$6:$A$505,"proposed_name",'أرقام التواصل'!$B$6:$B$505,A248,'أرقام التواصل'!$C$6:$C$505,1))=0,AND(U248="TRUE",V248="")),"REVIEW","READY")))</f>
        <v/>
      </c>
      <c r="AC248" s="27" t="str">
        <f>IF(AB248="","",IF(AB248="READY","",IF(AB248="SKIP","Skipped by candidate_import_action",TRIM(IF(A248="","missing proposed_name_key; ","")&amp;IF(AND(A248&lt;&gt;"",COUNTIF($A$6:$A$505,A248)&gt;1),"duplicate proposed_name_key; ","")&amp;IF(C248="","missing candidate_import_action; ","")&amp;IF(D248="","missing move_reason; ","")&amp;IF(H248="","missing branch_id; ","")&amp;IF(K248="","missing first_name; ","")&amp;IF(L248="","missing last_name; ","")&amp;IF(S248="","missing status; ","")&amp;IF(AND(B248&lt;&gt;"",COUNTIF(الزبائن!$A$6:$A$505,B248)=0),"source key not found; ","")&amp;IF((COUNTIFS('أرقام التواصل'!$A$6:$A$505,"proposed_name",'أرقام التواصل'!$B$6:$B$505,A248,'أرقام التواصل'!$I$6:$I$505,"TRUE")+COUNTIFS('أرقام التواصل'!$A$6:$A$505,"proposed_name",'أرقام التواصل'!$B$6:$B$505,A248,'أرقام التواصل'!$C$6:$C$505,1))=0,"missing primary contact in أرقام التواصل; ","")&amp;IF(AND(U248="TRUE",V248=""),"duplicate_type required when duplicate_flag TRUE; ","")))))</f>
        <v/>
      </c>
    </row>
    <row r="249" spans="1:29">
      <c r="A249" s="36"/>
      <c r="B249" s="24"/>
      <c r="C249" s="25"/>
      <c r="D249" s="25"/>
      <c r="E249" s="25"/>
      <c r="F249" s="24"/>
      <c r="G249" s="25"/>
      <c r="H249" s="25"/>
      <c r="I249" s="25"/>
      <c r="J249" s="25"/>
      <c r="K249" s="25"/>
      <c r="L249" s="25"/>
      <c r="M249" s="25"/>
      <c r="N249" s="25" t="str">
        <f t="shared" si="3"/>
        <v/>
      </c>
      <c r="O249" s="25"/>
      <c r="P249" s="25"/>
      <c r="Q249" s="25"/>
      <c r="R249" s="25"/>
      <c r="S249" s="25"/>
      <c r="T249" s="25"/>
      <c r="U249" s="25"/>
      <c r="V249" s="25"/>
      <c r="W249" s="24"/>
      <c r="X249" s="24"/>
      <c r="Y249" s="25"/>
      <c r="Z249" s="25" t="str">
        <f>IF(B249="","",IFERROR(INDEX(الزبائن!$AZ$6:$AZ$505,MATCH(B249,الزبائن!$A$6:$A$505,0)),"source key not found"))</f>
        <v/>
      </c>
      <c r="AA249" s="25" t="str">
        <f>IF(B249="","",IFERROR(INDEX(الزبائن!$BA$6:$BA$505,MATCH(B249,الزبائن!$A$6:$A$505,0)),"source key not found"))</f>
        <v/>
      </c>
      <c r="AB249" s="25" t="str">
        <f>IF(AND(A249="",C249="",D249="",H249="",K249="",L249=""),"",IF(C249="skip","SKIP",IF(OR(A249="",C249="",D249="",H249="",K249="",L249="",S249="",COUNTIF($A$6:$A$505,A249)&gt;1,AND(B249&lt;&gt;"",COUNTIF(الزبائن!$A$6:$A$505,B249)=0),(COUNTIFS('أرقام التواصل'!$A$6:$A$505,"proposed_name",'أرقام التواصل'!$B$6:$B$505,A249,'أرقام التواصل'!$I$6:$I$505,"TRUE")+COUNTIFS('أرقام التواصل'!$A$6:$A$505,"proposed_name",'أرقام التواصل'!$B$6:$B$505,A249,'أرقام التواصل'!$C$6:$C$505,1))=0,AND(U249="TRUE",V249="")),"REVIEW","READY")))</f>
        <v/>
      </c>
      <c r="AC249" s="27" t="str">
        <f>IF(AB249="","",IF(AB249="READY","",IF(AB249="SKIP","Skipped by candidate_import_action",TRIM(IF(A249="","missing proposed_name_key; ","")&amp;IF(AND(A249&lt;&gt;"",COUNTIF($A$6:$A$505,A249)&gt;1),"duplicate proposed_name_key; ","")&amp;IF(C249="","missing candidate_import_action; ","")&amp;IF(D249="","missing move_reason; ","")&amp;IF(H249="","missing branch_id; ","")&amp;IF(K249="","missing first_name; ","")&amp;IF(L249="","missing last_name; ","")&amp;IF(S249="","missing status; ","")&amp;IF(AND(B249&lt;&gt;"",COUNTIF(الزبائن!$A$6:$A$505,B249)=0),"source key not found; ","")&amp;IF((COUNTIFS('أرقام التواصل'!$A$6:$A$505,"proposed_name",'أرقام التواصل'!$B$6:$B$505,A249,'أرقام التواصل'!$I$6:$I$505,"TRUE")+COUNTIFS('أرقام التواصل'!$A$6:$A$505,"proposed_name",'أرقام التواصل'!$B$6:$B$505,A249,'أرقام التواصل'!$C$6:$C$505,1))=0,"missing primary contact in أرقام التواصل; ","")&amp;IF(AND(U249="TRUE",V249=""),"duplicate_type required when duplicate_flag TRUE; ","")))))</f>
        <v/>
      </c>
    </row>
    <row r="250" spans="1:29">
      <c r="A250" s="36"/>
      <c r="B250" s="24"/>
      <c r="C250" s="25"/>
      <c r="D250" s="25"/>
      <c r="E250" s="25"/>
      <c r="F250" s="24"/>
      <c r="G250" s="25"/>
      <c r="H250" s="25"/>
      <c r="I250" s="25"/>
      <c r="J250" s="25"/>
      <c r="K250" s="25"/>
      <c r="L250" s="25"/>
      <c r="M250" s="25"/>
      <c r="N250" s="25" t="str">
        <f t="shared" si="3"/>
        <v/>
      </c>
      <c r="O250" s="25"/>
      <c r="P250" s="25"/>
      <c r="Q250" s="25"/>
      <c r="R250" s="25"/>
      <c r="S250" s="25"/>
      <c r="T250" s="25"/>
      <c r="U250" s="25"/>
      <c r="V250" s="25"/>
      <c r="W250" s="24"/>
      <c r="X250" s="24"/>
      <c r="Y250" s="25"/>
      <c r="Z250" s="25" t="str">
        <f>IF(B250="","",IFERROR(INDEX(الزبائن!$AZ$6:$AZ$505,MATCH(B250,الزبائن!$A$6:$A$505,0)),"source key not found"))</f>
        <v/>
      </c>
      <c r="AA250" s="25" t="str">
        <f>IF(B250="","",IFERROR(INDEX(الزبائن!$BA$6:$BA$505,MATCH(B250,الزبائن!$A$6:$A$505,0)),"source key not found"))</f>
        <v/>
      </c>
      <c r="AB250" s="25" t="str">
        <f>IF(AND(A250="",C250="",D250="",H250="",K250="",L250=""),"",IF(C250="skip","SKIP",IF(OR(A250="",C250="",D250="",H250="",K250="",L250="",S250="",COUNTIF($A$6:$A$505,A250)&gt;1,AND(B250&lt;&gt;"",COUNTIF(الزبائن!$A$6:$A$505,B250)=0),(COUNTIFS('أرقام التواصل'!$A$6:$A$505,"proposed_name",'أرقام التواصل'!$B$6:$B$505,A250,'أرقام التواصل'!$I$6:$I$505,"TRUE")+COUNTIFS('أرقام التواصل'!$A$6:$A$505,"proposed_name",'أرقام التواصل'!$B$6:$B$505,A250,'أرقام التواصل'!$C$6:$C$505,1))=0,AND(U250="TRUE",V250="")),"REVIEW","READY")))</f>
        <v/>
      </c>
      <c r="AC250" s="27" t="str">
        <f>IF(AB250="","",IF(AB250="READY","",IF(AB250="SKIP","Skipped by candidate_import_action",TRIM(IF(A250="","missing proposed_name_key; ","")&amp;IF(AND(A250&lt;&gt;"",COUNTIF($A$6:$A$505,A250)&gt;1),"duplicate proposed_name_key; ","")&amp;IF(C250="","missing candidate_import_action; ","")&amp;IF(D250="","missing move_reason; ","")&amp;IF(H250="","missing branch_id; ","")&amp;IF(K250="","missing first_name; ","")&amp;IF(L250="","missing last_name; ","")&amp;IF(S250="","missing status; ","")&amp;IF(AND(B250&lt;&gt;"",COUNTIF(الزبائن!$A$6:$A$505,B250)=0),"source key not found; ","")&amp;IF((COUNTIFS('أرقام التواصل'!$A$6:$A$505,"proposed_name",'أرقام التواصل'!$B$6:$B$505,A250,'أرقام التواصل'!$I$6:$I$505,"TRUE")+COUNTIFS('أرقام التواصل'!$A$6:$A$505,"proposed_name",'أرقام التواصل'!$B$6:$B$505,A250,'أرقام التواصل'!$C$6:$C$505,1))=0,"missing primary contact in أرقام التواصل; ","")&amp;IF(AND(U250="TRUE",V250=""),"duplicate_type required when duplicate_flag TRUE; ","")))))</f>
        <v/>
      </c>
    </row>
    <row r="251" spans="1:29">
      <c r="A251" s="36"/>
      <c r="B251" s="24"/>
      <c r="C251" s="25"/>
      <c r="D251" s="25"/>
      <c r="E251" s="25"/>
      <c r="F251" s="24"/>
      <c r="G251" s="25"/>
      <c r="H251" s="25"/>
      <c r="I251" s="25"/>
      <c r="J251" s="25"/>
      <c r="K251" s="25"/>
      <c r="L251" s="25"/>
      <c r="M251" s="25"/>
      <c r="N251" s="25" t="str">
        <f t="shared" si="3"/>
        <v/>
      </c>
      <c r="O251" s="25"/>
      <c r="P251" s="25"/>
      <c r="Q251" s="25"/>
      <c r="R251" s="25"/>
      <c r="S251" s="25"/>
      <c r="T251" s="25"/>
      <c r="U251" s="25"/>
      <c r="V251" s="25"/>
      <c r="W251" s="24"/>
      <c r="X251" s="24"/>
      <c r="Y251" s="25"/>
      <c r="Z251" s="25" t="str">
        <f>IF(B251="","",IFERROR(INDEX(الزبائن!$AZ$6:$AZ$505,MATCH(B251,الزبائن!$A$6:$A$505,0)),"source key not found"))</f>
        <v/>
      </c>
      <c r="AA251" s="25" t="str">
        <f>IF(B251="","",IFERROR(INDEX(الزبائن!$BA$6:$BA$505,MATCH(B251,الزبائن!$A$6:$A$505,0)),"source key not found"))</f>
        <v/>
      </c>
      <c r="AB251" s="25" t="str">
        <f>IF(AND(A251="",C251="",D251="",H251="",K251="",L251=""),"",IF(C251="skip","SKIP",IF(OR(A251="",C251="",D251="",H251="",K251="",L251="",S251="",COUNTIF($A$6:$A$505,A251)&gt;1,AND(B251&lt;&gt;"",COUNTIF(الزبائن!$A$6:$A$505,B251)=0),(COUNTIFS('أرقام التواصل'!$A$6:$A$505,"proposed_name",'أرقام التواصل'!$B$6:$B$505,A251,'أرقام التواصل'!$I$6:$I$505,"TRUE")+COUNTIFS('أرقام التواصل'!$A$6:$A$505,"proposed_name",'أرقام التواصل'!$B$6:$B$505,A251,'أرقام التواصل'!$C$6:$C$505,1))=0,AND(U251="TRUE",V251="")),"REVIEW","READY")))</f>
        <v/>
      </c>
      <c r="AC251" s="27" t="str">
        <f>IF(AB251="","",IF(AB251="READY","",IF(AB251="SKIP","Skipped by candidate_import_action",TRIM(IF(A251="","missing proposed_name_key; ","")&amp;IF(AND(A251&lt;&gt;"",COUNTIF($A$6:$A$505,A251)&gt;1),"duplicate proposed_name_key; ","")&amp;IF(C251="","missing candidate_import_action; ","")&amp;IF(D251="","missing move_reason; ","")&amp;IF(H251="","missing branch_id; ","")&amp;IF(K251="","missing first_name; ","")&amp;IF(L251="","missing last_name; ","")&amp;IF(S251="","missing status; ","")&amp;IF(AND(B251&lt;&gt;"",COUNTIF(الزبائن!$A$6:$A$505,B251)=0),"source key not found; ","")&amp;IF((COUNTIFS('أرقام التواصل'!$A$6:$A$505,"proposed_name",'أرقام التواصل'!$B$6:$B$505,A251,'أرقام التواصل'!$I$6:$I$505,"TRUE")+COUNTIFS('أرقام التواصل'!$A$6:$A$505,"proposed_name",'أرقام التواصل'!$B$6:$B$505,A251,'أرقام التواصل'!$C$6:$C$505,1))=0,"missing primary contact in أرقام التواصل; ","")&amp;IF(AND(U251="TRUE",V251=""),"duplicate_type required when duplicate_flag TRUE; ","")))))</f>
        <v/>
      </c>
    </row>
    <row r="252" spans="1:29">
      <c r="A252" s="36"/>
      <c r="B252" s="24"/>
      <c r="C252" s="25"/>
      <c r="D252" s="25"/>
      <c r="E252" s="25"/>
      <c r="F252" s="24"/>
      <c r="G252" s="25"/>
      <c r="H252" s="25"/>
      <c r="I252" s="25"/>
      <c r="J252" s="25"/>
      <c r="K252" s="25"/>
      <c r="L252" s="25"/>
      <c r="M252" s="25"/>
      <c r="N252" s="25" t="str">
        <f t="shared" si="3"/>
        <v/>
      </c>
      <c r="O252" s="25"/>
      <c r="P252" s="25"/>
      <c r="Q252" s="25"/>
      <c r="R252" s="25"/>
      <c r="S252" s="25"/>
      <c r="T252" s="25"/>
      <c r="U252" s="25"/>
      <c r="V252" s="25"/>
      <c r="W252" s="24"/>
      <c r="X252" s="24"/>
      <c r="Y252" s="25"/>
      <c r="Z252" s="25" t="str">
        <f>IF(B252="","",IFERROR(INDEX(الزبائن!$AZ$6:$AZ$505,MATCH(B252,الزبائن!$A$6:$A$505,0)),"source key not found"))</f>
        <v/>
      </c>
      <c r="AA252" s="25" t="str">
        <f>IF(B252="","",IFERROR(INDEX(الزبائن!$BA$6:$BA$505,MATCH(B252,الزبائن!$A$6:$A$505,0)),"source key not found"))</f>
        <v/>
      </c>
      <c r="AB252" s="25" t="str">
        <f>IF(AND(A252="",C252="",D252="",H252="",K252="",L252=""),"",IF(C252="skip","SKIP",IF(OR(A252="",C252="",D252="",H252="",K252="",L252="",S252="",COUNTIF($A$6:$A$505,A252)&gt;1,AND(B252&lt;&gt;"",COUNTIF(الزبائن!$A$6:$A$505,B252)=0),(COUNTIFS('أرقام التواصل'!$A$6:$A$505,"proposed_name",'أرقام التواصل'!$B$6:$B$505,A252,'أرقام التواصل'!$I$6:$I$505,"TRUE")+COUNTIFS('أرقام التواصل'!$A$6:$A$505,"proposed_name",'أرقام التواصل'!$B$6:$B$505,A252,'أرقام التواصل'!$C$6:$C$505,1))=0,AND(U252="TRUE",V252="")),"REVIEW","READY")))</f>
        <v/>
      </c>
      <c r="AC252" s="27" t="str">
        <f>IF(AB252="","",IF(AB252="READY","",IF(AB252="SKIP","Skipped by candidate_import_action",TRIM(IF(A252="","missing proposed_name_key; ","")&amp;IF(AND(A252&lt;&gt;"",COUNTIF($A$6:$A$505,A252)&gt;1),"duplicate proposed_name_key; ","")&amp;IF(C252="","missing candidate_import_action; ","")&amp;IF(D252="","missing move_reason; ","")&amp;IF(H252="","missing branch_id; ","")&amp;IF(K252="","missing first_name; ","")&amp;IF(L252="","missing last_name; ","")&amp;IF(S252="","missing status; ","")&amp;IF(AND(B252&lt;&gt;"",COUNTIF(الزبائن!$A$6:$A$505,B252)=0),"source key not found; ","")&amp;IF((COUNTIFS('أرقام التواصل'!$A$6:$A$505,"proposed_name",'أرقام التواصل'!$B$6:$B$505,A252,'أرقام التواصل'!$I$6:$I$505,"TRUE")+COUNTIFS('أرقام التواصل'!$A$6:$A$505,"proposed_name",'أرقام التواصل'!$B$6:$B$505,A252,'أرقام التواصل'!$C$6:$C$505,1))=0,"missing primary contact in أرقام التواصل; ","")&amp;IF(AND(U252="TRUE",V252=""),"duplicate_type required when duplicate_flag TRUE; ","")))))</f>
        <v/>
      </c>
    </row>
    <row r="253" spans="1:29">
      <c r="A253" s="36"/>
      <c r="B253" s="24"/>
      <c r="C253" s="25"/>
      <c r="D253" s="25"/>
      <c r="E253" s="25"/>
      <c r="F253" s="24"/>
      <c r="G253" s="25"/>
      <c r="H253" s="25"/>
      <c r="I253" s="25"/>
      <c r="J253" s="25"/>
      <c r="K253" s="25"/>
      <c r="L253" s="25"/>
      <c r="M253" s="25"/>
      <c r="N253" s="25" t="str">
        <f t="shared" si="3"/>
        <v/>
      </c>
      <c r="O253" s="25"/>
      <c r="P253" s="25"/>
      <c r="Q253" s="25"/>
      <c r="R253" s="25"/>
      <c r="S253" s="25"/>
      <c r="T253" s="25"/>
      <c r="U253" s="25"/>
      <c r="V253" s="25"/>
      <c r="W253" s="24"/>
      <c r="X253" s="24"/>
      <c r="Y253" s="25"/>
      <c r="Z253" s="25" t="str">
        <f>IF(B253="","",IFERROR(INDEX(الزبائن!$AZ$6:$AZ$505,MATCH(B253,الزبائن!$A$6:$A$505,0)),"source key not found"))</f>
        <v/>
      </c>
      <c r="AA253" s="25" t="str">
        <f>IF(B253="","",IFERROR(INDEX(الزبائن!$BA$6:$BA$505,MATCH(B253,الزبائن!$A$6:$A$505,0)),"source key not found"))</f>
        <v/>
      </c>
      <c r="AB253" s="25" t="str">
        <f>IF(AND(A253="",C253="",D253="",H253="",K253="",L253=""),"",IF(C253="skip","SKIP",IF(OR(A253="",C253="",D253="",H253="",K253="",L253="",S253="",COUNTIF($A$6:$A$505,A253)&gt;1,AND(B253&lt;&gt;"",COUNTIF(الزبائن!$A$6:$A$505,B253)=0),(COUNTIFS('أرقام التواصل'!$A$6:$A$505,"proposed_name",'أرقام التواصل'!$B$6:$B$505,A253,'أرقام التواصل'!$I$6:$I$505,"TRUE")+COUNTIFS('أرقام التواصل'!$A$6:$A$505,"proposed_name",'أرقام التواصل'!$B$6:$B$505,A253,'أرقام التواصل'!$C$6:$C$505,1))=0,AND(U253="TRUE",V253="")),"REVIEW","READY")))</f>
        <v/>
      </c>
      <c r="AC253" s="27" t="str">
        <f>IF(AB253="","",IF(AB253="READY","",IF(AB253="SKIP","Skipped by candidate_import_action",TRIM(IF(A253="","missing proposed_name_key; ","")&amp;IF(AND(A253&lt;&gt;"",COUNTIF($A$6:$A$505,A253)&gt;1),"duplicate proposed_name_key; ","")&amp;IF(C253="","missing candidate_import_action; ","")&amp;IF(D253="","missing move_reason; ","")&amp;IF(H253="","missing branch_id; ","")&amp;IF(K253="","missing first_name; ","")&amp;IF(L253="","missing last_name; ","")&amp;IF(S253="","missing status; ","")&amp;IF(AND(B253&lt;&gt;"",COUNTIF(الزبائن!$A$6:$A$505,B253)=0),"source key not found; ","")&amp;IF((COUNTIFS('أرقام التواصل'!$A$6:$A$505,"proposed_name",'أرقام التواصل'!$B$6:$B$505,A253,'أرقام التواصل'!$I$6:$I$505,"TRUE")+COUNTIFS('أرقام التواصل'!$A$6:$A$505,"proposed_name",'أرقام التواصل'!$B$6:$B$505,A253,'أرقام التواصل'!$C$6:$C$505,1))=0,"missing primary contact in أرقام التواصل; ","")&amp;IF(AND(U253="TRUE",V253=""),"duplicate_type required when duplicate_flag TRUE; ","")))))</f>
        <v/>
      </c>
    </row>
    <row r="254" spans="1:29">
      <c r="A254" s="36"/>
      <c r="B254" s="24"/>
      <c r="C254" s="25"/>
      <c r="D254" s="25"/>
      <c r="E254" s="25"/>
      <c r="F254" s="24"/>
      <c r="G254" s="25"/>
      <c r="H254" s="25"/>
      <c r="I254" s="25"/>
      <c r="J254" s="25"/>
      <c r="K254" s="25"/>
      <c r="L254" s="25"/>
      <c r="M254" s="25"/>
      <c r="N254" s="25" t="str">
        <f t="shared" si="3"/>
        <v/>
      </c>
      <c r="O254" s="25"/>
      <c r="P254" s="25"/>
      <c r="Q254" s="25"/>
      <c r="R254" s="25"/>
      <c r="S254" s="25"/>
      <c r="T254" s="25"/>
      <c r="U254" s="25"/>
      <c r="V254" s="25"/>
      <c r="W254" s="24"/>
      <c r="X254" s="24"/>
      <c r="Y254" s="25"/>
      <c r="Z254" s="25" t="str">
        <f>IF(B254="","",IFERROR(INDEX(الزبائن!$AZ$6:$AZ$505,MATCH(B254,الزبائن!$A$6:$A$505,0)),"source key not found"))</f>
        <v/>
      </c>
      <c r="AA254" s="25" t="str">
        <f>IF(B254="","",IFERROR(INDEX(الزبائن!$BA$6:$BA$505,MATCH(B254,الزبائن!$A$6:$A$505,0)),"source key not found"))</f>
        <v/>
      </c>
      <c r="AB254" s="25" t="str">
        <f>IF(AND(A254="",C254="",D254="",H254="",K254="",L254=""),"",IF(C254="skip","SKIP",IF(OR(A254="",C254="",D254="",H254="",K254="",L254="",S254="",COUNTIF($A$6:$A$505,A254)&gt;1,AND(B254&lt;&gt;"",COUNTIF(الزبائن!$A$6:$A$505,B254)=0),(COUNTIFS('أرقام التواصل'!$A$6:$A$505,"proposed_name",'أرقام التواصل'!$B$6:$B$505,A254,'أرقام التواصل'!$I$6:$I$505,"TRUE")+COUNTIFS('أرقام التواصل'!$A$6:$A$505,"proposed_name",'أرقام التواصل'!$B$6:$B$505,A254,'أرقام التواصل'!$C$6:$C$505,1))=0,AND(U254="TRUE",V254="")),"REVIEW","READY")))</f>
        <v/>
      </c>
      <c r="AC254" s="27" t="str">
        <f>IF(AB254="","",IF(AB254="READY","",IF(AB254="SKIP","Skipped by candidate_import_action",TRIM(IF(A254="","missing proposed_name_key; ","")&amp;IF(AND(A254&lt;&gt;"",COUNTIF($A$6:$A$505,A254)&gt;1),"duplicate proposed_name_key; ","")&amp;IF(C254="","missing candidate_import_action; ","")&amp;IF(D254="","missing move_reason; ","")&amp;IF(H254="","missing branch_id; ","")&amp;IF(K254="","missing first_name; ","")&amp;IF(L254="","missing last_name; ","")&amp;IF(S254="","missing status; ","")&amp;IF(AND(B254&lt;&gt;"",COUNTIF(الزبائن!$A$6:$A$505,B254)=0),"source key not found; ","")&amp;IF((COUNTIFS('أرقام التواصل'!$A$6:$A$505,"proposed_name",'أرقام التواصل'!$B$6:$B$505,A254,'أرقام التواصل'!$I$6:$I$505,"TRUE")+COUNTIFS('أرقام التواصل'!$A$6:$A$505,"proposed_name",'أرقام التواصل'!$B$6:$B$505,A254,'أرقام التواصل'!$C$6:$C$505,1))=0,"missing primary contact in أرقام التواصل; ","")&amp;IF(AND(U254="TRUE",V254=""),"duplicate_type required when duplicate_flag TRUE; ","")))))</f>
        <v/>
      </c>
    </row>
    <row r="255" spans="1:29">
      <c r="A255" s="36"/>
      <c r="B255" s="24"/>
      <c r="C255" s="25"/>
      <c r="D255" s="25"/>
      <c r="E255" s="25"/>
      <c r="F255" s="24"/>
      <c r="G255" s="25"/>
      <c r="H255" s="25"/>
      <c r="I255" s="25"/>
      <c r="J255" s="25"/>
      <c r="K255" s="25"/>
      <c r="L255" s="25"/>
      <c r="M255" s="25"/>
      <c r="N255" s="25" t="str">
        <f t="shared" si="3"/>
        <v/>
      </c>
      <c r="O255" s="25"/>
      <c r="P255" s="25"/>
      <c r="Q255" s="25"/>
      <c r="R255" s="25"/>
      <c r="S255" s="25"/>
      <c r="T255" s="25"/>
      <c r="U255" s="25"/>
      <c r="V255" s="25"/>
      <c r="W255" s="24"/>
      <c r="X255" s="24"/>
      <c r="Y255" s="25"/>
      <c r="Z255" s="25" t="str">
        <f>IF(B255="","",IFERROR(INDEX(الزبائن!$AZ$6:$AZ$505,MATCH(B255,الزبائن!$A$6:$A$505,0)),"source key not found"))</f>
        <v/>
      </c>
      <c r="AA255" s="25" t="str">
        <f>IF(B255="","",IFERROR(INDEX(الزبائن!$BA$6:$BA$505,MATCH(B255,الزبائن!$A$6:$A$505,0)),"source key not found"))</f>
        <v/>
      </c>
      <c r="AB255" s="25" t="str">
        <f>IF(AND(A255="",C255="",D255="",H255="",K255="",L255=""),"",IF(C255="skip","SKIP",IF(OR(A255="",C255="",D255="",H255="",K255="",L255="",S255="",COUNTIF($A$6:$A$505,A255)&gt;1,AND(B255&lt;&gt;"",COUNTIF(الزبائن!$A$6:$A$505,B255)=0),(COUNTIFS('أرقام التواصل'!$A$6:$A$505,"proposed_name",'أرقام التواصل'!$B$6:$B$505,A255,'أرقام التواصل'!$I$6:$I$505,"TRUE")+COUNTIFS('أرقام التواصل'!$A$6:$A$505,"proposed_name",'أرقام التواصل'!$B$6:$B$505,A255,'أرقام التواصل'!$C$6:$C$505,1))=0,AND(U255="TRUE",V255="")),"REVIEW","READY")))</f>
        <v/>
      </c>
      <c r="AC255" s="27" t="str">
        <f>IF(AB255="","",IF(AB255="READY","",IF(AB255="SKIP","Skipped by candidate_import_action",TRIM(IF(A255="","missing proposed_name_key; ","")&amp;IF(AND(A255&lt;&gt;"",COUNTIF($A$6:$A$505,A255)&gt;1),"duplicate proposed_name_key; ","")&amp;IF(C255="","missing candidate_import_action; ","")&amp;IF(D255="","missing move_reason; ","")&amp;IF(H255="","missing branch_id; ","")&amp;IF(K255="","missing first_name; ","")&amp;IF(L255="","missing last_name; ","")&amp;IF(S255="","missing status; ","")&amp;IF(AND(B255&lt;&gt;"",COUNTIF(الزبائن!$A$6:$A$505,B255)=0),"source key not found; ","")&amp;IF((COUNTIFS('أرقام التواصل'!$A$6:$A$505,"proposed_name",'أرقام التواصل'!$B$6:$B$505,A255,'أرقام التواصل'!$I$6:$I$505,"TRUE")+COUNTIFS('أرقام التواصل'!$A$6:$A$505,"proposed_name",'أرقام التواصل'!$B$6:$B$505,A255,'أرقام التواصل'!$C$6:$C$505,1))=0,"missing primary contact in أرقام التواصل; ","")&amp;IF(AND(U255="TRUE",V255=""),"duplicate_type required when duplicate_flag TRUE; ","")))))</f>
        <v/>
      </c>
    </row>
    <row r="256" spans="1:29">
      <c r="A256" s="36"/>
      <c r="B256" s="24"/>
      <c r="C256" s="25"/>
      <c r="D256" s="25"/>
      <c r="E256" s="25"/>
      <c r="F256" s="24"/>
      <c r="G256" s="25"/>
      <c r="H256" s="25"/>
      <c r="I256" s="25"/>
      <c r="J256" s="25"/>
      <c r="K256" s="25"/>
      <c r="L256" s="25"/>
      <c r="M256" s="25"/>
      <c r="N256" s="25" t="str">
        <f t="shared" si="3"/>
        <v/>
      </c>
      <c r="O256" s="25"/>
      <c r="P256" s="25"/>
      <c r="Q256" s="25"/>
      <c r="R256" s="25"/>
      <c r="S256" s="25"/>
      <c r="T256" s="25"/>
      <c r="U256" s="25"/>
      <c r="V256" s="25"/>
      <c r="W256" s="24"/>
      <c r="X256" s="24"/>
      <c r="Y256" s="25"/>
      <c r="Z256" s="25" t="str">
        <f>IF(B256="","",IFERROR(INDEX(الزبائن!$AZ$6:$AZ$505,MATCH(B256,الزبائن!$A$6:$A$505,0)),"source key not found"))</f>
        <v/>
      </c>
      <c r="AA256" s="25" t="str">
        <f>IF(B256="","",IFERROR(INDEX(الزبائن!$BA$6:$BA$505,MATCH(B256,الزبائن!$A$6:$A$505,0)),"source key not found"))</f>
        <v/>
      </c>
      <c r="AB256" s="25" t="str">
        <f>IF(AND(A256="",C256="",D256="",H256="",K256="",L256=""),"",IF(C256="skip","SKIP",IF(OR(A256="",C256="",D256="",H256="",K256="",L256="",S256="",COUNTIF($A$6:$A$505,A256)&gt;1,AND(B256&lt;&gt;"",COUNTIF(الزبائن!$A$6:$A$505,B256)=0),(COUNTIFS('أرقام التواصل'!$A$6:$A$505,"proposed_name",'أرقام التواصل'!$B$6:$B$505,A256,'أرقام التواصل'!$I$6:$I$505,"TRUE")+COUNTIFS('أرقام التواصل'!$A$6:$A$505,"proposed_name",'أرقام التواصل'!$B$6:$B$505,A256,'أرقام التواصل'!$C$6:$C$505,1))=0,AND(U256="TRUE",V256="")),"REVIEW","READY")))</f>
        <v/>
      </c>
      <c r="AC256" s="27" t="str">
        <f>IF(AB256="","",IF(AB256="READY","",IF(AB256="SKIP","Skipped by candidate_import_action",TRIM(IF(A256="","missing proposed_name_key; ","")&amp;IF(AND(A256&lt;&gt;"",COUNTIF($A$6:$A$505,A256)&gt;1),"duplicate proposed_name_key; ","")&amp;IF(C256="","missing candidate_import_action; ","")&amp;IF(D256="","missing move_reason; ","")&amp;IF(H256="","missing branch_id; ","")&amp;IF(K256="","missing first_name; ","")&amp;IF(L256="","missing last_name; ","")&amp;IF(S256="","missing status; ","")&amp;IF(AND(B256&lt;&gt;"",COUNTIF(الزبائن!$A$6:$A$505,B256)=0),"source key not found; ","")&amp;IF((COUNTIFS('أرقام التواصل'!$A$6:$A$505,"proposed_name",'أرقام التواصل'!$B$6:$B$505,A256,'أرقام التواصل'!$I$6:$I$505,"TRUE")+COUNTIFS('أرقام التواصل'!$A$6:$A$505,"proposed_name",'أرقام التواصل'!$B$6:$B$505,A256,'أرقام التواصل'!$C$6:$C$505,1))=0,"missing primary contact in أرقام التواصل; ","")&amp;IF(AND(U256="TRUE",V256=""),"duplicate_type required when duplicate_flag TRUE; ","")))))</f>
        <v/>
      </c>
    </row>
    <row r="257" spans="1:29">
      <c r="A257" s="36"/>
      <c r="B257" s="24"/>
      <c r="C257" s="25"/>
      <c r="D257" s="25"/>
      <c r="E257" s="25"/>
      <c r="F257" s="24"/>
      <c r="G257" s="25"/>
      <c r="H257" s="25"/>
      <c r="I257" s="25"/>
      <c r="J257" s="25"/>
      <c r="K257" s="25"/>
      <c r="L257" s="25"/>
      <c r="M257" s="25"/>
      <c r="N257" s="25" t="str">
        <f t="shared" si="3"/>
        <v/>
      </c>
      <c r="O257" s="25"/>
      <c r="P257" s="25"/>
      <c r="Q257" s="25"/>
      <c r="R257" s="25"/>
      <c r="S257" s="25"/>
      <c r="T257" s="25"/>
      <c r="U257" s="25"/>
      <c r="V257" s="25"/>
      <c r="W257" s="24"/>
      <c r="X257" s="24"/>
      <c r="Y257" s="25"/>
      <c r="Z257" s="25" t="str">
        <f>IF(B257="","",IFERROR(INDEX(الزبائن!$AZ$6:$AZ$505,MATCH(B257,الزبائن!$A$6:$A$505,0)),"source key not found"))</f>
        <v/>
      </c>
      <c r="AA257" s="25" t="str">
        <f>IF(B257="","",IFERROR(INDEX(الزبائن!$BA$6:$BA$505,MATCH(B257,الزبائن!$A$6:$A$505,0)),"source key not found"))</f>
        <v/>
      </c>
      <c r="AB257" s="25" t="str">
        <f>IF(AND(A257="",C257="",D257="",H257="",K257="",L257=""),"",IF(C257="skip","SKIP",IF(OR(A257="",C257="",D257="",H257="",K257="",L257="",S257="",COUNTIF($A$6:$A$505,A257)&gt;1,AND(B257&lt;&gt;"",COUNTIF(الزبائن!$A$6:$A$505,B257)=0),(COUNTIFS('أرقام التواصل'!$A$6:$A$505,"proposed_name",'أرقام التواصل'!$B$6:$B$505,A257,'أرقام التواصل'!$I$6:$I$505,"TRUE")+COUNTIFS('أرقام التواصل'!$A$6:$A$505,"proposed_name",'أرقام التواصل'!$B$6:$B$505,A257,'أرقام التواصل'!$C$6:$C$505,1))=0,AND(U257="TRUE",V257="")),"REVIEW","READY")))</f>
        <v/>
      </c>
      <c r="AC257" s="27" t="str">
        <f>IF(AB257="","",IF(AB257="READY","",IF(AB257="SKIP","Skipped by candidate_import_action",TRIM(IF(A257="","missing proposed_name_key; ","")&amp;IF(AND(A257&lt;&gt;"",COUNTIF($A$6:$A$505,A257)&gt;1),"duplicate proposed_name_key; ","")&amp;IF(C257="","missing candidate_import_action; ","")&amp;IF(D257="","missing move_reason; ","")&amp;IF(H257="","missing branch_id; ","")&amp;IF(K257="","missing first_name; ","")&amp;IF(L257="","missing last_name; ","")&amp;IF(S257="","missing status; ","")&amp;IF(AND(B257&lt;&gt;"",COUNTIF(الزبائن!$A$6:$A$505,B257)=0),"source key not found; ","")&amp;IF((COUNTIFS('أرقام التواصل'!$A$6:$A$505,"proposed_name",'أرقام التواصل'!$B$6:$B$505,A257,'أرقام التواصل'!$I$6:$I$505,"TRUE")+COUNTIFS('أرقام التواصل'!$A$6:$A$505,"proposed_name",'أرقام التواصل'!$B$6:$B$505,A257,'أرقام التواصل'!$C$6:$C$505,1))=0,"missing primary contact in أرقام التواصل; ","")&amp;IF(AND(U257="TRUE",V257=""),"duplicate_type required when duplicate_flag TRUE; ","")))))</f>
        <v/>
      </c>
    </row>
    <row r="258" spans="1:29">
      <c r="A258" s="36"/>
      <c r="B258" s="24"/>
      <c r="C258" s="25"/>
      <c r="D258" s="25"/>
      <c r="E258" s="25"/>
      <c r="F258" s="24"/>
      <c r="G258" s="25"/>
      <c r="H258" s="25"/>
      <c r="I258" s="25"/>
      <c r="J258" s="25"/>
      <c r="K258" s="25"/>
      <c r="L258" s="25"/>
      <c r="M258" s="25"/>
      <c r="N258" s="25" t="str">
        <f t="shared" si="3"/>
        <v/>
      </c>
      <c r="O258" s="25"/>
      <c r="P258" s="25"/>
      <c r="Q258" s="25"/>
      <c r="R258" s="25"/>
      <c r="S258" s="25"/>
      <c r="T258" s="25"/>
      <c r="U258" s="25"/>
      <c r="V258" s="25"/>
      <c r="W258" s="24"/>
      <c r="X258" s="24"/>
      <c r="Y258" s="25"/>
      <c r="Z258" s="25" t="str">
        <f>IF(B258="","",IFERROR(INDEX(الزبائن!$AZ$6:$AZ$505,MATCH(B258,الزبائن!$A$6:$A$505,0)),"source key not found"))</f>
        <v/>
      </c>
      <c r="AA258" s="25" t="str">
        <f>IF(B258="","",IFERROR(INDEX(الزبائن!$BA$6:$BA$505,MATCH(B258,الزبائن!$A$6:$A$505,0)),"source key not found"))</f>
        <v/>
      </c>
      <c r="AB258" s="25" t="str">
        <f>IF(AND(A258="",C258="",D258="",H258="",K258="",L258=""),"",IF(C258="skip","SKIP",IF(OR(A258="",C258="",D258="",H258="",K258="",L258="",S258="",COUNTIF($A$6:$A$505,A258)&gt;1,AND(B258&lt;&gt;"",COUNTIF(الزبائن!$A$6:$A$505,B258)=0),(COUNTIFS('أرقام التواصل'!$A$6:$A$505,"proposed_name",'أرقام التواصل'!$B$6:$B$505,A258,'أرقام التواصل'!$I$6:$I$505,"TRUE")+COUNTIFS('أرقام التواصل'!$A$6:$A$505,"proposed_name",'أرقام التواصل'!$B$6:$B$505,A258,'أرقام التواصل'!$C$6:$C$505,1))=0,AND(U258="TRUE",V258="")),"REVIEW","READY")))</f>
        <v/>
      </c>
      <c r="AC258" s="27" t="str">
        <f>IF(AB258="","",IF(AB258="READY","",IF(AB258="SKIP","Skipped by candidate_import_action",TRIM(IF(A258="","missing proposed_name_key; ","")&amp;IF(AND(A258&lt;&gt;"",COUNTIF($A$6:$A$505,A258)&gt;1),"duplicate proposed_name_key; ","")&amp;IF(C258="","missing candidate_import_action; ","")&amp;IF(D258="","missing move_reason; ","")&amp;IF(H258="","missing branch_id; ","")&amp;IF(K258="","missing first_name; ","")&amp;IF(L258="","missing last_name; ","")&amp;IF(S258="","missing status; ","")&amp;IF(AND(B258&lt;&gt;"",COUNTIF(الزبائن!$A$6:$A$505,B258)=0),"source key not found; ","")&amp;IF((COUNTIFS('أرقام التواصل'!$A$6:$A$505,"proposed_name",'أرقام التواصل'!$B$6:$B$505,A258,'أرقام التواصل'!$I$6:$I$505,"TRUE")+COUNTIFS('أرقام التواصل'!$A$6:$A$505,"proposed_name",'أرقام التواصل'!$B$6:$B$505,A258,'أرقام التواصل'!$C$6:$C$505,1))=0,"missing primary contact in أرقام التواصل; ","")&amp;IF(AND(U258="TRUE",V258=""),"duplicate_type required when duplicate_flag TRUE; ","")))))</f>
        <v/>
      </c>
    </row>
    <row r="259" spans="1:29">
      <c r="A259" s="36"/>
      <c r="B259" s="24"/>
      <c r="C259" s="25"/>
      <c r="D259" s="25"/>
      <c r="E259" s="25"/>
      <c r="F259" s="24"/>
      <c r="G259" s="25"/>
      <c r="H259" s="25"/>
      <c r="I259" s="25"/>
      <c r="J259" s="25"/>
      <c r="K259" s="25"/>
      <c r="L259" s="25"/>
      <c r="M259" s="25"/>
      <c r="N259" s="25" t="str">
        <f t="shared" si="3"/>
        <v/>
      </c>
      <c r="O259" s="25"/>
      <c r="P259" s="25"/>
      <c r="Q259" s="25"/>
      <c r="R259" s="25"/>
      <c r="S259" s="25"/>
      <c r="T259" s="25"/>
      <c r="U259" s="25"/>
      <c r="V259" s="25"/>
      <c r="W259" s="24"/>
      <c r="X259" s="24"/>
      <c r="Y259" s="25"/>
      <c r="Z259" s="25" t="str">
        <f>IF(B259="","",IFERROR(INDEX(الزبائن!$AZ$6:$AZ$505,MATCH(B259,الزبائن!$A$6:$A$505,0)),"source key not found"))</f>
        <v/>
      </c>
      <c r="AA259" s="25" t="str">
        <f>IF(B259="","",IFERROR(INDEX(الزبائن!$BA$6:$BA$505,MATCH(B259,الزبائن!$A$6:$A$505,0)),"source key not found"))</f>
        <v/>
      </c>
      <c r="AB259" s="25" t="str">
        <f>IF(AND(A259="",C259="",D259="",H259="",K259="",L259=""),"",IF(C259="skip","SKIP",IF(OR(A259="",C259="",D259="",H259="",K259="",L259="",S259="",COUNTIF($A$6:$A$505,A259)&gt;1,AND(B259&lt;&gt;"",COUNTIF(الزبائن!$A$6:$A$505,B259)=0),(COUNTIFS('أرقام التواصل'!$A$6:$A$505,"proposed_name",'أرقام التواصل'!$B$6:$B$505,A259,'أرقام التواصل'!$I$6:$I$505,"TRUE")+COUNTIFS('أرقام التواصل'!$A$6:$A$505,"proposed_name",'أرقام التواصل'!$B$6:$B$505,A259,'أرقام التواصل'!$C$6:$C$505,1))=0,AND(U259="TRUE",V259="")),"REVIEW","READY")))</f>
        <v/>
      </c>
      <c r="AC259" s="27" t="str">
        <f>IF(AB259="","",IF(AB259="READY","",IF(AB259="SKIP","Skipped by candidate_import_action",TRIM(IF(A259="","missing proposed_name_key; ","")&amp;IF(AND(A259&lt;&gt;"",COUNTIF($A$6:$A$505,A259)&gt;1),"duplicate proposed_name_key; ","")&amp;IF(C259="","missing candidate_import_action; ","")&amp;IF(D259="","missing move_reason; ","")&amp;IF(H259="","missing branch_id; ","")&amp;IF(K259="","missing first_name; ","")&amp;IF(L259="","missing last_name; ","")&amp;IF(S259="","missing status; ","")&amp;IF(AND(B259&lt;&gt;"",COUNTIF(الزبائن!$A$6:$A$505,B259)=0),"source key not found; ","")&amp;IF((COUNTIFS('أرقام التواصل'!$A$6:$A$505,"proposed_name",'أرقام التواصل'!$B$6:$B$505,A259,'أرقام التواصل'!$I$6:$I$505,"TRUE")+COUNTIFS('أرقام التواصل'!$A$6:$A$505,"proposed_name",'أرقام التواصل'!$B$6:$B$505,A259,'أرقام التواصل'!$C$6:$C$505,1))=0,"missing primary contact in أرقام التواصل; ","")&amp;IF(AND(U259="TRUE",V259=""),"duplicate_type required when duplicate_flag TRUE; ","")))))</f>
        <v/>
      </c>
    </row>
    <row r="260" spans="1:29">
      <c r="A260" s="36"/>
      <c r="B260" s="24"/>
      <c r="C260" s="25"/>
      <c r="D260" s="25"/>
      <c r="E260" s="25"/>
      <c r="F260" s="24"/>
      <c r="G260" s="25"/>
      <c r="H260" s="25"/>
      <c r="I260" s="25"/>
      <c r="J260" s="25"/>
      <c r="K260" s="25"/>
      <c r="L260" s="25"/>
      <c r="M260" s="25"/>
      <c r="N260" s="25" t="str">
        <f t="shared" si="3"/>
        <v/>
      </c>
      <c r="O260" s="25"/>
      <c r="P260" s="25"/>
      <c r="Q260" s="25"/>
      <c r="R260" s="25"/>
      <c r="S260" s="25"/>
      <c r="T260" s="25"/>
      <c r="U260" s="25"/>
      <c r="V260" s="25"/>
      <c r="W260" s="24"/>
      <c r="X260" s="24"/>
      <c r="Y260" s="25"/>
      <c r="Z260" s="25" t="str">
        <f>IF(B260="","",IFERROR(INDEX(الزبائن!$AZ$6:$AZ$505,MATCH(B260,الزبائن!$A$6:$A$505,0)),"source key not found"))</f>
        <v/>
      </c>
      <c r="AA260" s="25" t="str">
        <f>IF(B260="","",IFERROR(INDEX(الزبائن!$BA$6:$BA$505,MATCH(B260,الزبائن!$A$6:$A$505,0)),"source key not found"))</f>
        <v/>
      </c>
      <c r="AB260" s="25" t="str">
        <f>IF(AND(A260="",C260="",D260="",H260="",K260="",L260=""),"",IF(C260="skip","SKIP",IF(OR(A260="",C260="",D260="",H260="",K260="",L260="",S260="",COUNTIF($A$6:$A$505,A260)&gt;1,AND(B260&lt;&gt;"",COUNTIF(الزبائن!$A$6:$A$505,B260)=0),(COUNTIFS('أرقام التواصل'!$A$6:$A$505,"proposed_name",'أرقام التواصل'!$B$6:$B$505,A260,'أرقام التواصل'!$I$6:$I$505,"TRUE")+COUNTIFS('أرقام التواصل'!$A$6:$A$505,"proposed_name",'أرقام التواصل'!$B$6:$B$505,A260,'أرقام التواصل'!$C$6:$C$505,1))=0,AND(U260="TRUE",V260="")),"REVIEW","READY")))</f>
        <v/>
      </c>
      <c r="AC260" s="27" t="str">
        <f>IF(AB260="","",IF(AB260="READY","",IF(AB260="SKIP","Skipped by candidate_import_action",TRIM(IF(A260="","missing proposed_name_key; ","")&amp;IF(AND(A260&lt;&gt;"",COUNTIF($A$6:$A$505,A260)&gt;1),"duplicate proposed_name_key; ","")&amp;IF(C260="","missing candidate_import_action; ","")&amp;IF(D260="","missing move_reason; ","")&amp;IF(H260="","missing branch_id; ","")&amp;IF(K260="","missing first_name; ","")&amp;IF(L260="","missing last_name; ","")&amp;IF(S260="","missing status; ","")&amp;IF(AND(B260&lt;&gt;"",COUNTIF(الزبائن!$A$6:$A$505,B260)=0),"source key not found; ","")&amp;IF((COUNTIFS('أرقام التواصل'!$A$6:$A$505,"proposed_name",'أرقام التواصل'!$B$6:$B$505,A260,'أرقام التواصل'!$I$6:$I$505,"TRUE")+COUNTIFS('أرقام التواصل'!$A$6:$A$505,"proposed_name",'أرقام التواصل'!$B$6:$B$505,A260,'أرقام التواصل'!$C$6:$C$505,1))=0,"missing primary contact in أرقام التواصل; ","")&amp;IF(AND(U260="TRUE",V260=""),"duplicate_type required when duplicate_flag TRUE; ","")))))</f>
        <v/>
      </c>
    </row>
    <row r="261" spans="1:29">
      <c r="A261" s="36"/>
      <c r="B261" s="24"/>
      <c r="C261" s="25"/>
      <c r="D261" s="25"/>
      <c r="E261" s="25"/>
      <c r="F261" s="24"/>
      <c r="G261" s="25"/>
      <c r="H261" s="25"/>
      <c r="I261" s="25"/>
      <c r="J261" s="25"/>
      <c r="K261" s="25"/>
      <c r="L261" s="25"/>
      <c r="M261" s="25"/>
      <c r="N261" s="25" t="str">
        <f t="shared" si="3"/>
        <v/>
      </c>
      <c r="O261" s="25"/>
      <c r="P261" s="25"/>
      <c r="Q261" s="25"/>
      <c r="R261" s="25"/>
      <c r="S261" s="25"/>
      <c r="T261" s="25"/>
      <c r="U261" s="25"/>
      <c r="V261" s="25"/>
      <c r="W261" s="24"/>
      <c r="X261" s="24"/>
      <c r="Y261" s="25"/>
      <c r="Z261" s="25" t="str">
        <f>IF(B261="","",IFERROR(INDEX(الزبائن!$AZ$6:$AZ$505,MATCH(B261,الزبائن!$A$6:$A$505,0)),"source key not found"))</f>
        <v/>
      </c>
      <c r="AA261" s="25" t="str">
        <f>IF(B261="","",IFERROR(INDEX(الزبائن!$BA$6:$BA$505,MATCH(B261,الزبائن!$A$6:$A$505,0)),"source key not found"))</f>
        <v/>
      </c>
      <c r="AB261" s="25" t="str">
        <f>IF(AND(A261="",C261="",D261="",H261="",K261="",L261=""),"",IF(C261="skip","SKIP",IF(OR(A261="",C261="",D261="",H261="",K261="",L261="",S261="",COUNTIF($A$6:$A$505,A261)&gt;1,AND(B261&lt;&gt;"",COUNTIF(الزبائن!$A$6:$A$505,B261)=0),(COUNTIFS('أرقام التواصل'!$A$6:$A$505,"proposed_name",'أرقام التواصل'!$B$6:$B$505,A261,'أرقام التواصل'!$I$6:$I$505,"TRUE")+COUNTIFS('أرقام التواصل'!$A$6:$A$505,"proposed_name",'أرقام التواصل'!$B$6:$B$505,A261,'أرقام التواصل'!$C$6:$C$505,1))=0,AND(U261="TRUE",V261="")),"REVIEW","READY")))</f>
        <v/>
      </c>
      <c r="AC261" s="27" t="str">
        <f>IF(AB261="","",IF(AB261="READY","",IF(AB261="SKIP","Skipped by candidate_import_action",TRIM(IF(A261="","missing proposed_name_key; ","")&amp;IF(AND(A261&lt;&gt;"",COUNTIF($A$6:$A$505,A261)&gt;1),"duplicate proposed_name_key; ","")&amp;IF(C261="","missing candidate_import_action; ","")&amp;IF(D261="","missing move_reason; ","")&amp;IF(H261="","missing branch_id; ","")&amp;IF(K261="","missing first_name; ","")&amp;IF(L261="","missing last_name; ","")&amp;IF(S261="","missing status; ","")&amp;IF(AND(B261&lt;&gt;"",COUNTIF(الزبائن!$A$6:$A$505,B261)=0),"source key not found; ","")&amp;IF((COUNTIFS('أرقام التواصل'!$A$6:$A$505,"proposed_name",'أرقام التواصل'!$B$6:$B$505,A261,'أرقام التواصل'!$I$6:$I$505,"TRUE")+COUNTIFS('أرقام التواصل'!$A$6:$A$505,"proposed_name",'أرقام التواصل'!$B$6:$B$505,A261,'أرقام التواصل'!$C$6:$C$505,1))=0,"missing primary contact in أرقام التواصل; ","")&amp;IF(AND(U261="TRUE",V261=""),"duplicate_type required when duplicate_flag TRUE; ","")))))</f>
        <v/>
      </c>
    </row>
    <row r="262" spans="1:29">
      <c r="A262" s="36"/>
      <c r="B262" s="24"/>
      <c r="C262" s="25"/>
      <c r="D262" s="25"/>
      <c r="E262" s="25"/>
      <c r="F262" s="24"/>
      <c r="G262" s="25"/>
      <c r="H262" s="25"/>
      <c r="I262" s="25"/>
      <c r="J262" s="25"/>
      <c r="K262" s="25"/>
      <c r="L262" s="25"/>
      <c r="M262" s="25"/>
      <c r="N262" s="25" t="str">
        <f t="shared" ref="N262:N325" si="4">IF(TRIM(K262&amp;" "&amp;L262&amp;IF(M262&lt;&gt;""," ("&amp;M262&amp;")",""))="","",TRIM(K262&amp;" "&amp;L262&amp;IF(M262&lt;&gt;""," ("&amp;M262&amp;")","")))</f>
        <v/>
      </c>
      <c r="O262" s="25"/>
      <c r="P262" s="25"/>
      <c r="Q262" s="25"/>
      <c r="R262" s="25"/>
      <c r="S262" s="25"/>
      <c r="T262" s="25"/>
      <c r="U262" s="25"/>
      <c r="V262" s="25"/>
      <c r="W262" s="24"/>
      <c r="X262" s="24"/>
      <c r="Y262" s="25"/>
      <c r="Z262" s="25" t="str">
        <f>IF(B262="","",IFERROR(INDEX(الزبائن!$AZ$6:$AZ$505,MATCH(B262,الزبائن!$A$6:$A$505,0)),"source key not found"))</f>
        <v/>
      </c>
      <c r="AA262" s="25" t="str">
        <f>IF(B262="","",IFERROR(INDEX(الزبائن!$BA$6:$BA$505,MATCH(B262,الزبائن!$A$6:$A$505,0)),"source key not found"))</f>
        <v/>
      </c>
      <c r="AB262" s="25" t="str">
        <f>IF(AND(A262="",C262="",D262="",H262="",K262="",L262=""),"",IF(C262="skip","SKIP",IF(OR(A262="",C262="",D262="",H262="",K262="",L262="",S262="",COUNTIF($A$6:$A$505,A262)&gt;1,AND(B262&lt;&gt;"",COUNTIF(الزبائن!$A$6:$A$505,B262)=0),(COUNTIFS('أرقام التواصل'!$A$6:$A$505,"proposed_name",'أرقام التواصل'!$B$6:$B$505,A262,'أرقام التواصل'!$I$6:$I$505,"TRUE")+COUNTIFS('أرقام التواصل'!$A$6:$A$505,"proposed_name",'أرقام التواصل'!$B$6:$B$505,A262,'أرقام التواصل'!$C$6:$C$505,1))=0,AND(U262="TRUE",V262="")),"REVIEW","READY")))</f>
        <v/>
      </c>
      <c r="AC262" s="27" t="str">
        <f>IF(AB262="","",IF(AB262="READY","",IF(AB262="SKIP","Skipped by candidate_import_action",TRIM(IF(A262="","missing proposed_name_key; ","")&amp;IF(AND(A262&lt;&gt;"",COUNTIF($A$6:$A$505,A262)&gt;1),"duplicate proposed_name_key; ","")&amp;IF(C262="","missing candidate_import_action; ","")&amp;IF(D262="","missing move_reason; ","")&amp;IF(H262="","missing branch_id; ","")&amp;IF(K262="","missing first_name; ","")&amp;IF(L262="","missing last_name; ","")&amp;IF(S262="","missing status; ","")&amp;IF(AND(B262&lt;&gt;"",COUNTIF(الزبائن!$A$6:$A$505,B262)=0),"source key not found; ","")&amp;IF((COUNTIFS('أرقام التواصل'!$A$6:$A$505,"proposed_name",'أرقام التواصل'!$B$6:$B$505,A262,'أرقام التواصل'!$I$6:$I$505,"TRUE")+COUNTIFS('أرقام التواصل'!$A$6:$A$505,"proposed_name",'أرقام التواصل'!$B$6:$B$505,A262,'أرقام التواصل'!$C$6:$C$505,1))=0,"missing primary contact in أرقام التواصل; ","")&amp;IF(AND(U262="TRUE",V262=""),"duplicate_type required when duplicate_flag TRUE; ","")))))</f>
        <v/>
      </c>
    </row>
    <row r="263" spans="1:29">
      <c r="A263" s="36"/>
      <c r="B263" s="24"/>
      <c r="C263" s="25"/>
      <c r="D263" s="25"/>
      <c r="E263" s="25"/>
      <c r="F263" s="24"/>
      <c r="G263" s="25"/>
      <c r="H263" s="25"/>
      <c r="I263" s="25"/>
      <c r="J263" s="25"/>
      <c r="K263" s="25"/>
      <c r="L263" s="25"/>
      <c r="M263" s="25"/>
      <c r="N263" s="25" t="str">
        <f t="shared" si="4"/>
        <v/>
      </c>
      <c r="O263" s="25"/>
      <c r="P263" s="25"/>
      <c r="Q263" s="25"/>
      <c r="R263" s="25"/>
      <c r="S263" s="25"/>
      <c r="T263" s="25"/>
      <c r="U263" s="25"/>
      <c r="V263" s="25"/>
      <c r="W263" s="24"/>
      <c r="X263" s="24"/>
      <c r="Y263" s="25"/>
      <c r="Z263" s="25" t="str">
        <f>IF(B263="","",IFERROR(INDEX(الزبائن!$AZ$6:$AZ$505,MATCH(B263,الزبائن!$A$6:$A$505,0)),"source key not found"))</f>
        <v/>
      </c>
      <c r="AA263" s="25" t="str">
        <f>IF(B263="","",IFERROR(INDEX(الزبائن!$BA$6:$BA$505,MATCH(B263,الزبائن!$A$6:$A$505,0)),"source key not found"))</f>
        <v/>
      </c>
      <c r="AB263" s="25" t="str">
        <f>IF(AND(A263="",C263="",D263="",H263="",K263="",L263=""),"",IF(C263="skip","SKIP",IF(OR(A263="",C263="",D263="",H263="",K263="",L263="",S263="",COUNTIF($A$6:$A$505,A263)&gt;1,AND(B263&lt;&gt;"",COUNTIF(الزبائن!$A$6:$A$505,B263)=0),(COUNTIFS('أرقام التواصل'!$A$6:$A$505,"proposed_name",'أرقام التواصل'!$B$6:$B$505,A263,'أرقام التواصل'!$I$6:$I$505,"TRUE")+COUNTIFS('أرقام التواصل'!$A$6:$A$505,"proposed_name",'أرقام التواصل'!$B$6:$B$505,A263,'أرقام التواصل'!$C$6:$C$505,1))=0,AND(U263="TRUE",V263="")),"REVIEW","READY")))</f>
        <v/>
      </c>
      <c r="AC263" s="27" t="str">
        <f>IF(AB263="","",IF(AB263="READY","",IF(AB263="SKIP","Skipped by candidate_import_action",TRIM(IF(A263="","missing proposed_name_key; ","")&amp;IF(AND(A263&lt;&gt;"",COUNTIF($A$6:$A$505,A263)&gt;1),"duplicate proposed_name_key; ","")&amp;IF(C263="","missing candidate_import_action; ","")&amp;IF(D263="","missing move_reason; ","")&amp;IF(H263="","missing branch_id; ","")&amp;IF(K263="","missing first_name; ","")&amp;IF(L263="","missing last_name; ","")&amp;IF(S263="","missing status; ","")&amp;IF(AND(B263&lt;&gt;"",COUNTIF(الزبائن!$A$6:$A$505,B263)=0),"source key not found; ","")&amp;IF((COUNTIFS('أرقام التواصل'!$A$6:$A$505,"proposed_name",'أرقام التواصل'!$B$6:$B$505,A263,'أرقام التواصل'!$I$6:$I$505,"TRUE")+COUNTIFS('أرقام التواصل'!$A$6:$A$505,"proposed_name",'أرقام التواصل'!$B$6:$B$505,A263,'أرقام التواصل'!$C$6:$C$505,1))=0,"missing primary contact in أرقام التواصل; ","")&amp;IF(AND(U263="TRUE",V263=""),"duplicate_type required when duplicate_flag TRUE; ","")))))</f>
        <v/>
      </c>
    </row>
    <row r="264" spans="1:29">
      <c r="A264" s="36"/>
      <c r="B264" s="24"/>
      <c r="C264" s="25"/>
      <c r="D264" s="25"/>
      <c r="E264" s="25"/>
      <c r="F264" s="24"/>
      <c r="G264" s="25"/>
      <c r="H264" s="25"/>
      <c r="I264" s="25"/>
      <c r="J264" s="25"/>
      <c r="K264" s="25"/>
      <c r="L264" s="25"/>
      <c r="M264" s="25"/>
      <c r="N264" s="25" t="str">
        <f t="shared" si="4"/>
        <v/>
      </c>
      <c r="O264" s="25"/>
      <c r="P264" s="25"/>
      <c r="Q264" s="25"/>
      <c r="R264" s="25"/>
      <c r="S264" s="25"/>
      <c r="T264" s="25"/>
      <c r="U264" s="25"/>
      <c r="V264" s="25"/>
      <c r="W264" s="24"/>
      <c r="X264" s="24"/>
      <c r="Y264" s="25"/>
      <c r="Z264" s="25" t="str">
        <f>IF(B264="","",IFERROR(INDEX(الزبائن!$AZ$6:$AZ$505,MATCH(B264,الزبائن!$A$6:$A$505,0)),"source key not found"))</f>
        <v/>
      </c>
      <c r="AA264" s="25" t="str">
        <f>IF(B264="","",IFERROR(INDEX(الزبائن!$BA$6:$BA$505,MATCH(B264,الزبائن!$A$6:$A$505,0)),"source key not found"))</f>
        <v/>
      </c>
      <c r="AB264" s="25" t="str">
        <f>IF(AND(A264="",C264="",D264="",H264="",K264="",L264=""),"",IF(C264="skip","SKIP",IF(OR(A264="",C264="",D264="",H264="",K264="",L264="",S264="",COUNTIF($A$6:$A$505,A264)&gt;1,AND(B264&lt;&gt;"",COUNTIF(الزبائن!$A$6:$A$505,B264)=0),(COUNTIFS('أرقام التواصل'!$A$6:$A$505,"proposed_name",'أرقام التواصل'!$B$6:$B$505,A264,'أرقام التواصل'!$I$6:$I$505,"TRUE")+COUNTIFS('أرقام التواصل'!$A$6:$A$505,"proposed_name",'أرقام التواصل'!$B$6:$B$505,A264,'أرقام التواصل'!$C$6:$C$505,1))=0,AND(U264="TRUE",V264="")),"REVIEW","READY")))</f>
        <v/>
      </c>
      <c r="AC264" s="27" t="str">
        <f>IF(AB264="","",IF(AB264="READY","",IF(AB264="SKIP","Skipped by candidate_import_action",TRIM(IF(A264="","missing proposed_name_key; ","")&amp;IF(AND(A264&lt;&gt;"",COUNTIF($A$6:$A$505,A264)&gt;1),"duplicate proposed_name_key; ","")&amp;IF(C264="","missing candidate_import_action; ","")&amp;IF(D264="","missing move_reason; ","")&amp;IF(H264="","missing branch_id; ","")&amp;IF(K264="","missing first_name; ","")&amp;IF(L264="","missing last_name; ","")&amp;IF(S264="","missing status; ","")&amp;IF(AND(B264&lt;&gt;"",COUNTIF(الزبائن!$A$6:$A$505,B264)=0),"source key not found; ","")&amp;IF((COUNTIFS('أرقام التواصل'!$A$6:$A$505,"proposed_name",'أرقام التواصل'!$B$6:$B$505,A264,'أرقام التواصل'!$I$6:$I$505,"TRUE")+COUNTIFS('أرقام التواصل'!$A$6:$A$505,"proposed_name",'أرقام التواصل'!$B$6:$B$505,A264,'أرقام التواصل'!$C$6:$C$505,1))=0,"missing primary contact in أرقام التواصل; ","")&amp;IF(AND(U264="TRUE",V264=""),"duplicate_type required when duplicate_flag TRUE; ","")))))</f>
        <v/>
      </c>
    </row>
    <row r="265" spans="1:29">
      <c r="A265" s="36"/>
      <c r="B265" s="24"/>
      <c r="C265" s="25"/>
      <c r="D265" s="25"/>
      <c r="E265" s="25"/>
      <c r="F265" s="24"/>
      <c r="G265" s="25"/>
      <c r="H265" s="25"/>
      <c r="I265" s="25"/>
      <c r="J265" s="25"/>
      <c r="K265" s="25"/>
      <c r="L265" s="25"/>
      <c r="M265" s="25"/>
      <c r="N265" s="25" t="str">
        <f t="shared" si="4"/>
        <v/>
      </c>
      <c r="O265" s="25"/>
      <c r="P265" s="25"/>
      <c r="Q265" s="25"/>
      <c r="R265" s="25"/>
      <c r="S265" s="25"/>
      <c r="T265" s="25"/>
      <c r="U265" s="25"/>
      <c r="V265" s="25"/>
      <c r="W265" s="24"/>
      <c r="X265" s="24"/>
      <c r="Y265" s="25"/>
      <c r="Z265" s="25" t="str">
        <f>IF(B265="","",IFERROR(INDEX(الزبائن!$AZ$6:$AZ$505,MATCH(B265,الزبائن!$A$6:$A$505,0)),"source key not found"))</f>
        <v/>
      </c>
      <c r="AA265" s="25" t="str">
        <f>IF(B265="","",IFERROR(INDEX(الزبائن!$BA$6:$BA$505,MATCH(B265,الزبائن!$A$6:$A$505,0)),"source key not found"))</f>
        <v/>
      </c>
      <c r="AB265" s="25" t="str">
        <f>IF(AND(A265="",C265="",D265="",H265="",K265="",L265=""),"",IF(C265="skip","SKIP",IF(OR(A265="",C265="",D265="",H265="",K265="",L265="",S265="",COUNTIF($A$6:$A$505,A265)&gt;1,AND(B265&lt;&gt;"",COUNTIF(الزبائن!$A$6:$A$505,B265)=0),(COUNTIFS('أرقام التواصل'!$A$6:$A$505,"proposed_name",'أرقام التواصل'!$B$6:$B$505,A265,'أرقام التواصل'!$I$6:$I$505,"TRUE")+COUNTIFS('أرقام التواصل'!$A$6:$A$505,"proposed_name",'أرقام التواصل'!$B$6:$B$505,A265,'أرقام التواصل'!$C$6:$C$505,1))=0,AND(U265="TRUE",V265="")),"REVIEW","READY")))</f>
        <v/>
      </c>
      <c r="AC265" s="27" t="str">
        <f>IF(AB265="","",IF(AB265="READY","",IF(AB265="SKIP","Skipped by candidate_import_action",TRIM(IF(A265="","missing proposed_name_key; ","")&amp;IF(AND(A265&lt;&gt;"",COUNTIF($A$6:$A$505,A265)&gt;1),"duplicate proposed_name_key; ","")&amp;IF(C265="","missing candidate_import_action; ","")&amp;IF(D265="","missing move_reason; ","")&amp;IF(H265="","missing branch_id; ","")&amp;IF(K265="","missing first_name; ","")&amp;IF(L265="","missing last_name; ","")&amp;IF(S265="","missing status; ","")&amp;IF(AND(B265&lt;&gt;"",COUNTIF(الزبائن!$A$6:$A$505,B265)=0),"source key not found; ","")&amp;IF((COUNTIFS('أرقام التواصل'!$A$6:$A$505,"proposed_name",'أرقام التواصل'!$B$6:$B$505,A265,'أرقام التواصل'!$I$6:$I$505,"TRUE")+COUNTIFS('أرقام التواصل'!$A$6:$A$505,"proposed_name",'أرقام التواصل'!$B$6:$B$505,A265,'أرقام التواصل'!$C$6:$C$505,1))=0,"missing primary contact in أرقام التواصل; ","")&amp;IF(AND(U265="TRUE",V265=""),"duplicate_type required when duplicate_flag TRUE; ","")))))</f>
        <v/>
      </c>
    </row>
    <row r="266" spans="1:29">
      <c r="A266" s="36"/>
      <c r="B266" s="24"/>
      <c r="C266" s="25"/>
      <c r="D266" s="25"/>
      <c r="E266" s="25"/>
      <c r="F266" s="24"/>
      <c r="G266" s="25"/>
      <c r="H266" s="25"/>
      <c r="I266" s="25"/>
      <c r="J266" s="25"/>
      <c r="K266" s="25"/>
      <c r="L266" s="25"/>
      <c r="M266" s="25"/>
      <c r="N266" s="25" t="str">
        <f t="shared" si="4"/>
        <v/>
      </c>
      <c r="O266" s="25"/>
      <c r="P266" s="25"/>
      <c r="Q266" s="25"/>
      <c r="R266" s="25"/>
      <c r="S266" s="25"/>
      <c r="T266" s="25"/>
      <c r="U266" s="25"/>
      <c r="V266" s="25"/>
      <c r="W266" s="24"/>
      <c r="X266" s="24"/>
      <c r="Y266" s="25"/>
      <c r="Z266" s="25" t="str">
        <f>IF(B266="","",IFERROR(INDEX(الزبائن!$AZ$6:$AZ$505,MATCH(B266,الزبائن!$A$6:$A$505,0)),"source key not found"))</f>
        <v/>
      </c>
      <c r="AA266" s="25" t="str">
        <f>IF(B266="","",IFERROR(INDEX(الزبائن!$BA$6:$BA$505,MATCH(B266,الزبائن!$A$6:$A$505,0)),"source key not found"))</f>
        <v/>
      </c>
      <c r="AB266" s="25" t="str">
        <f>IF(AND(A266="",C266="",D266="",H266="",K266="",L266=""),"",IF(C266="skip","SKIP",IF(OR(A266="",C266="",D266="",H266="",K266="",L266="",S266="",COUNTIF($A$6:$A$505,A266)&gt;1,AND(B266&lt;&gt;"",COUNTIF(الزبائن!$A$6:$A$505,B266)=0),(COUNTIFS('أرقام التواصل'!$A$6:$A$505,"proposed_name",'أرقام التواصل'!$B$6:$B$505,A266,'أرقام التواصل'!$I$6:$I$505,"TRUE")+COUNTIFS('أرقام التواصل'!$A$6:$A$505,"proposed_name",'أرقام التواصل'!$B$6:$B$505,A266,'أرقام التواصل'!$C$6:$C$505,1))=0,AND(U266="TRUE",V266="")),"REVIEW","READY")))</f>
        <v/>
      </c>
      <c r="AC266" s="27" t="str">
        <f>IF(AB266="","",IF(AB266="READY","",IF(AB266="SKIP","Skipped by candidate_import_action",TRIM(IF(A266="","missing proposed_name_key; ","")&amp;IF(AND(A266&lt;&gt;"",COUNTIF($A$6:$A$505,A266)&gt;1),"duplicate proposed_name_key; ","")&amp;IF(C266="","missing candidate_import_action; ","")&amp;IF(D266="","missing move_reason; ","")&amp;IF(H266="","missing branch_id; ","")&amp;IF(K266="","missing first_name; ","")&amp;IF(L266="","missing last_name; ","")&amp;IF(S266="","missing status; ","")&amp;IF(AND(B266&lt;&gt;"",COUNTIF(الزبائن!$A$6:$A$505,B266)=0),"source key not found; ","")&amp;IF((COUNTIFS('أرقام التواصل'!$A$6:$A$505,"proposed_name",'أرقام التواصل'!$B$6:$B$505,A266,'أرقام التواصل'!$I$6:$I$505,"TRUE")+COUNTIFS('أرقام التواصل'!$A$6:$A$505,"proposed_name",'أرقام التواصل'!$B$6:$B$505,A266,'أرقام التواصل'!$C$6:$C$505,1))=0,"missing primary contact in أرقام التواصل; ","")&amp;IF(AND(U266="TRUE",V266=""),"duplicate_type required when duplicate_flag TRUE; ","")))))</f>
        <v/>
      </c>
    </row>
    <row r="267" spans="1:29">
      <c r="A267" s="36"/>
      <c r="B267" s="24"/>
      <c r="C267" s="25"/>
      <c r="D267" s="25"/>
      <c r="E267" s="25"/>
      <c r="F267" s="24"/>
      <c r="G267" s="25"/>
      <c r="H267" s="25"/>
      <c r="I267" s="25"/>
      <c r="J267" s="25"/>
      <c r="K267" s="25"/>
      <c r="L267" s="25"/>
      <c r="M267" s="25"/>
      <c r="N267" s="25" t="str">
        <f t="shared" si="4"/>
        <v/>
      </c>
      <c r="O267" s="25"/>
      <c r="P267" s="25"/>
      <c r="Q267" s="25"/>
      <c r="R267" s="25"/>
      <c r="S267" s="25"/>
      <c r="T267" s="25"/>
      <c r="U267" s="25"/>
      <c r="V267" s="25"/>
      <c r="W267" s="24"/>
      <c r="X267" s="24"/>
      <c r="Y267" s="25"/>
      <c r="Z267" s="25" t="str">
        <f>IF(B267="","",IFERROR(INDEX(الزبائن!$AZ$6:$AZ$505,MATCH(B267,الزبائن!$A$6:$A$505,0)),"source key not found"))</f>
        <v/>
      </c>
      <c r="AA267" s="25" t="str">
        <f>IF(B267="","",IFERROR(INDEX(الزبائن!$BA$6:$BA$505,MATCH(B267,الزبائن!$A$6:$A$505,0)),"source key not found"))</f>
        <v/>
      </c>
      <c r="AB267" s="25" t="str">
        <f>IF(AND(A267="",C267="",D267="",H267="",K267="",L267=""),"",IF(C267="skip","SKIP",IF(OR(A267="",C267="",D267="",H267="",K267="",L267="",S267="",COUNTIF($A$6:$A$505,A267)&gt;1,AND(B267&lt;&gt;"",COUNTIF(الزبائن!$A$6:$A$505,B267)=0),(COUNTIFS('أرقام التواصل'!$A$6:$A$505,"proposed_name",'أرقام التواصل'!$B$6:$B$505,A267,'أرقام التواصل'!$I$6:$I$505,"TRUE")+COUNTIFS('أرقام التواصل'!$A$6:$A$505,"proposed_name",'أرقام التواصل'!$B$6:$B$505,A267,'أرقام التواصل'!$C$6:$C$505,1))=0,AND(U267="TRUE",V267="")),"REVIEW","READY")))</f>
        <v/>
      </c>
      <c r="AC267" s="27" t="str">
        <f>IF(AB267="","",IF(AB267="READY","",IF(AB267="SKIP","Skipped by candidate_import_action",TRIM(IF(A267="","missing proposed_name_key; ","")&amp;IF(AND(A267&lt;&gt;"",COUNTIF($A$6:$A$505,A267)&gt;1),"duplicate proposed_name_key; ","")&amp;IF(C267="","missing candidate_import_action; ","")&amp;IF(D267="","missing move_reason; ","")&amp;IF(H267="","missing branch_id; ","")&amp;IF(K267="","missing first_name; ","")&amp;IF(L267="","missing last_name; ","")&amp;IF(S267="","missing status; ","")&amp;IF(AND(B267&lt;&gt;"",COUNTIF(الزبائن!$A$6:$A$505,B267)=0),"source key not found; ","")&amp;IF((COUNTIFS('أرقام التواصل'!$A$6:$A$505,"proposed_name",'أرقام التواصل'!$B$6:$B$505,A267,'أرقام التواصل'!$I$6:$I$505,"TRUE")+COUNTIFS('أرقام التواصل'!$A$6:$A$505,"proposed_name",'أرقام التواصل'!$B$6:$B$505,A267,'أرقام التواصل'!$C$6:$C$505,1))=0,"missing primary contact in أرقام التواصل; ","")&amp;IF(AND(U267="TRUE",V267=""),"duplicate_type required when duplicate_flag TRUE; ","")))))</f>
        <v/>
      </c>
    </row>
    <row r="268" spans="1:29">
      <c r="A268" s="36"/>
      <c r="B268" s="24"/>
      <c r="C268" s="25"/>
      <c r="D268" s="25"/>
      <c r="E268" s="25"/>
      <c r="F268" s="24"/>
      <c r="G268" s="25"/>
      <c r="H268" s="25"/>
      <c r="I268" s="25"/>
      <c r="J268" s="25"/>
      <c r="K268" s="25"/>
      <c r="L268" s="25"/>
      <c r="M268" s="25"/>
      <c r="N268" s="25" t="str">
        <f t="shared" si="4"/>
        <v/>
      </c>
      <c r="O268" s="25"/>
      <c r="P268" s="25"/>
      <c r="Q268" s="25"/>
      <c r="R268" s="25"/>
      <c r="S268" s="25"/>
      <c r="T268" s="25"/>
      <c r="U268" s="25"/>
      <c r="V268" s="25"/>
      <c r="W268" s="24"/>
      <c r="X268" s="24"/>
      <c r="Y268" s="25"/>
      <c r="Z268" s="25" t="str">
        <f>IF(B268="","",IFERROR(INDEX(الزبائن!$AZ$6:$AZ$505,MATCH(B268,الزبائن!$A$6:$A$505,0)),"source key not found"))</f>
        <v/>
      </c>
      <c r="AA268" s="25" t="str">
        <f>IF(B268="","",IFERROR(INDEX(الزبائن!$BA$6:$BA$505,MATCH(B268,الزبائن!$A$6:$A$505,0)),"source key not found"))</f>
        <v/>
      </c>
      <c r="AB268" s="25" t="str">
        <f>IF(AND(A268="",C268="",D268="",H268="",K268="",L268=""),"",IF(C268="skip","SKIP",IF(OR(A268="",C268="",D268="",H268="",K268="",L268="",S268="",COUNTIF($A$6:$A$505,A268)&gt;1,AND(B268&lt;&gt;"",COUNTIF(الزبائن!$A$6:$A$505,B268)=0),(COUNTIFS('أرقام التواصل'!$A$6:$A$505,"proposed_name",'أرقام التواصل'!$B$6:$B$505,A268,'أرقام التواصل'!$I$6:$I$505,"TRUE")+COUNTIFS('أرقام التواصل'!$A$6:$A$505,"proposed_name",'أرقام التواصل'!$B$6:$B$505,A268,'أرقام التواصل'!$C$6:$C$505,1))=0,AND(U268="TRUE",V268="")),"REVIEW","READY")))</f>
        <v/>
      </c>
      <c r="AC268" s="27" t="str">
        <f>IF(AB268="","",IF(AB268="READY","",IF(AB268="SKIP","Skipped by candidate_import_action",TRIM(IF(A268="","missing proposed_name_key; ","")&amp;IF(AND(A268&lt;&gt;"",COUNTIF($A$6:$A$505,A268)&gt;1),"duplicate proposed_name_key; ","")&amp;IF(C268="","missing candidate_import_action; ","")&amp;IF(D268="","missing move_reason; ","")&amp;IF(H268="","missing branch_id; ","")&amp;IF(K268="","missing first_name; ","")&amp;IF(L268="","missing last_name; ","")&amp;IF(S268="","missing status; ","")&amp;IF(AND(B268&lt;&gt;"",COUNTIF(الزبائن!$A$6:$A$505,B268)=0),"source key not found; ","")&amp;IF((COUNTIFS('أرقام التواصل'!$A$6:$A$505,"proposed_name",'أرقام التواصل'!$B$6:$B$505,A268,'أرقام التواصل'!$I$6:$I$505,"TRUE")+COUNTIFS('أرقام التواصل'!$A$6:$A$505,"proposed_name",'أرقام التواصل'!$B$6:$B$505,A268,'أرقام التواصل'!$C$6:$C$505,1))=0,"missing primary contact in أرقام التواصل; ","")&amp;IF(AND(U268="TRUE",V268=""),"duplicate_type required when duplicate_flag TRUE; ","")))))</f>
        <v/>
      </c>
    </row>
    <row r="269" spans="1:29">
      <c r="A269" s="36"/>
      <c r="B269" s="24"/>
      <c r="C269" s="25"/>
      <c r="D269" s="25"/>
      <c r="E269" s="25"/>
      <c r="F269" s="24"/>
      <c r="G269" s="25"/>
      <c r="H269" s="25"/>
      <c r="I269" s="25"/>
      <c r="J269" s="25"/>
      <c r="K269" s="25"/>
      <c r="L269" s="25"/>
      <c r="M269" s="25"/>
      <c r="N269" s="25" t="str">
        <f t="shared" si="4"/>
        <v/>
      </c>
      <c r="O269" s="25"/>
      <c r="P269" s="25"/>
      <c r="Q269" s="25"/>
      <c r="R269" s="25"/>
      <c r="S269" s="25"/>
      <c r="T269" s="25"/>
      <c r="U269" s="25"/>
      <c r="V269" s="25"/>
      <c r="W269" s="24"/>
      <c r="X269" s="24"/>
      <c r="Y269" s="25"/>
      <c r="Z269" s="25" t="str">
        <f>IF(B269="","",IFERROR(INDEX(الزبائن!$AZ$6:$AZ$505,MATCH(B269,الزبائن!$A$6:$A$505,0)),"source key not found"))</f>
        <v/>
      </c>
      <c r="AA269" s="25" t="str">
        <f>IF(B269="","",IFERROR(INDEX(الزبائن!$BA$6:$BA$505,MATCH(B269,الزبائن!$A$6:$A$505,0)),"source key not found"))</f>
        <v/>
      </c>
      <c r="AB269" s="25" t="str">
        <f>IF(AND(A269="",C269="",D269="",H269="",K269="",L269=""),"",IF(C269="skip","SKIP",IF(OR(A269="",C269="",D269="",H269="",K269="",L269="",S269="",COUNTIF($A$6:$A$505,A269)&gt;1,AND(B269&lt;&gt;"",COUNTIF(الزبائن!$A$6:$A$505,B269)=0),(COUNTIFS('أرقام التواصل'!$A$6:$A$505,"proposed_name",'أرقام التواصل'!$B$6:$B$505,A269,'أرقام التواصل'!$I$6:$I$505,"TRUE")+COUNTIFS('أرقام التواصل'!$A$6:$A$505,"proposed_name",'أرقام التواصل'!$B$6:$B$505,A269,'أرقام التواصل'!$C$6:$C$505,1))=0,AND(U269="TRUE",V269="")),"REVIEW","READY")))</f>
        <v/>
      </c>
      <c r="AC269" s="27" t="str">
        <f>IF(AB269="","",IF(AB269="READY","",IF(AB269="SKIP","Skipped by candidate_import_action",TRIM(IF(A269="","missing proposed_name_key; ","")&amp;IF(AND(A269&lt;&gt;"",COUNTIF($A$6:$A$505,A269)&gt;1),"duplicate proposed_name_key; ","")&amp;IF(C269="","missing candidate_import_action; ","")&amp;IF(D269="","missing move_reason; ","")&amp;IF(H269="","missing branch_id; ","")&amp;IF(K269="","missing first_name; ","")&amp;IF(L269="","missing last_name; ","")&amp;IF(S269="","missing status; ","")&amp;IF(AND(B269&lt;&gt;"",COUNTIF(الزبائن!$A$6:$A$505,B269)=0),"source key not found; ","")&amp;IF((COUNTIFS('أرقام التواصل'!$A$6:$A$505,"proposed_name",'أرقام التواصل'!$B$6:$B$505,A269,'أرقام التواصل'!$I$6:$I$505,"TRUE")+COUNTIFS('أرقام التواصل'!$A$6:$A$505,"proposed_name",'أرقام التواصل'!$B$6:$B$505,A269,'أرقام التواصل'!$C$6:$C$505,1))=0,"missing primary contact in أرقام التواصل; ","")&amp;IF(AND(U269="TRUE",V269=""),"duplicate_type required when duplicate_flag TRUE; ","")))))</f>
        <v/>
      </c>
    </row>
    <row r="270" spans="1:29">
      <c r="A270" s="36"/>
      <c r="B270" s="24"/>
      <c r="C270" s="25"/>
      <c r="D270" s="25"/>
      <c r="E270" s="25"/>
      <c r="F270" s="24"/>
      <c r="G270" s="25"/>
      <c r="H270" s="25"/>
      <c r="I270" s="25"/>
      <c r="J270" s="25"/>
      <c r="K270" s="25"/>
      <c r="L270" s="25"/>
      <c r="M270" s="25"/>
      <c r="N270" s="25" t="str">
        <f t="shared" si="4"/>
        <v/>
      </c>
      <c r="O270" s="25"/>
      <c r="P270" s="25"/>
      <c r="Q270" s="25"/>
      <c r="R270" s="25"/>
      <c r="S270" s="25"/>
      <c r="T270" s="25"/>
      <c r="U270" s="25"/>
      <c r="V270" s="25"/>
      <c r="W270" s="24"/>
      <c r="X270" s="24"/>
      <c r="Y270" s="25"/>
      <c r="Z270" s="25" t="str">
        <f>IF(B270="","",IFERROR(INDEX(الزبائن!$AZ$6:$AZ$505,MATCH(B270,الزبائن!$A$6:$A$505,0)),"source key not found"))</f>
        <v/>
      </c>
      <c r="AA270" s="25" t="str">
        <f>IF(B270="","",IFERROR(INDEX(الزبائن!$BA$6:$BA$505,MATCH(B270,الزبائن!$A$6:$A$505,0)),"source key not found"))</f>
        <v/>
      </c>
      <c r="AB270" s="25" t="str">
        <f>IF(AND(A270="",C270="",D270="",H270="",K270="",L270=""),"",IF(C270="skip","SKIP",IF(OR(A270="",C270="",D270="",H270="",K270="",L270="",S270="",COUNTIF($A$6:$A$505,A270)&gt;1,AND(B270&lt;&gt;"",COUNTIF(الزبائن!$A$6:$A$505,B270)=0),(COUNTIFS('أرقام التواصل'!$A$6:$A$505,"proposed_name",'أرقام التواصل'!$B$6:$B$505,A270,'أرقام التواصل'!$I$6:$I$505,"TRUE")+COUNTIFS('أرقام التواصل'!$A$6:$A$505,"proposed_name",'أرقام التواصل'!$B$6:$B$505,A270,'أرقام التواصل'!$C$6:$C$505,1))=0,AND(U270="TRUE",V270="")),"REVIEW","READY")))</f>
        <v/>
      </c>
      <c r="AC270" s="27" t="str">
        <f>IF(AB270="","",IF(AB270="READY","",IF(AB270="SKIP","Skipped by candidate_import_action",TRIM(IF(A270="","missing proposed_name_key; ","")&amp;IF(AND(A270&lt;&gt;"",COUNTIF($A$6:$A$505,A270)&gt;1),"duplicate proposed_name_key; ","")&amp;IF(C270="","missing candidate_import_action; ","")&amp;IF(D270="","missing move_reason; ","")&amp;IF(H270="","missing branch_id; ","")&amp;IF(K270="","missing first_name; ","")&amp;IF(L270="","missing last_name; ","")&amp;IF(S270="","missing status; ","")&amp;IF(AND(B270&lt;&gt;"",COUNTIF(الزبائن!$A$6:$A$505,B270)=0),"source key not found; ","")&amp;IF((COUNTIFS('أرقام التواصل'!$A$6:$A$505,"proposed_name",'أرقام التواصل'!$B$6:$B$505,A270,'أرقام التواصل'!$I$6:$I$505,"TRUE")+COUNTIFS('أرقام التواصل'!$A$6:$A$505,"proposed_name",'أرقام التواصل'!$B$6:$B$505,A270,'أرقام التواصل'!$C$6:$C$505,1))=0,"missing primary contact in أرقام التواصل; ","")&amp;IF(AND(U270="TRUE",V270=""),"duplicate_type required when duplicate_flag TRUE; ","")))))</f>
        <v/>
      </c>
    </row>
    <row r="271" spans="1:29">
      <c r="A271" s="36"/>
      <c r="B271" s="24"/>
      <c r="C271" s="25"/>
      <c r="D271" s="25"/>
      <c r="E271" s="25"/>
      <c r="F271" s="24"/>
      <c r="G271" s="25"/>
      <c r="H271" s="25"/>
      <c r="I271" s="25"/>
      <c r="J271" s="25"/>
      <c r="K271" s="25"/>
      <c r="L271" s="25"/>
      <c r="M271" s="25"/>
      <c r="N271" s="25" t="str">
        <f t="shared" si="4"/>
        <v/>
      </c>
      <c r="O271" s="25"/>
      <c r="P271" s="25"/>
      <c r="Q271" s="25"/>
      <c r="R271" s="25"/>
      <c r="S271" s="25"/>
      <c r="T271" s="25"/>
      <c r="U271" s="25"/>
      <c r="V271" s="25"/>
      <c r="W271" s="24"/>
      <c r="X271" s="24"/>
      <c r="Y271" s="25"/>
      <c r="Z271" s="25" t="str">
        <f>IF(B271="","",IFERROR(INDEX(الزبائن!$AZ$6:$AZ$505,MATCH(B271,الزبائن!$A$6:$A$505,0)),"source key not found"))</f>
        <v/>
      </c>
      <c r="AA271" s="25" t="str">
        <f>IF(B271="","",IFERROR(INDEX(الزبائن!$BA$6:$BA$505,MATCH(B271,الزبائن!$A$6:$A$505,0)),"source key not found"))</f>
        <v/>
      </c>
      <c r="AB271" s="25" t="str">
        <f>IF(AND(A271="",C271="",D271="",H271="",K271="",L271=""),"",IF(C271="skip","SKIP",IF(OR(A271="",C271="",D271="",H271="",K271="",L271="",S271="",COUNTIF($A$6:$A$505,A271)&gt;1,AND(B271&lt;&gt;"",COUNTIF(الزبائن!$A$6:$A$505,B271)=0),(COUNTIFS('أرقام التواصل'!$A$6:$A$505,"proposed_name",'أرقام التواصل'!$B$6:$B$505,A271,'أرقام التواصل'!$I$6:$I$505,"TRUE")+COUNTIFS('أرقام التواصل'!$A$6:$A$505,"proposed_name",'أرقام التواصل'!$B$6:$B$505,A271,'أرقام التواصل'!$C$6:$C$505,1))=0,AND(U271="TRUE",V271="")),"REVIEW","READY")))</f>
        <v/>
      </c>
      <c r="AC271" s="27" t="str">
        <f>IF(AB271="","",IF(AB271="READY","",IF(AB271="SKIP","Skipped by candidate_import_action",TRIM(IF(A271="","missing proposed_name_key; ","")&amp;IF(AND(A271&lt;&gt;"",COUNTIF($A$6:$A$505,A271)&gt;1),"duplicate proposed_name_key; ","")&amp;IF(C271="","missing candidate_import_action; ","")&amp;IF(D271="","missing move_reason; ","")&amp;IF(H271="","missing branch_id; ","")&amp;IF(K271="","missing first_name; ","")&amp;IF(L271="","missing last_name; ","")&amp;IF(S271="","missing status; ","")&amp;IF(AND(B271&lt;&gt;"",COUNTIF(الزبائن!$A$6:$A$505,B271)=0),"source key not found; ","")&amp;IF((COUNTIFS('أرقام التواصل'!$A$6:$A$505,"proposed_name",'أرقام التواصل'!$B$6:$B$505,A271,'أرقام التواصل'!$I$6:$I$505,"TRUE")+COUNTIFS('أرقام التواصل'!$A$6:$A$505,"proposed_name",'أرقام التواصل'!$B$6:$B$505,A271,'أرقام التواصل'!$C$6:$C$505,1))=0,"missing primary contact in أرقام التواصل; ","")&amp;IF(AND(U271="TRUE",V271=""),"duplicate_type required when duplicate_flag TRUE; ","")))))</f>
        <v/>
      </c>
    </row>
    <row r="272" spans="1:29">
      <c r="A272" s="36"/>
      <c r="B272" s="24"/>
      <c r="C272" s="25"/>
      <c r="D272" s="25"/>
      <c r="E272" s="25"/>
      <c r="F272" s="24"/>
      <c r="G272" s="25"/>
      <c r="H272" s="25"/>
      <c r="I272" s="25"/>
      <c r="J272" s="25"/>
      <c r="K272" s="25"/>
      <c r="L272" s="25"/>
      <c r="M272" s="25"/>
      <c r="N272" s="25" t="str">
        <f t="shared" si="4"/>
        <v/>
      </c>
      <c r="O272" s="25"/>
      <c r="P272" s="25"/>
      <c r="Q272" s="25"/>
      <c r="R272" s="25"/>
      <c r="S272" s="25"/>
      <c r="T272" s="25"/>
      <c r="U272" s="25"/>
      <c r="V272" s="25"/>
      <c r="W272" s="24"/>
      <c r="X272" s="24"/>
      <c r="Y272" s="25"/>
      <c r="Z272" s="25" t="str">
        <f>IF(B272="","",IFERROR(INDEX(الزبائن!$AZ$6:$AZ$505,MATCH(B272,الزبائن!$A$6:$A$505,0)),"source key not found"))</f>
        <v/>
      </c>
      <c r="AA272" s="25" t="str">
        <f>IF(B272="","",IFERROR(INDEX(الزبائن!$BA$6:$BA$505,MATCH(B272,الزبائن!$A$6:$A$505,0)),"source key not found"))</f>
        <v/>
      </c>
      <c r="AB272" s="25" t="str">
        <f>IF(AND(A272="",C272="",D272="",H272="",K272="",L272=""),"",IF(C272="skip","SKIP",IF(OR(A272="",C272="",D272="",H272="",K272="",L272="",S272="",COUNTIF($A$6:$A$505,A272)&gt;1,AND(B272&lt;&gt;"",COUNTIF(الزبائن!$A$6:$A$505,B272)=0),(COUNTIFS('أرقام التواصل'!$A$6:$A$505,"proposed_name",'أرقام التواصل'!$B$6:$B$505,A272,'أرقام التواصل'!$I$6:$I$505,"TRUE")+COUNTIFS('أرقام التواصل'!$A$6:$A$505,"proposed_name",'أرقام التواصل'!$B$6:$B$505,A272,'أرقام التواصل'!$C$6:$C$505,1))=0,AND(U272="TRUE",V272="")),"REVIEW","READY")))</f>
        <v/>
      </c>
      <c r="AC272" s="27" t="str">
        <f>IF(AB272="","",IF(AB272="READY","",IF(AB272="SKIP","Skipped by candidate_import_action",TRIM(IF(A272="","missing proposed_name_key; ","")&amp;IF(AND(A272&lt;&gt;"",COUNTIF($A$6:$A$505,A272)&gt;1),"duplicate proposed_name_key; ","")&amp;IF(C272="","missing candidate_import_action; ","")&amp;IF(D272="","missing move_reason; ","")&amp;IF(H272="","missing branch_id; ","")&amp;IF(K272="","missing first_name; ","")&amp;IF(L272="","missing last_name; ","")&amp;IF(S272="","missing status; ","")&amp;IF(AND(B272&lt;&gt;"",COUNTIF(الزبائن!$A$6:$A$505,B272)=0),"source key not found; ","")&amp;IF((COUNTIFS('أرقام التواصل'!$A$6:$A$505,"proposed_name",'أرقام التواصل'!$B$6:$B$505,A272,'أرقام التواصل'!$I$6:$I$505,"TRUE")+COUNTIFS('أرقام التواصل'!$A$6:$A$505,"proposed_name",'أرقام التواصل'!$B$6:$B$505,A272,'أرقام التواصل'!$C$6:$C$505,1))=0,"missing primary contact in أرقام التواصل; ","")&amp;IF(AND(U272="TRUE",V272=""),"duplicate_type required when duplicate_flag TRUE; ","")))))</f>
        <v/>
      </c>
    </row>
    <row r="273" spans="1:29">
      <c r="A273" s="36"/>
      <c r="B273" s="24"/>
      <c r="C273" s="25"/>
      <c r="D273" s="25"/>
      <c r="E273" s="25"/>
      <c r="F273" s="24"/>
      <c r="G273" s="25"/>
      <c r="H273" s="25"/>
      <c r="I273" s="25"/>
      <c r="J273" s="25"/>
      <c r="K273" s="25"/>
      <c r="L273" s="25"/>
      <c r="M273" s="25"/>
      <c r="N273" s="25" t="str">
        <f t="shared" si="4"/>
        <v/>
      </c>
      <c r="O273" s="25"/>
      <c r="P273" s="25"/>
      <c r="Q273" s="25"/>
      <c r="R273" s="25"/>
      <c r="S273" s="25"/>
      <c r="T273" s="25"/>
      <c r="U273" s="25"/>
      <c r="V273" s="25"/>
      <c r="W273" s="24"/>
      <c r="X273" s="24"/>
      <c r="Y273" s="25"/>
      <c r="Z273" s="25" t="str">
        <f>IF(B273="","",IFERROR(INDEX(الزبائن!$AZ$6:$AZ$505,MATCH(B273,الزبائن!$A$6:$A$505,0)),"source key not found"))</f>
        <v/>
      </c>
      <c r="AA273" s="25" t="str">
        <f>IF(B273="","",IFERROR(INDEX(الزبائن!$BA$6:$BA$505,MATCH(B273,الزبائن!$A$6:$A$505,0)),"source key not found"))</f>
        <v/>
      </c>
      <c r="AB273" s="25" t="str">
        <f>IF(AND(A273="",C273="",D273="",H273="",K273="",L273=""),"",IF(C273="skip","SKIP",IF(OR(A273="",C273="",D273="",H273="",K273="",L273="",S273="",COUNTIF($A$6:$A$505,A273)&gt;1,AND(B273&lt;&gt;"",COUNTIF(الزبائن!$A$6:$A$505,B273)=0),(COUNTIFS('أرقام التواصل'!$A$6:$A$505,"proposed_name",'أرقام التواصل'!$B$6:$B$505,A273,'أرقام التواصل'!$I$6:$I$505,"TRUE")+COUNTIFS('أرقام التواصل'!$A$6:$A$505,"proposed_name",'أرقام التواصل'!$B$6:$B$505,A273,'أرقام التواصل'!$C$6:$C$505,1))=0,AND(U273="TRUE",V273="")),"REVIEW","READY")))</f>
        <v/>
      </c>
      <c r="AC273" s="27" t="str">
        <f>IF(AB273="","",IF(AB273="READY","",IF(AB273="SKIP","Skipped by candidate_import_action",TRIM(IF(A273="","missing proposed_name_key; ","")&amp;IF(AND(A273&lt;&gt;"",COUNTIF($A$6:$A$505,A273)&gt;1),"duplicate proposed_name_key; ","")&amp;IF(C273="","missing candidate_import_action; ","")&amp;IF(D273="","missing move_reason; ","")&amp;IF(H273="","missing branch_id; ","")&amp;IF(K273="","missing first_name; ","")&amp;IF(L273="","missing last_name; ","")&amp;IF(S273="","missing status; ","")&amp;IF(AND(B273&lt;&gt;"",COUNTIF(الزبائن!$A$6:$A$505,B273)=0),"source key not found; ","")&amp;IF((COUNTIFS('أرقام التواصل'!$A$6:$A$505,"proposed_name",'أرقام التواصل'!$B$6:$B$505,A273,'أرقام التواصل'!$I$6:$I$505,"TRUE")+COUNTIFS('أرقام التواصل'!$A$6:$A$505,"proposed_name",'أرقام التواصل'!$B$6:$B$505,A273,'أرقام التواصل'!$C$6:$C$505,1))=0,"missing primary contact in أرقام التواصل; ","")&amp;IF(AND(U273="TRUE",V273=""),"duplicate_type required when duplicate_flag TRUE; ","")))))</f>
        <v/>
      </c>
    </row>
    <row r="274" spans="1:29">
      <c r="A274" s="36"/>
      <c r="B274" s="24"/>
      <c r="C274" s="25"/>
      <c r="D274" s="25"/>
      <c r="E274" s="25"/>
      <c r="F274" s="24"/>
      <c r="G274" s="25"/>
      <c r="H274" s="25"/>
      <c r="I274" s="25"/>
      <c r="J274" s="25"/>
      <c r="K274" s="25"/>
      <c r="L274" s="25"/>
      <c r="M274" s="25"/>
      <c r="N274" s="25" t="str">
        <f t="shared" si="4"/>
        <v/>
      </c>
      <c r="O274" s="25"/>
      <c r="P274" s="25"/>
      <c r="Q274" s="25"/>
      <c r="R274" s="25"/>
      <c r="S274" s="25"/>
      <c r="T274" s="25"/>
      <c r="U274" s="25"/>
      <c r="V274" s="25"/>
      <c r="W274" s="24"/>
      <c r="X274" s="24"/>
      <c r="Y274" s="25"/>
      <c r="Z274" s="25" t="str">
        <f>IF(B274="","",IFERROR(INDEX(الزبائن!$AZ$6:$AZ$505,MATCH(B274,الزبائن!$A$6:$A$505,0)),"source key not found"))</f>
        <v/>
      </c>
      <c r="AA274" s="25" t="str">
        <f>IF(B274="","",IFERROR(INDEX(الزبائن!$BA$6:$BA$505,MATCH(B274,الزبائن!$A$6:$A$505,0)),"source key not found"))</f>
        <v/>
      </c>
      <c r="AB274" s="25" t="str">
        <f>IF(AND(A274="",C274="",D274="",H274="",K274="",L274=""),"",IF(C274="skip","SKIP",IF(OR(A274="",C274="",D274="",H274="",K274="",L274="",S274="",COUNTIF($A$6:$A$505,A274)&gt;1,AND(B274&lt;&gt;"",COUNTIF(الزبائن!$A$6:$A$505,B274)=0),(COUNTIFS('أرقام التواصل'!$A$6:$A$505,"proposed_name",'أرقام التواصل'!$B$6:$B$505,A274,'أرقام التواصل'!$I$6:$I$505,"TRUE")+COUNTIFS('أرقام التواصل'!$A$6:$A$505,"proposed_name",'أرقام التواصل'!$B$6:$B$505,A274,'أرقام التواصل'!$C$6:$C$505,1))=0,AND(U274="TRUE",V274="")),"REVIEW","READY")))</f>
        <v/>
      </c>
      <c r="AC274" s="27" t="str">
        <f>IF(AB274="","",IF(AB274="READY","",IF(AB274="SKIP","Skipped by candidate_import_action",TRIM(IF(A274="","missing proposed_name_key; ","")&amp;IF(AND(A274&lt;&gt;"",COUNTIF($A$6:$A$505,A274)&gt;1),"duplicate proposed_name_key; ","")&amp;IF(C274="","missing candidate_import_action; ","")&amp;IF(D274="","missing move_reason; ","")&amp;IF(H274="","missing branch_id; ","")&amp;IF(K274="","missing first_name; ","")&amp;IF(L274="","missing last_name; ","")&amp;IF(S274="","missing status; ","")&amp;IF(AND(B274&lt;&gt;"",COUNTIF(الزبائن!$A$6:$A$505,B274)=0),"source key not found; ","")&amp;IF((COUNTIFS('أرقام التواصل'!$A$6:$A$505,"proposed_name",'أرقام التواصل'!$B$6:$B$505,A274,'أرقام التواصل'!$I$6:$I$505,"TRUE")+COUNTIFS('أرقام التواصل'!$A$6:$A$505,"proposed_name",'أرقام التواصل'!$B$6:$B$505,A274,'أرقام التواصل'!$C$6:$C$505,1))=0,"missing primary contact in أرقام التواصل; ","")&amp;IF(AND(U274="TRUE",V274=""),"duplicate_type required when duplicate_flag TRUE; ","")))))</f>
        <v/>
      </c>
    </row>
    <row r="275" spans="1:29">
      <c r="A275" s="36"/>
      <c r="B275" s="24"/>
      <c r="C275" s="25"/>
      <c r="D275" s="25"/>
      <c r="E275" s="25"/>
      <c r="F275" s="24"/>
      <c r="G275" s="25"/>
      <c r="H275" s="25"/>
      <c r="I275" s="25"/>
      <c r="J275" s="25"/>
      <c r="K275" s="25"/>
      <c r="L275" s="25"/>
      <c r="M275" s="25"/>
      <c r="N275" s="25" t="str">
        <f t="shared" si="4"/>
        <v/>
      </c>
      <c r="O275" s="25"/>
      <c r="P275" s="25"/>
      <c r="Q275" s="25"/>
      <c r="R275" s="25"/>
      <c r="S275" s="25"/>
      <c r="T275" s="25"/>
      <c r="U275" s="25"/>
      <c r="V275" s="25"/>
      <c r="W275" s="24"/>
      <c r="X275" s="24"/>
      <c r="Y275" s="25"/>
      <c r="Z275" s="25" t="str">
        <f>IF(B275="","",IFERROR(INDEX(الزبائن!$AZ$6:$AZ$505,MATCH(B275,الزبائن!$A$6:$A$505,0)),"source key not found"))</f>
        <v/>
      </c>
      <c r="AA275" s="25" t="str">
        <f>IF(B275="","",IFERROR(INDEX(الزبائن!$BA$6:$BA$505,MATCH(B275,الزبائن!$A$6:$A$505,0)),"source key not found"))</f>
        <v/>
      </c>
      <c r="AB275" s="25" t="str">
        <f>IF(AND(A275="",C275="",D275="",H275="",K275="",L275=""),"",IF(C275="skip","SKIP",IF(OR(A275="",C275="",D275="",H275="",K275="",L275="",S275="",COUNTIF($A$6:$A$505,A275)&gt;1,AND(B275&lt;&gt;"",COUNTIF(الزبائن!$A$6:$A$505,B275)=0),(COUNTIFS('أرقام التواصل'!$A$6:$A$505,"proposed_name",'أرقام التواصل'!$B$6:$B$505,A275,'أرقام التواصل'!$I$6:$I$505,"TRUE")+COUNTIFS('أرقام التواصل'!$A$6:$A$505,"proposed_name",'أرقام التواصل'!$B$6:$B$505,A275,'أرقام التواصل'!$C$6:$C$505,1))=0,AND(U275="TRUE",V275="")),"REVIEW","READY")))</f>
        <v/>
      </c>
      <c r="AC275" s="27" t="str">
        <f>IF(AB275="","",IF(AB275="READY","",IF(AB275="SKIP","Skipped by candidate_import_action",TRIM(IF(A275="","missing proposed_name_key; ","")&amp;IF(AND(A275&lt;&gt;"",COUNTIF($A$6:$A$505,A275)&gt;1),"duplicate proposed_name_key; ","")&amp;IF(C275="","missing candidate_import_action; ","")&amp;IF(D275="","missing move_reason; ","")&amp;IF(H275="","missing branch_id; ","")&amp;IF(K275="","missing first_name; ","")&amp;IF(L275="","missing last_name; ","")&amp;IF(S275="","missing status; ","")&amp;IF(AND(B275&lt;&gt;"",COUNTIF(الزبائن!$A$6:$A$505,B275)=0),"source key not found; ","")&amp;IF((COUNTIFS('أرقام التواصل'!$A$6:$A$505,"proposed_name",'أرقام التواصل'!$B$6:$B$505,A275,'أرقام التواصل'!$I$6:$I$505,"TRUE")+COUNTIFS('أرقام التواصل'!$A$6:$A$505,"proposed_name",'أرقام التواصل'!$B$6:$B$505,A275,'أرقام التواصل'!$C$6:$C$505,1))=0,"missing primary contact in أرقام التواصل; ","")&amp;IF(AND(U275="TRUE",V275=""),"duplicate_type required when duplicate_flag TRUE; ","")))))</f>
        <v/>
      </c>
    </row>
    <row r="276" spans="1:29">
      <c r="A276" s="36"/>
      <c r="B276" s="24"/>
      <c r="C276" s="25"/>
      <c r="D276" s="25"/>
      <c r="E276" s="25"/>
      <c r="F276" s="24"/>
      <c r="G276" s="25"/>
      <c r="H276" s="25"/>
      <c r="I276" s="25"/>
      <c r="J276" s="25"/>
      <c r="K276" s="25"/>
      <c r="L276" s="25"/>
      <c r="M276" s="25"/>
      <c r="N276" s="25" t="str">
        <f t="shared" si="4"/>
        <v/>
      </c>
      <c r="O276" s="25"/>
      <c r="P276" s="25"/>
      <c r="Q276" s="25"/>
      <c r="R276" s="25"/>
      <c r="S276" s="25"/>
      <c r="T276" s="25"/>
      <c r="U276" s="25"/>
      <c r="V276" s="25"/>
      <c r="W276" s="24"/>
      <c r="X276" s="24"/>
      <c r="Y276" s="25"/>
      <c r="Z276" s="25" t="str">
        <f>IF(B276="","",IFERROR(INDEX(الزبائن!$AZ$6:$AZ$505,MATCH(B276,الزبائن!$A$6:$A$505,0)),"source key not found"))</f>
        <v/>
      </c>
      <c r="AA276" s="25" t="str">
        <f>IF(B276="","",IFERROR(INDEX(الزبائن!$BA$6:$BA$505,MATCH(B276,الزبائن!$A$6:$A$505,0)),"source key not found"))</f>
        <v/>
      </c>
      <c r="AB276" s="25" t="str">
        <f>IF(AND(A276="",C276="",D276="",H276="",K276="",L276=""),"",IF(C276="skip","SKIP",IF(OR(A276="",C276="",D276="",H276="",K276="",L276="",S276="",COUNTIF($A$6:$A$505,A276)&gt;1,AND(B276&lt;&gt;"",COUNTIF(الزبائن!$A$6:$A$505,B276)=0),(COUNTIFS('أرقام التواصل'!$A$6:$A$505,"proposed_name",'أرقام التواصل'!$B$6:$B$505,A276,'أرقام التواصل'!$I$6:$I$505,"TRUE")+COUNTIFS('أرقام التواصل'!$A$6:$A$505,"proposed_name",'أرقام التواصل'!$B$6:$B$505,A276,'أرقام التواصل'!$C$6:$C$505,1))=0,AND(U276="TRUE",V276="")),"REVIEW","READY")))</f>
        <v/>
      </c>
      <c r="AC276" s="27" t="str">
        <f>IF(AB276="","",IF(AB276="READY","",IF(AB276="SKIP","Skipped by candidate_import_action",TRIM(IF(A276="","missing proposed_name_key; ","")&amp;IF(AND(A276&lt;&gt;"",COUNTIF($A$6:$A$505,A276)&gt;1),"duplicate proposed_name_key; ","")&amp;IF(C276="","missing candidate_import_action; ","")&amp;IF(D276="","missing move_reason; ","")&amp;IF(H276="","missing branch_id; ","")&amp;IF(K276="","missing first_name; ","")&amp;IF(L276="","missing last_name; ","")&amp;IF(S276="","missing status; ","")&amp;IF(AND(B276&lt;&gt;"",COUNTIF(الزبائن!$A$6:$A$505,B276)=0),"source key not found; ","")&amp;IF((COUNTIFS('أرقام التواصل'!$A$6:$A$505,"proposed_name",'أرقام التواصل'!$B$6:$B$505,A276,'أرقام التواصل'!$I$6:$I$505,"TRUE")+COUNTIFS('أرقام التواصل'!$A$6:$A$505,"proposed_name",'أرقام التواصل'!$B$6:$B$505,A276,'أرقام التواصل'!$C$6:$C$505,1))=0,"missing primary contact in أرقام التواصل; ","")&amp;IF(AND(U276="TRUE",V276=""),"duplicate_type required when duplicate_flag TRUE; ","")))))</f>
        <v/>
      </c>
    </row>
    <row r="277" spans="1:29">
      <c r="A277" s="36"/>
      <c r="B277" s="24"/>
      <c r="C277" s="25"/>
      <c r="D277" s="25"/>
      <c r="E277" s="25"/>
      <c r="F277" s="24"/>
      <c r="G277" s="25"/>
      <c r="H277" s="25"/>
      <c r="I277" s="25"/>
      <c r="J277" s="25"/>
      <c r="K277" s="25"/>
      <c r="L277" s="25"/>
      <c r="M277" s="25"/>
      <c r="N277" s="25" t="str">
        <f t="shared" si="4"/>
        <v/>
      </c>
      <c r="O277" s="25"/>
      <c r="P277" s="25"/>
      <c r="Q277" s="25"/>
      <c r="R277" s="25"/>
      <c r="S277" s="25"/>
      <c r="T277" s="25"/>
      <c r="U277" s="25"/>
      <c r="V277" s="25"/>
      <c r="W277" s="24"/>
      <c r="X277" s="24"/>
      <c r="Y277" s="25"/>
      <c r="Z277" s="25" t="str">
        <f>IF(B277="","",IFERROR(INDEX(الزبائن!$AZ$6:$AZ$505,MATCH(B277,الزبائن!$A$6:$A$505,0)),"source key not found"))</f>
        <v/>
      </c>
      <c r="AA277" s="25" t="str">
        <f>IF(B277="","",IFERROR(INDEX(الزبائن!$BA$6:$BA$505,MATCH(B277,الزبائن!$A$6:$A$505,0)),"source key not found"))</f>
        <v/>
      </c>
      <c r="AB277" s="25" t="str">
        <f>IF(AND(A277="",C277="",D277="",H277="",K277="",L277=""),"",IF(C277="skip","SKIP",IF(OR(A277="",C277="",D277="",H277="",K277="",L277="",S277="",COUNTIF($A$6:$A$505,A277)&gt;1,AND(B277&lt;&gt;"",COUNTIF(الزبائن!$A$6:$A$505,B277)=0),(COUNTIFS('أرقام التواصل'!$A$6:$A$505,"proposed_name",'أرقام التواصل'!$B$6:$B$505,A277,'أرقام التواصل'!$I$6:$I$505,"TRUE")+COUNTIFS('أرقام التواصل'!$A$6:$A$505,"proposed_name",'أرقام التواصل'!$B$6:$B$505,A277,'أرقام التواصل'!$C$6:$C$505,1))=0,AND(U277="TRUE",V277="")),"REVIEW","READY")))</f>
        <v/>
      </c>
      <c r="AC277" s="27" t="str">
        <f>IF(AB277="","",IF(AB277="READY","",IF(AB277="SKIP","Skipped by candidate_import_action",TRIM(IF(A277="","missing proposed_name_key; ","")&amp;IF(AND(A277&lt;&gt;"",COUNTIF($A$6:$A$505,A277)&gt;1),"duplicate proposed_name_key; ","")&amp;IF(C277="","missing candidate_import_action; ","")&amp;IF(D277="","missing move_reason; ","")&amp;IF(H277="","missing branch_id; ","")&amp;IF(K277="","missing first_name; ","")&amp;IF(L277="","missing last_name; ","")&amp;IF(S277="","missing status; ","")&amp;IF(AND(B277&lt;&gt;"",COUNTIF(الزبائن!$A$6:$A$505,B277)=0),"source key not found; ","")&amp;IF((COUNTIFS('أرقام التواصل'!$A$6:$A$505,"proposed_name",'أرقام التواصل'!$B$6:$B$505,A277,'أرقام التواصل'!$I$6:$I$505,"TRUE")+COUNTIFS('أرقام التواصل'!$A$6:$A$505,"proposed_name",'أرقام التواصل'!$B$6:$B$505,A277,'أرقام التواصل'!$C$6:$C$505,1))=0,"missing primary contact in أرقام التواصل; ","")&amp;IF(AND(U277="TRUE",V277=""),"duplicate_type required when duplicate_flag TRUE; ","")))))</f>
        <v/>
      </c>
    </row>
    <row r="278" spans="1:29">
      <c r="A278" s="36"/>
      <c r="B278" s="24"/>
      <c r="C278" s="25"/>
      <c r="D278" s="25"/>
      <c r="E278" s="25"/>
      <c r="F278" s="24"/>
      <c r="G278" s="25"/>
      <c r="H278" s="25"/>
      <c r="I278" s="25"/>
      <c r="J278" s="25"/>
      <c r="K278" s="25"/>
      <c r="L278" s="25"/>
      <c r="M278" s="25"/>
      <c r="N278" s="25" t="str">
        <f t="shared" si="4"/>
        <v/>
      </c>
      <c r="O278" s="25"/>
      <c r="P278" s="25"/>
      <c r="Q278" s="25"/>
      <c r="R278" s="25"/>
      <c r="S278" s="25"/>
      <c r="T278" s="25"/>
      <c r="U278" s="25"/>
      <c r="V278" s="25"/>
      <c r="W278" s="24"/>
      <c r="X278" s="24"/>
      <c r="Y278" s="25"/>
      <c r="Z278" s="25" t="str">
        <f>IF(B278="","",IFERROR(INDEX(الزبائن!$AZ$6:$AZ$505,MATCH(B278,الزبائن!$A$6:$A$505,0)),"source key not found"))</f>
        <v/>
      </c>
      <c r="AA278" s="25" t="str">
        <f>IF(B278="","",IFERROR(INDEX(الزبائن!$BA$6:$BA$505,MATCH(B278,الزبائن!$A$6:$A$505,0)),"source key not found"))</f>
        <v/>
      </c>
      <c r="AB278" s="25" t="str">
        <f>IF(AND(A278="",C278="",D278="",H278="",K278="",L278=""),"",IF(C278="skip","SKIP",IF(OR(A278="",C278="",D278="",H278="",K278="",L278="",S278="",COUNTIF($A$6:$A$505,A278)&gt;1,AND(B278&lt;&gt;"",COUNTIF(الزبائن!$A$6:$A$505,B278)=0),(COUNTIFS('أرقام التواصل'!$A$6:$A$505,"proposed_name",'أرقام التواصل'!$B$6:$B$505,A278,'أرقام التواصل'!$I$6:$I$505,"TRUE")+COUNTIFS('أرقام التواصل'!$A$6:$A$505,"proposed_name",'أرقام التواصل'!$B$6:$B$505,A278,'أرقام التواصل'!$C$6:$C$505,1))=0,AND(U278="TRUE",V278="")),"REVIEW","READY")))</f>
        <v/>
      </c>
      <c r="AC278" s="27" t="str">
        <f>IF(AB278="","",IF(AB278="READY","",IF(AB278="SKIP","Skipped by candidate_import_action",TRIM(IF(A278="","missing proposed_name_key; ","")&amp;IF(AND(A278&lt;&gt;"",COUNTIF($A$6:$A$505,A278)&gt;1),"duplicate proposed_name_key; ","")&amp;IF(C278="","missing candidate_import_action; ","")&amp;IF(D278="","missing move_reason; ","")&amp;IF(H278="","missing branch_id; ","")&amp;IF(K278="","missing first_name; ","")&amp;IF(L278="","missing last_name; ","")&amp;IF(S278="","missing status; ","")&amp;IF(AND(B278&lt;&gt;"",COUNTIF(الزبائن!$A$6:$A$505,B278)=0),"source key not found; ","")&amp;IF((COUNTIFS('أرقام التواصل'!$A$6:$A$505,"proposed_name",'أرقام التواصل'!$B$6:$B$505,A278,'أرقام التواصل'!$I$6:$I$505,"TRUE")+COUNTIFS('أرقام التواصل'!$A$6:$A$505,"proposed_name",'أرقام التواصل'!$B$6:$B$505,A278,'أرقام التواصل'!$C$6:$C$505,1))=0,"missing primary contact in أرقام التواصل; ","")&amp;IF(AND(U278="TRUE",V278=""),"duplicate_type required when duplicate_flag TRUE; ","")))))</f>
        <v/>
      </c>
    </row>
    <row r="279" spans="1:29">
      <c r="A279" s="36"/>
      <c r="B279" s="24"/>
      <c r="C279" s="25"/>
      <c r="D279" s="25"/>
      <c r="E279" s="25"/>
      <c r="F279" s="24"/>
      <c r="G279" s="25"/>
      <c r="H279" s="25"/>
      <c r="I279" s="25"/>
      <c r="J279" s="25"/>
      <c r="K279" s="25"/>
      <c r="L279" s="25"/>
      <c r="M279" s="25"/>
      <c r="N279" s="25" t="str">
        <f t="shared" si="4"/>
        <v/>
      </c>
      <c r="O279" s="25"/>
      <c r="P279" s="25"/>
      <c r="Q279" s="25"/>
      <c r="R279" s="25"/>
      <c r="S279" s="25"/>
      <c r="T279" s="25"/>
      <c r="U279" s="25"/>
      <c r="V279" s="25"/>
      <c r="W279" s="24"/>
      <c r="X279" s="24"/>
      <c r="Y279" s="25"/>
      <c r="Z279" s="25" t="str">
        <f>IF(B279="","",IFERROR(INDEX(الزبائن!$AZ$6:$AZ$505,MATCH(B279,الزبائن!$A$6:$A$505,0)),"source key not found"))</f>
        <v/>
      </c>
      <c r="AA279" s="25" t="str">
        <f>IF(B279="","",IFERROR(INDEX(الزبائن!$BA$6:$BA$505,MATCH(B279,الزبائن!$A$6:$A$505,0)),"source key not found"))</f>
        <v/>
      </c>
      <c r="AB279" s="25" t="str">
        <f>IF(AND(A279="",C279="",D279="",H279="",K279="",L279=""),"",IF(C279="skip","SKIP",IF(OR(A279="",C279="",D279="",H279="",K279="",L279="",S279="",COUNTIF($A$6:$A$505,A279)&gt;1,AND(B279&lt;&gt;"",COUNTIF(الزبائن!$A$6:$A$505,B279)=0),(COUNTIFS('أرقام التواصل'!$A$6:$A$505,"proposed_name",'أرقام التواصل'!$B$6:$B$505,A279,'أرقام التواصل'!$I$6:$I$505,"TRUE")+COUNTIFS('أرقام التواصل'!$A$6:$A$505,"proposed_name",'أرقام التواصل'!$B$6:$B$505,A279,'أرقام التواصل'!$C$6:$C$505,1))=0,AND(U279="TRUE",V279="")),"REVIEW","READY")))</f>
        <v/>
      </c>
      <c r="AC279" s="27" t="str">
        <f>IF(AB279="","",IF(AB279="READY","",IF(AB279="SKIP","Skipped by candidate_import_action",TRIM(IF(A279="","missing proposed_name_key; ","")&amp;IF(AND(A279&lt;&gt;"",COUNTIF($A$6:$A$505,A279)&gt;1),"duplicate proposed_name_key; ","")&amp;IF(C279="","missing candidate_import_action; ","")&amp;IF(D279="","missing move_reason; ","")&amp;IF(H279="","missing branch_id; ","")&amp;IF(K279="","missing first_name; ","")&amp;IF(L279="","missing last_name; ","")&amp;IF(S279="","missing status; ","")&amp;IF(AND(B279&lt;&gt;"",COUNTIF(الزبائن!$A$6:$A$505,B279)=0),"source key not found; ","")&amp;IF((COUNTIFS('أرقام التواصل'!$A$6:$A$505,"proposed_name",'أرقام التواصل'!$B$6:$B$505,A279,'أرقام التواصل'!$I$6:$I$505,"TRUE")+COUNTIFS('أرقام التواصل'!$A$6:$A$505,"proposed_name",'أرقام التواصل'!$B$6:$B$505,A279,'أرقام التواصل'!$C$6:$C$505,1))=0,"missing primary contact in أرقام التواصل; ","")&amp;IF(AND(U279="TRUE",V279=""),"duplicate_type required when duplicate_flag TRUE; ","")))))</f>
        <v/>
      </c>
    </row>
    <row r="280" spans="1:29">
      <c r="A280" s="36"/>
      <c r="B280" s="24"/>
      <c r="C280" s="25"/>
      <c r="D280" s="25"/>
      <c r="E280" s="25"/>
      <c r="F280" s="24"/>
      <c r="G280" s="25"/>
      <c r="H280" s="25"/>
      <c r="I280" s="25"/>
      <c r="J280" s="25"/>
      <c r="K280" s="25"/>
      <c r="L280" s="25"/>
      <c r="M280" s="25"/>
      <c r="N280" s="25" t="str">
        <f t="shared" si="4"/>
        <v/>
      </c>
      <c r="O280" s="25"/>
      <c r="P280" s="25"/>
      <c r="Q280" s="25"/>
      <c r="R280" s="25"/>
      <c r="S280" s="25"/>
      <c r="T280" s="25"/>
      <c r="U280" s="25"/>
      <c r="V280" s="25"/>
      <c r="W280" s="24"/>
      <c r="X280" s="24"/>
      <c r="Y280" s="25"/>
      <c r="Z280" s="25" t="str">
        <f>IF(B280="","",IFERROR(INDEX(الزبائن!$AZ$6:$AZ$505,MATCH(B280,الزبائن!$A$6:$A$505,0)),"source key not found"))</f>
        <v/>
      </c>
      <c r="AA280" s="25" t="str">
        <f>IF(B280="","",IFERROR(INDEX(الزبائن!$BA$6:$BA$505,MATCH(B280,الزبائن!$A$6:$A$505,0)),"source key not found"))</f>
        <v/>
      </c>
      <c r="AB280" s="25" t="str">
        <f>IF(AND(A280="",C280="",D280="",H280="",K280="",L280=""),"",IF(C280="skip","SKIP",IF(OR(A280="",C280="",D280="",H280="",K280="",L280="",S280="",COUNTIF($A$6:$A$505,A280)&gt;1,AND(B280&lt;&gt;"",COUNTIF(الزبائن!$A$6:$A$505,B280)=0),(COUNTIFS('أرقام التواصل'!$A$6:$A$505,"proposed_name",'أرقام التواصل'!$B$6:$B$505,A280,'أرقام التواصل'!$I$6:$I$505,"TRUE")+COUNTIFS('أرقام التواصل'!$A$6:$A$505,"proposed_name",'أرقام التواصل'!$B$6:$B$505,A280,'أرقام التواصل'!$C$6:$C$505,1))=0,AND(U280="TRUE",V280="")),"REVIEW","READY")))</f>
        <v/>
      </c>
      <c r="AC280" s="27" t="str">
        <f>IF(AB280="","",IF(AB280="READY","",IF(AB280="SKIP","Skipped by candidate_import_action",TRIM(IF(A280="","missing proposed_name_key; ","")&amp;IF(AND(A280&lt;&gt;"",COUNTIF($A$6:$A$505,A280)&gt;1),"duplicate proposed_name_key; ","")&amp;IF(C280="","missing candidate_import_action; ","")&amp;IF(D280="","missing move_reason; ","")&amp;IF(H280="","missing branch_id; ","")&amp;IF(K280="","missing first_name; ","")&amp;IF(L280="","missing last_name; ","")&amp;IF(S280="","missing status; ","")&amp;IF(AND(B280&lt;&gt;"",COUNTIF(الزبائن!$A$6:$A$505,B280)=0),"source key not found; ","")&amp;IF((COUNTIFS('أرقام التواصل'!$A$6:$A$505,"proposed_name",'أرقام التواصل'!$B$6:$B$505,A280,'أرقام التواصل'!$I$6:$I$505,"TRUE")+COUNTIFS('أرقام التواصل'!$A$6:$A$505,"proposed_name",'أرقام التواصل'!$B$6:$B$505,A280,'أرقام التواصل'!$C$6:$C$505,1))=0,"missing primary contact in أرقام التواصل; ","")&amp;IF(AND(U280="TRUE",V280=""),"duplicate_type required when duplicate_flag TRUE; ","")))))</f>
        <v/>
      </c>
    </row>
    <row r="281" spans="1:29">
      <c r="A281" s="36"/>
      <c r="B281" s="24"/>
      <c r="C281" s="25"/>
      <c r="D281" s="25"/>
      <c r="E281" s="25"/>
      <c r="F281" s="24"/>
      <c r="G281" s="25"/>
      <c r="H281" s="25"/>
      <c r="I281" s="25"/>
      <c r="J281" s="25"/>
      <c r="K281" s="25"/>
      <c r="L281" s="25"/>
      <c r="M281" s="25"/>
      <c r="N281" s="25" t="str">
        <f t="shared" si="4"/>
        <v/>
      </c>
      <c r="O281" s="25"/>
      <c r="P281" s="25"/>
      <c r="Q281" s="25"/>
      <c r="R281" s="25"/>
      <c r="S281" s="25"/>
      <c r="T281" s="25"/>
      <c r="U281" s="25"/>
      <c r="V281" s="25"/>
      <c r="W281" s="24"/>
      <c r="X281" s="24"/>
      <c r="Y281" s="25"/>
      <c r="Z281" s="25" t="str">
        <f>IF(B281="","",IFERROR(INDEX(الزبائن!$AZ$6:$AZ$505,MATCH(B281,الزبائن!$A$6:$A$505,0)),"source key not found"))</f>
        <v/>
      </c>
      <c r="AA281" s="25" t="str">
        <f>IF(B281="","",IFERROR(INDEX(الزبائن!$BA$6:$BA$505,MATCH(B281,الزبائن!$A$6:$A$505,0)),"source key not found"))</f>
        <v/>
      </c>
      <c r="AB281" s="25" t="str">
        <f>IF(AND(A281="",C281="",D281="",H281="",K281="",L281=""),"",IF(C281="skip","SKIP",IF(OR(A281="",C281="",D281="",H281="",K281="",L281="",S281="",COUNTIF($A$6:$A$505,A281)&gt;1,AND(B281&lt;&gt;"",COUNTIF(الزبائن!$A$6:$A$505,B281)=0),(COUNTIFS('أرقام التواصل'!$A$6:$A$505,"proposed_name",'أرقام التواصل'!$B$6:$B$505,A281,'أرقام التواصل'!$I$6:$I$505,"TRUE")+COUNTIFS('أرقام التواصل'!$A$6:$A$505,"proposed_name",'أرقام التواصل'!$B$6:$B$505,A281,'أرقام التواصل'!$C$6:$C$505,1))=0,AND(U281="TRUE",V281="")),"REVIEW","READY")))</f>
        <v/>
      </c>
      <c r="AC281" s="27" t="str">
        <f>IF(AB281="","",IF(AB281="READY","",IF(AB281="SKIP","Skipped by candidate_import_action",TRIM(IF(A281="","missing proposed_name_key; ","")&amp;IF(AND(A281&lt;&gt;"",COUNTIF($A$6:$A$505,A281)&gt;1),"duplicate proposed_name_key; ","")&amp;IF(C281="","missing candidate_import_action; ","")&amp;IF(D281="","missing move_reason; ","")&amp;IF(H281="","missing branch_id; ","")&amp;IF(K281="","missing first_name; ","")&amp;IF(L281="","missing last_name; ","")&amp;IF(S281="","missing status; ","")&amp;IF(AND(B281&lt;&gt;"",COUNTIF(الزبائن!$A$6:$A$505,B281)=0),"source key not found; ","")&amp;IF((COUNTIFS('أرقام التواصل'!$A$6:$A$505,"proposed_name",'أرقام التواصل'!$B$6:$B$505,A281,'أرقام التواصل'!$I$6:$I$505,"TRUE")+COUNTIFS('أرقام التواصل'!$A$6:$A$505,"proposed_name",'أرقام التواصل'!$B$6:$B$505,A281,'أرقام التواصل'!$C$6:$C$505,1))=0,"missing primary contact in أرقام التواصل; ","")&amp;IF(AND(U281="TRUE",V281=""),"duplicate_type required when duplicate_flag TRUE; ","")))))</f>
        <v/>
      </c>
    </row>
    <row r="282" spans="1:29">
      <c r="A282" s="36"/>
      <c r="B282" s="24"/>
      <c r="C282" s="25"/>
      <c r="D282" s="25"/>
      <c r="E282" s="25"/>
      <c r="F282" s="24"/>
      <c r="G282" s="25"/>
      <c r="H282" s="25"/>
      <c r="I282" s="25"/>
      <c r="J282" s="25"/>
      <c r="K282" s="25"/>
      <c r="L282" s="25"/>
      <c r="M282" s="25"/>
      <c r="N282" s="25" t="str">
        <f t="shared" si="4"/>
        <v/>
      </c>
      <c r="O282" s="25"/>
      <c r="P282" s="25"/>
      <c r="Q282" s="25"/>
      <c r="R282" s="25"/>
      <c r="S282" s="25"/>
      <c r="T282" s="25"/>
      <c r="U282" s="25"/>
      <c r="V282" s="25"/>
      <c r="W282" s="24"/>
      <c r="X282" s="24"/>
      <c r="Y282" s="25"/>
      <c r="Z282" s="25" t="str">
        <f>IF(B282="","",IFERROR(INDEX(الزبائن!$AZ$6:$AZ$505,MATCH(B282,الزبائن!$A$6:$A$505,0)),"source key not found"))</f>
        <v/>
      </c>
      <c r="AA282" s="25" t="str">
        <f>IF(B282="","",IFERROR(INDEX(الزبائن!$BA$6:$BA$505,MATCH(B282,الزبائن!$A$6:$A$505,0)),"source key not found"))</f>
        <v/>
      </c>
      <c r="AB282" s="25" t="str">
        <f>IF(AND(A282="",C282="",D282="",H282="",K282="",L282=""),"",IF(C282="skip","SKIP",IF(OR(A282="",C282="",D282="",H282="",K282="",L282="",S282="",COUNTIF($A$6:$A$505,A282)&gt;1,AND(B282&lt;&gt;"",COUNTIF(الزبائن!$A$6:$A$505,B282)=0),(COUNTIFS('أرقام التواصل'!$A$6:$A$505,"proposed_name",'أرقام التواصل'!$B$6:$B$505,A282,'أرقام التواصل'!$I$6:$I$505,"TRUE")+COUNTIFS('أرقام التواصل'!$A$6:$A$505,"proposed_name",'أرقام التواصل'!$B$6:$B$505,A282,'أرقام التواصل'!$C$6:$C$505,1))=0,AND(U282="TRUE",V282="")),"REVIEW","READY")))</f>
        <v/>
      </c>
      <c r="AC282" s="27" t="str">
        <f>IF(AB282="","",IF(AB282="READY","",IF(AB282="SKIP","Skipped by candidate_import_action",TRIM(IF(A282="","missing proposed_name_key; ","")&amp;IF(AND(A282&lt;&gt;"",COUNTIF($A$6:$A$505,A282)&gt;1),"duplicate proposed_name_key; ","")&amp;IF(C282="","missing candidate_import_action; ","")&amp;IF(D282="","missing move_reason; ","")&amp;IF(H282="","missing branch_id; ","")&amp;IF(K282="","missing first_name; ","")&amp;IF(L282="","missing last_name; ","")&amp;IF(S282="","missing status; ","")&amp;IF(AND(B282&lt;&gt;"",COUNTIF(الزبائن!$A$6:$A$505,B282)=0),"source key not found; ","")&amp;IF((COUNTIFS('أرقام التواصل'!$A$6:$A$505,"proposed_name",'أرقام التواصل'!$B$6:$B$505,A282,'أرقام التواصل'!$I$6:$I$505,"TRUE")+COUNTIFS('أرقام التواصل'!$A$6:$A$505,"proposed_name",'أرقام التواصل'!$B$6:$B$505,A282,'أرقام التواصل'!$C$6:$C$505,1))=0,"missing primary contact in أرقام التواصل; ","")&amp;IF(AND(U282="TRUE",V282=""),"duplicate_type required when duplicate_flag TRUE; ","")))))</f>
        <v/>
      </c>
    </row>
    <row r="283" spans="1:29">
      <c r="A283" s="36"/>
      <c r="B283" s="24"/>
      <c r="C283" s="25"/>
      <c r="D283" s="25"/>
      <c r="E283" s="25"/>
      <c r="F283" s="24"/>
      <c r="G283" s="25"/>
      <c r="H283" s="25"/>
      <c r="I283" s="25"/>
      <c r="J283" s="25"/>
      <c r="K283" s="25"/>
      <c r="L283" s="25"/>
      <c r="M283" s="25"/>
      <c r="N283" s="25" t="str">
        <f t="shared" si="4"/>
        <v/>
      </c>
      <c r="O283" s="25"/>
      <c r="P283" s="25"/>
      <c r="Q283" s="25"/>
      <c r="R283" s="25"/>
      <c r="S283" s="25"/>
      <c r="T283" s="25"/>
      <c r="U283" s="25"/>
      <c r="V283" s="25"/>
      <c r="W283" s="24"/>
      <c r="X283" s="24"/>
      <c r="Y283" s="25"/>
      <c r="Z283" s="25" t="str">
        <f>IF(B283="","",IFERROR(INDEX(الزبائن!$AZ$6:$AZ$505,MATCH(B283,الزبائن!$A$6:$A$505,0)),"source key not found"))</f>
        <v/>
      </c>
      <c r="AA283" s="25" t="str">
        <f>IF(B283="","",IFERROR(INDEX(الزبائن!$BA$6:$BA$505,MATCH(B283,الزبائن!$A$6:$A$505,0)),"source key not found"))</f>
        <v/>
      </c>
      <c r="AB283" s="25" t="str">
        <f>IF(AND(A283="",C283="",D283="",H283="",K283="",L283=""),"",IF(C283="skip","SKIP",IF(OR(A283="",C283="",D283="",H283="",K283="",L283="",S283="",COUNTIF($A$6:$A$505,A283)&gt;1,AND(B283&lt;&gt;"",COUNTIF(الزبائن!$A$6:$A$505,B283)=0),(COUNTIFS('أرقام التواصل'!$A$6:$A$505,"proposed_name",'أرقام التواصل'!$B$6:$B$505,A283,'أرقام التواصل'!$I$6:$I$505,"TRUE")+COUNTIFS('أرقام التواصل'!$A$6:$A$505,"proposed_name",'أرقام التواصل'!$B$6:$B$505,A283,'أرقام التواصل'!$C$6:$C$505,1))=0,AND(U283="TRUE",V283="")),"REVIEW","READY")))</f>
        <v/>
      </c>
      <c r="AC283" s="27" t="str">
        <f>IF(AB283="","",IF(AB283="READY","",IF(AB283="SKIP","Skipped by candidate_import_action",TRIM(IF(A283="","missing proposed_name_key; ","")&amp;IF(AND(A283&lt;&gt;"",COUNTIF($A$6:$A$505,A283)&gt;1),"duplicate proposed_name_key; ","")&amp;IF(C283="","missing candidate_import_action; ","")&amp;IF(D283="","missing move_reason; ","")&amp;IF(H283="","missing branch_id; ","")&amp;IF(K283="","missing first_name; ","")&amp;IF(L283="","missing last_name; ","")&amp;IF(S283="","missing status; ","")&amp;IF(AND(B283&lt;&gt;"",COUNTIF(الزبائن!$A$6:$A$505,B283)=0),"source key not found; ","")&amp;IF((COUNTIFS('أرقام التواصل'!$A$6:$A$505,"proposed_name",'أرقام التواصل'!$B$6:$B$505,A283,'أرقام التواصل'!$I$6:$I$505,"TRUE")+COUNTIFS('أرقام التواصل'!$A$6:$A$505,"proposed_name",'أرقام التواصل'!$B$6:$B$505,A283,'أرقام التواصل'!$C$6:$C$505,1))=0,"missing primary contact in أرقام التواصل; ","")&amp;IF(AND(U283="TRUE",V283=""),"duplicate_type required when duplicate_flag TRUE; ","")))))</f>
        <v/>
      </c>
    </row>
    <row r="284" spans="1:29">
      <c r="A284" s="36"/>
      <c r="B284" s="24"/>
      <c r="C284" s="25"/>
      <c r="D284" s="25"/>
      <c r="E284" s="25"/>
      <c r="F284" s="24"/>
      <c r="G284" s="25"/>
      <c r="H284" s="25"/>
      <c r="I284" s="25"/>
      <c r="J284" s="25"/>
      <c r="K284" s="25"/>
      <c r="L284" s="25"/>
      <c r="M284" s="25"/>
      <c r="N284" s="25" t="str">
        <f t="shared" si="4"/>
        <v/>
      </c>
      <c r="O284" s="25"/>
      <c r="P284" s="25"/>
      <c r="Q284" s="25"/>
      <c r="R284" s="25"/>
      <c r="S284" s="25"/>
      <c r="T284" s="25"/>
      <c r="U284" s="25"/>
      <c r="V284" s="25"/>
      <c r="W284" s="24"/>
      <c r="X284" s="24"/>
      <c r="Y284" s="25"/>
      <c r="Z284" s="25" t="str">
        <f>IF(B284="","",IFERROR(INDEX(الزبائن!$AZ$6:$AZ$505,MATCH(B284,الزبائن!$A$6:$A$505,0)),"source key not found"))</f>
        <v/>
      </c>
      <c r="AA284" s="25" t="str">
        <f>IF(B284="","",IFERROR(INDEX(الزبائن!$BA$6:$BA$505,MATCH(B284,الزبائن!$A$6:$A$505,0)),"source key not found"))</f>
        <v/>
      </c>
      <c r="AB284" s="25" t="str">
        <f>IF(AND(A284="",C284="",D284="",H284="",K284="",L284=""),"",IF(C284="skip","SKIP",IF(OR(A284="",C284="",D284="",H284="",K284="",L284="",S284="",COUNTIF($A$6:$A$505,A284)&gt;1,AND(B284&lt;&gt;"",COUNTIF(الزبائن!$A$6:$A$505,B284)=0),(COUNTIFS('أرقام التواصل'!$A$6:$A$505,"proposed_name",'أرقام التواصل'!$B$6:$B$505,A284,'أرقام التواصل'!$I$6:$I$505,"TRUE")+COUNTIFS('أرقام التواصل'!$A$6:$A$505,"proposed_name",'أرقام التواصل'!$B$6:$B$505,A284,'أرقام التواصل'!$C$6:$C$505,1))=0,AND(U284="TRUE",V284="")),"REVIEW","READY")))</f>
        <v/>
      </c>
      <c r="AC284" s="27" t="str">
        <f>IF(AB284="","",IF(AB284="READY","",IF(AB284="SKIP","Skipped by candidate_import_action",TRIM(IF(A284="","missing proposed_name_key; ","")&amp;IF(AND(A284&lt;&gt;"",COUNTIF($A$6:$A$505,A284)&gt;1),"duplicate proposed_name_key; ","")&amp;IF(C284="","missing candidate_import_action; ","")&amp;IF(D284="","missing move_reason; ","")&amp;IF(H284="","missing branch_id; ","")&amp;IF(K284="","missing first_name; ","")&amp;IF(L284="","missing last_name; ","")&amp;IF(S284="","missing status; ","")&amp;IF(AND(B284&lt;&gt;"",COUNTIF(الزبائن!$A$6:$A$505,B284)=0),"source key not found; ","")&amp;IF((COUNTIFS('أرقام التواصل'!$A$6:$A$505,"proposed_name",'أرقام التواصل'!$B$6:$B$505,A284,'أرقام التواصل'!$I$6:$I$505,"TRUE")+COUNTIFS('أرقام التواصل'!$A$6:$A$505,"proposed_name",'أرقام التواصل'!$B$6:$B$505,A284,'أرقام التواصل'!$C$6:$C$505,1))=0,"missing primary contact in أرقام التواصل; ","")&amp;IF(AND(U284="TRUE",V284=""),"duplicate_type required when duplicate_flag TRUE; ","")))))</f>
        <v/>
      </c>
    </row>
    <row r="285" spans="1:29">
      <c r="A285" s="36"/>
      <c r="B285" s="24"/>
      <c r="C285" s="25"/>
      <c r="D285" s="25"/>
      <c r="E285" s="25"/>
      <c r="F285" s="24"/>
      <c r="G285" s="25"/>
      <c r="H285" s="25"/>
      <c r="I285" s="25"/>
      <c r="J285" s="25"/>
      <c r="K285" s="25"/>
      <c r="L285" s="25"/>
      <c r="M285" s="25"/>
      <c r="N285" s="25" t="str">
        <f t="shared" si="4"/>
        <v/>
      </c>
      <c r="O285" s="25"/>
      <c r="P285" s="25"/>
      <c r="Q285" s="25"/>
      <c r="R285" s="25"/>
      <c r="S285" s="25"/>
      <c r="T285" s="25"/>
      <c r="U285" s="25"/>
      <c r="V285" s="25"/>
      <c r="W285" s="24"/>
      <c r="X285" s="24"/>
      <c r="Y285" s="25"/>
      <c r="Z285" s="25" t="str">
        <f>IF(B285="","",IFERROR(INDEX(الزبائن!$AZ$6:$AZ$505,MATCH(B285,الزبائن!$A$6:$A$505,0)),"source key not found"))</f>
        <v/>
      </c>
      <c r="AA285" s="25" t="str">
        <f>IF(B285="","",IFERROR(INDEX(الزبائن!$BA$6:$BA$505,MATCH(B285,الزبائن!$A$6:$A$505,0)),"source key not found"))</f>
        <v/>
      </c>
      <c r="AB285" s="25" t="str">
        <f>IF(AND(A285="",C285="",D285="",H285="",K285="",L285=""),"",IF(C285="skip","SKIP",IF(OR(A285="",C285="",D285="",H285="",K285="",L285="",S285="",COUNTIF($A$6:$A$505,A285)&gt;1,AND(B285&lt;&gt;"",COUNTIF(الزبائن!$A$6:$A$505,B285)=0),(COUNTIFS('أرقام التواصل'!$A$6:$A$505,"proposed_name",'أرقام التواصل'!$B$6:$B$505,A285,'أرقام التواصل'!$I$6:$I$505,"TRUE")+COUNTIFS('أرقام التواصل'!$A$6:$A$505,"proposed_name",'أرقام التواصل'!$B$6:$B$505,A285,'أرقام التواصل'!$C$6:$C$505,1))=0,AND(U285="TRUE",V285="")),"REVIEW","READY")))</f>
        <v/>
      </c>
      <c r="AC285" s="27" t="str">
        <f>IF(AB285="","",IF(AB285="READY","",IF(AB285="SKIP","Skipped by candidate_import_action",TRIM(IF(A285="","missing proposed_name_key; ","")&amp;IF(AND(A285&lt;&gt;"",COUNTIF($A$6:$A$505,A285)&gt;1),"duplicate proposed_name_key; ","")&amp;IF(C285="","missing candidate_import_action; ","")&amp;IF(D285="","missing move_reason; ","")&amp;IF(H285="","missing branch_id; ","")&amp;IF(K285="","missing first_name; ","")&amp;IF(L285="","missing last_name; ","")&amp;IF(S285="","missing status; ","")&amp;IF(AND(B285&lt;&gt;"",COUNTIF(الزبائن!$A$6:$A$505,B285)=0),"source key not found; ","")&amp;IF((COUNTIFS('أرقام التواصل'!$A$6:$A$505,"proposed_name",'أرقام التواصل'!$B$6:$B$505,A285,'أرقام التواصل'!$I$6:$I$505,"TRUE")+COUNTIFS('أرقام التواصل'!$A$6:$A$505,"proposed_name",'أرقام التواصل'!$B$6:$B$505,A285,'أرقام التواصل'!$C$6:$C$505,1))=0,"missing primary contact in أرقام التواصل; ","")&amp;IF(AND(U285="TRUE",V285=""),"duplicate_type required when duplicate_flag TRUE; ","")))))</f>
        <v/>
      </c>
    </row>
    <row r="286" spans="1:29">
      <c r="A286" s="36"/>
      <c r="B286" s="24"/>
      <c r="C286" s="25"/>
      <c r="D286" s="25"/>
      <c r="E286" s="25"/>
      <c r="F286" s="24"/>
      <c r="G286" s="25"/>
      <c r="H286" s="25"/>
      <c r="I286" s="25"/>
      <c r="J286" s="25"/>
      <c r="K286" s="25"/>
      <c r="L286" s="25"/>
      <c r="M286" s="25"/>
      <c r="N286" s="25" t="str">
        <f t="shared" si="4"/>
        <v/>
      </c>
      <c r="O286" s="25"/>
      <c r="P286" s="25"/>
      <c r="Q286" s="25"/>
      <c r="R286" s="25"/>
      <c r="S286" s="25"/>
      <c r="T286" s="25"/>
      <c r="U286" s="25"/>
      <c r="V286" s="25"/>
      <c r="W286" s="24"/>
      <c r="X286" s="24"/>
      <c r="Y286" s="25"/>
      <c r="Z286" s="25" t="str">
        <f>IF(B286="","",IFERROR(INDEX(الزبائن!$AZ$6:$AZ$505,MATCH(B286,الزبائن!$A$6:$A$505,0)),"source key not found"))</f>
        <v/>
      </c>
      <c r="AA286" s="25" t="str">
        <f>IF(B286="","",IFERROR(INDEX(الزبائن!$BA$6:$BA$505,MATCH(B286,الزبائن!$A$6:$A$505,0)),"source key not found"))</f>
        <v/>
      </c>
      <c r="AB286" s="25" t="str">
        <f>IF(AND(A286="",C286="",D286="",H286="",K286="",L286=""),"",IF(C286="skip","SKIP",IF(OR(A286="",C286="",D286="",H286="",K286="",L286="",S286="",COUNTIF($A$6:$A$505,A286)&gt;1,AND(B286&lt;&gt;"",COUNTIF(الزبائن!$A$6:$A$505,B286)=0),(COUNTIFS('أرقام التواصل'!$A$6:$A$505,"proposed_name",'أرقام التواصل'!$B$6:$B$505,A286,'أرقام التواصل'!$I$6:$I$505,"TRUE")+COUNTIFS('أرقام التواصل'!$A$6:$A$505,"proposed_name",'أرقام التواصل'!$B$6:$B$505,A286,'أرقام التواصل'!$C$6:$C$505,1))=0,AND(U286="TRUE",V286="")),"REVIEW","READY")))</f>
        <v/>
      </c>
      <c r="AC286" s="27" t="str">
        <f>IF(AB286="","",IF(AB286="READY","",IF(AB286="SKIP","Skipped by candidate_import_action",TRIM(IF(A286="","missing proposed_name_key; ","")&amp;IF(AND(A286&lt;&gt;"",COUNTIF($A$6:$A$505,A286)&gt;1),"duplicate proposed_name_key; ","")&amp;IF(C286="","missing candidate_import_action; ","")&amp;IF(D286="","missing move_reason; ","")&amp;IF(H286="","missing branch_id; ","")&amp;IF(K286="","missing first_name; ","")&amp;IF(L286="","missing last_name; ","")&amp;IF(S286="","missing status; ","")&amp;IF(AND(B286&lt;&gt;"",COUNTIF(الزبائن!$A$6:$A$505,B286)=0),"source key not found; ","")&amp;IF((COUNTIFS('أرقام التواصل'!$A$6:$A$505,"proposed_name",'أرقام التواصل'!$B$6:$B$505,A286,'أرقام التواصل'!$I$6:$I$505,"TRUE")+COUNTIFS('أرقام التواصل'!$A$6:$A$505,"proposed_name",'أرقام التواصل'!$B$6:$B$505,A286,'أرقام التواصل'!$C$6:$C$505,1))=0,"missing primary contact in أرقام التواصل; ","")&amp;IF(AND(U286="TRUE",V286=""),"duplicate_type required when duplicate_flag TRUE; ","")))))</f>
        <v/>
      </c>
    </row>
    <row r="287" spans="1:29">
      <c r="A287" s="36"/>
      <c r="B287" s="24"/>
      <c r="C287" s="25"/>
      <c r="D287" s="25"/>
      <c r="E287" s="25"/>
      <c r="F287" s="24"/>
      <c r="G287" s="25"/>
      <c r="H287" s="25"/>
      <c r="I287" s="25"/>
      <c r="J287" s="25"/>
      <c r="K287" s="25"/>
      <c r="L287" s="25"/>
      <c r="M287" s="25"/>
      <c r="N287" s="25" t="str">
        <f t="shared" si="4"/>
        <v/>
      </c>
      <c r="O287" s="25"/>
      <c r="P287" s="25"/>
      <c r="Q287" s="25"/>
      <c r="R287" s="25"/>
      <c r="S287" s="25"/>
      <c r="T287" s="25"/>
      <c r="U287" s="25"/>
      <c r="V287" s="25"/>
      <c r="W287" s="24"/>
      <c r="X287" s="24"/>
      <c r="Y287" s="25"/>
      <c r="Z287" s="25" t="str">
        <f>IF(B287="","",IFERROR(INDEX(الزبائن!$AZ$6:$AZ$505,MATCH(B287,الزبائن!$A$6:$A$505,0)),"source key not found"))</f>
        <v/>
      </c>
      <c r="AA287" s="25" t="str">
        <f>IF(B287="","",IFERROR(INDEX(الزبائن!$BA$6:$BA$505,MATCH(B287,الزبائن!$A$6:$A$505,0)),"source key not found"))</f>
        <v/>
      </c>
      <c r="AB287" s="25" t="str">
        <f>IF(AND(A287="",C287="",D287="",H287="",K287="",L287=""),"",IF(C287="skip","SKIP",IF(OR(A287="",C287="",D287="",H287="",K287="",L287="",S287="",COUNTIF($A$6:$A$505,A287)&gt;1,AND(B287&lt;&gt;"",COUNTIF(الزبائن!$A$6:$A$505,B287)=0),(COUNTIFS('أرقام التواصل'!$A$6:$A$505,"proposed_name",'أرقام التواصل'!$B$6:$B$505,A287,'أرقام التواصل'!$I$6:$I$505,"TRUE")+COUNTIFS('أرقام التواصل'!$A$6:$A$505,"proposed_name",'أرقام التواصل'!$B$6:$B$505,A287,'أرقام التواصل'!$C$6:$C$505,1))=0,AND(U287="TRUE",V287="")),"REVIEW","READY")))</f>
        <v/>
      </c>
      <c r="AC287" s="27" t="str">
        <f>IF(AB287="","",IF(AB287="READY","",IF(AB287="SKIP","Skipped by candidate_import_action",TRIM(IF(A287="","missing proposed_name_key; ","")&amp;IF(AND(A287&lt;&gt;"",COUNTIF($A$6:$A$505,A287)&gt;1),"duplicate proposed_name_key; ","")&amp;IF(C287="","missing candidate_import_action; ","")&amp;IF(D287="","missing move_reason; ","")&amp;IF(H287="","missing branch_id; ","")&amp;IF(K287="","missing first_name; ","")&amp;IF(L287="","missing last_name; ","")&amp;IF(S287="","missing status; ","")&amp;IF(AND(B287&lt;&gt;"",COUNTIF(الزبائن!$A$6:$A$505,B287)=0),"source key not found; ","")&amp;IF((COUNTIFS('أرقام التواصل'!$A$6:$A$505,"proposed_name",'أرقام التواصل'!$B$6:$B$505,A287,'أرقام التواصل'!$I$6:$I$505,"TRUE")+COUNTIFS('أرقام التواصل'!$A$6:$A$505,"proposed_name",'أرقام التواصل'!$B$6:$B$505,A287,'أرقام التواصل'!$C$6:$C$505,1))=0,"missing primary contact in أرقام التواصل; ","")&amp;IF(AND(U287="TRUE",V287=""),"duplicate_type required when duplicate_flag TRUE; ","")))))</f>
        <v/>
      </c>
    </row>
    <row r="288" spans="1:29">
      <c r="A288" s="36"/>
      <c r="B288" s="24"/>
      <c r="C288" s="25"/>
      <c r="D288" s="25"/>
      <c r="E288" s="25"/>
      <c r="F288" s="24"/>
      <c r="G288" s="25"/>
      <c r="H288" s="25"/>
      <c r="I288" s="25"/>
      <c r="J288" s="25"/>
      <c r="K288" s="25"/>
      <c r="L288" s="25"/>
      <c r="M288" s="25"/>
      <c r="N288" s="25" t="str">
        <f t="shared" si="4"/>
        <v/>
      </c>
      <c r="O288" s="25"/>
      <c r="P288" s="25"/>
      <c r="Q288" s="25"/>
      <c r="R288" s="25"/>
      <c r="S288" s="25"/>
      <c r="T288" s="25"/>
      <c r="U288" s="25"/>
      <c r="V288" s="25"/>
      <c r="W288" s="24"/>
      <c r="X288" s="24"/>
      <c r="Y288" s="25"/>
      <c r="Z288" s="25" t="str">
        <f>IF(B288="","",IFERROR(INDEX(الزبائن!$AZ$6:$AZ$505,MATCH(B288,الزبائن!$A$6:$A$505,0)),"source key not found"))</f>
        <v/>
      </c>
      <c r="AA288" s="25" t="str">
        <f>IF(B288="","",IFERROR(INDEX(الزبائن!$BA$6:$BA$505,MATCH(B288,الزبائن!$A$6:$A$505,0)),"source key not found"))</f>
        <v/>
      </c>
      <c r="AB288" s="25" t="str">
        <f>IF(AND(A288="",C288="",D288="",H288="",K288="",L288=""),"",IF(C288="skip","SKIP",IF(OR(A288="",C288="",D288="",H288="",K288="",L288="",S288="",COUNTIF($A$6:$A$505,A288)&gt;1,AND(B288&lt;&gt;"",COUNTIF(الزبائن!$A$6:$A$505,B288)=0),(COUNTIFS('أرقام التواصل'!$A$6:$A$505,"proposed_name",'أرقام التواصل'!$B$6:$B$505,A288,'أرقام التواصل'!$I$6:$I$505,"TRUE")+COUNTIFS('أرقام التواصل'!$A$6:$A$505,"proposed_name",'أرقام التواصل'!$B$6:$B$505,A288,'أرقام التواصل'!$C$6:$C$505,1))=0,AND(U288="TRUE",V288="")),"REVIEW","READY")))</f>
        <v/>
      </c>
      <c r="AC288" s="27" t="str">
        <f>IF(AB288="","",IF(AB288="READY","",IF(AB288="SKIP","Skipped by candidate_import_action",TRIM(IF(A288="","missing proposed_name_key; ","")&amp;IF(AND(A288&lt;&gt;"",COUNTIF($A$6:$A$505,A288)&gt;1),"duplicate proposed_name_key; ","")&amp;IF(C288="","missing candidate_import_action; ","")&amp;IF(D288="","missing move_reason; ","")&amp;IF(H288="","missing branch_id; ","")&amp;IF(K288="","missing first_name; ","")&amp;IF(L288="","missing last_name; ","")&amp;IF(S288="","missing status; ","")&amp;IF(AND(B288&lt;&gt;"",COUNTIF(الزبائن!$A$6:$A$505,B288)=0),"source key not found; ","")&amp;IF((COUNTIFS('أرقام التواصل'!$A$6:$A$505,"proposed_name",'أرقام التواصل'!$B$6:$B$505,A288,'أرقام التواصل'!$I$6:$I$505,"TRUE")+COUNTIFS('أرقام التواصل'!$A$6:$A$505,"proposed_name",'أرقام التواصل'!$B$6:$B$505,A288,'أرقام التواصل'!$C$6:$C$505,1))=0,"missing primary contact in أرقام التواصل; ","")&amp;IF(AND(U288="TRUE",V288=""),"duplicate_type required when duplicate_flag TRUE; ","")))))</f>
        <v/>
      </c>
    </row>
    <row r="289" spans="1:29">
      <c r="A289" s="36"/>
      <c r="B289" s="24"/>
      <c r="C289" s="25"/>
      <c r="D289" s="25"/>
      <c r="E289" s="25"/>
      <c r="F289" s="24"/>
      <c r="G289" s="25"/>
      <c r="H289" s="25"/>
      <c r="I289" s="25"/>
      <c r="J289" s="25"/>
      <c r="K289" s="25"/>
      <c r="L289" s="25"/>
      <c r="M289" s="25"/>
      <c r="N289" s="25" t="str">
        <f t="shared" si="4"/>
        <v/>
      </c>
      <c r="O289" s="25"/>
      <c r="P289" s="25"/>
      <c r="Q289" s="25"/>
      <c r="R289" s="25"/>
      <c r="S289" s="25"/>
      <c r="T289" s="25"/>
      <c r="U289" s="25"/>
      <c r="V289" s="25"/>
      <c r="W289" s="24"/>
      <c r="X289" s="24"/>
      <c r="Y289" s="25"/>
      <c r="Z289" s="25" t="str">
        <f>IF(B289="","",IFERROR(INDEX(الزبائن!$AZ$6:$AZ$505,MATCH(B289,الزبائن!$A$6:$A$505,0)),"source key not found"))</f>
        <v/>
      </c>
      <c r="AA289" s="25" t="str">
        <f>IF(B289="","",IFERROR(INDEX(الزبائن!$BA$6:$BA$505,MATCH(B289,الزبائن!$A$6:$A$505,0)),"source key not found"))</f>
        <v/>
      </c>
      <c r="AB289" s="25" t="str">
        <f>IF(AND(A289="",C289="",D289="",H289="",K289="",L289=""),"",IF(C289="skip","SKIP",IF(OR(A289="",C289="",D289="",H289="",K289="",L289="",S289="",COUNTIF($A$6:$A$505,A289)&gt;1,AND(B289&lt;&gt;"",COUNTIF(الزبائن!$A$6:$A$505,B289)=0),(COUNTIFS('أرقام التواصل'!$A$6:$A$505,"proposed_name",'أرقام التواصل'!$B$6:$B$505,A289,'أرقام التواصل'!$I$6:$I$505,"TRUE")+COUNTIFS('أرقام التواصل'!$A$6:$A$505,"proposed_name",'أرقام التواصل'!$B$6:$B$505,A289,'أرقام التواصل'!$C$6:$C$505,1))=0,AND(U289="TRUE",V289="")),"REVIEW","READY")))</f>
        <v/>
      </c>
      <c r="AC289" s="27" t="str">
        <f>IF(AB289="","",IF(AB289="READY","",IF(AB289="SKIP","Skipped by candidate_import_action",TRIM(IF(A289="","missing proposed_name_key; ","")&amp;IF(AND(A289&lt;&gt;"",COUNTIF($A$6:$A$505,A289)&gt;1),"duplicate proposed_name_key; ","")&amp;IF(C289="","missing candidate_import_action; ","")&amp;IF(D289="","missing move_reason; ","")&amp;IF(H289="","missing branch_id; ","")&amp;IF(K289="","missing first_name; ","")&amp;IF(L289="","missing last_name; ","")&amp;IF(S289="","missing status; ","")&amp;IF(AND(B289&lt;&gt;"",COUNTIF(الزبائن!$A$6:$A$505,B289)=0),"source key not found; ","")&amp;IF((COUNTIFS('أرقام التواصل'!$A$6:$A$505,"proposed_name",'أرقام التواصل'!$B$6:$B$505,A289,'أرقام التواصل'!$I$6:$I$505,"TRUE")+COUNTIFS('أرقام التواصل'!$A$6:$A$505,"proposed_name",'أرقام التواصل'!$B$6:$B$505,A289,'أرقام التواصل'!$C$6:$C$505,1))=0,"missing primary contact in أرقام التواصل; ","")&amp;IF(AND(U289="TRUE",V289=""),"duplicate_type required when duplicate_flag TRUE; ","")))))</f>
        <v/>
      </c>
    </row>
    <row r="290" spans="1:29">
      <c r="A290" s="36"/>
      <c r="B290" s="24"/>
      <c r="C290" s="25"/>
      <c r="D290" s="25"/>
      <c r="E290" s="25"/>
      <c r="F290" s="24"/>
      <c r="G290" s="25"/>
      <c r="H290" s="25"/>
      <c r="I290" s="25"/>
      <c r="J290" s="25"/>
      <c r="K290" s="25"/>
      <c r="L290" s="25"/>
      <c r="M290" s="25"/>
      <c r="N290" s="25" t="str">
        <f t="shared" si="4"/>
        <v/>
      </c>
      <c r="O290" s="25"/>
      <c r="P290" s="25"/>
      <c r="Q290" s="25"/>
      <c r="R290" s="25"/>
      <c r="S290" s="25"/>
      <c r="T290" s="25"/>
      <c r="U290" s="25"/>
      <c r="V290" s="25"/>
      <c r="W290" s="24"/>
      <c r="X290" s="24"/>
      <c r="Y290" s="25"/>
      <c r="Z290" s="25" t="str">
        <f>IF(B290="","",IFERROR(INDEX(الزبائن!$AZ$6:$AZ$505,MATCH(B290,الزبائن!$A$6:$A$505,0)),"source key not found"))</f>
        <v/>
      </c>
      <c r="AA290" s="25" t="str">
        <f>IF(B290="","",IFERROR(INDEX(الزبائن!$BA$6:$BA$505,MATCH(B290,الزبائن!$A$6:$A$505,0)),"source key not found"))</f>
        <v/>
      </c>
      <c r="AB290" s="25" t="str">
        <f>IF(AND(A290="",C290="",D290="",H290="",K290="",L290=""),"",IF(C290="skip","SKIP",IF(OR(A290="",C290="",D290="",H290="",K290="",L290="",S290="",COUNTIF($A$6:$A$505,A290)&gt;1,AND(B290&lt;&gt;"",COUNTIF(الزبائن!$A$6:$A$505,B290)=0),(COUNTIFS('أرقام التواصل'!$A$6:$A$505,"proposed_name",'أرقام التواصل'!$B$6:$B$505,A290,'أرقام التواصل'!$I$6:$I$505,"TRUE")+COUNTIFS('أرقام التواصل'!$A$6:$A$505,"proposed_name",'أرقام التواصل'!$B$6:$B$505,A290,'أرقام التواصل'!$C$6:$C$505,1))=0,AND(U290="TRUE",V290="")),"REVIEW","READY")))</f>
        <v/>
      </c>
      <c r="AC290" s="27" t="str">
        <f>IF(AB290="","",IF(AB290="READY","",IF(AB290="SKIP","Skipped by candidate_import_action",TRIM(IF(A290="","missing proposed_name_key; ","")&amp;IF(AND(A290&lt;&gt;"",COUNTIF($A$6:$A$505,A290)&gt;1),"duplicate proposed_name_key; ","")&amp;IF(C290="","missing candidate_import_action; ","")&amp;IF(D290="","missing move_reason; ","")&amp;IF(H290="","missing branch_id; ","")&amp;IF(K290="","missing first_name; ","")&amp;IF(L290="","missing last_name; ","")&amp;IF(S290="","missing status; ","")&amp;IF(AND(B290&lt;&gt;"",COUNTIF(الزبائن!$A$6:$A$505,B290)=0),"source key not found; ","")&amp;IF((COUNTIFS('أرقام التواصل'!$A$6:$A$505,"proposed_name",'أرقام التواصل'!$B$6:$B$505,A290,'أرقام التواصل'!$I$6:$I$505,"TRUE")+COUNTIFS('أرقام التواصل'!$A$6:$A$505,"proposed_name",'أرقام التواصل'!$B$6:$B$505,A290,'أرقام التواصل'!$C$6:$C$505,1))=0,"missing primary contact in أرقام التواصل; ","")&amp;IF(AND(U290="TRUE",V290=""),"duplicate_type required when duplicate_flag TRUE; ","")))))</f>
        <v/>
      </c>
    </row>
    <row r="291" spans="1:29">
      <c r="A291" s="36"/>
      <c r="B291" s="24"/>
      <c r="C291" s="25"/>
      <c r="D291" s="25"/>
      <c r="E291" s="25"/>
      <c r="F291" s="24"/>
      <c r="G291" s="25"/>
      <c r="H291" s="25"/>
      <c r="I291" s="25"/>
      <c r="J291" s="25"/>
      <c r="K291" s="25"/>
      <c r="L291" s="25"/>
      <c r="M291" s="25"/>
      <c r="N291" s="25" t="str">
        <f t="shared" si="4"/>
        <v/>
      </c>
      <c r="O291" s="25"/>
      <c r="P291" s="25"/>
      <c r="Q291" s="25"/>
      <c r="R291" s="25"/>
      <c r="S291" s="25"/>
      <c r="T291" s="25"/>
      <c r="U291" s="25"/>
      <c r="V291" s="25"/>
      <c r="W291" s="24"/>
      <c r="X291" s="24"/>
      <c r="Y291" s="25"/>
      <c r="Z291" s="25" t="str">
        <f>IF(B291="","",IFERROR(INDEX(الزبائن!$AZ$6:$AZ$505,MATCH(B291,الزبائن!$A$6:$A$505,0)),"source key not found"))</f>
        <v/>
      </c>
      <c r="AA291" s="25" t="str">
        <f>IF(B291="","",IFERROR(INDEX(الزبائن!$BA$6:$BA$505,MATCH(B291,الزبائن!$A$6:$A$505,0)),"source key not found"))</f>
        <v/>
      </c>
      <c r="AB291" s="25" t="str">
        <f>IF(AND(A291="",C291="",D291="",H291="",K291="",L291=""),"",IF(C291="skip","SKIP",IF(OR(A291="",C291="",D291="",H291="",K291="",L291="",S291="",COUNTIF($A$6:$A$505,A291)&gt;1,AND(B291&lt;&gt;"",COUNTIF(الزبائن!$A$6:$A$505,B291)=0),(COUNTIFS('أرقام التواصل'!$A$6:$A$505,"proposed_name",'أرقام التواصل'!$B$6:$B$505,A291,'أرقام التواصل'!$I$6:$I$505,"TRUE")+COUNTIFS('أرقام التواصل'!$A$6:$A$505,"proposed_name",'أرقام التواصل'!$B$6:$B$505,A291,'أرقام التواصل'!$C$6:$C$505,1))=0,AND(U291="TRUE",V291="")),"REVIEW","READY")))</f>
        <v/>
      </c>
      <c r="AC291" s="27" t="str">
        <f>IF(AB291="","",IF(AB291="READY","",IF(AB291="SKIP","Skipped by candidate_import_action",TRIM(IF(A291="","missing proposed_name_key; ","")&amp;IF(AND(A291&lt;&gt;"",COUNTIF($A$6:$A$505,A291)&gt;1),"duplicate proposed_name_key; ","")&amp;IF(C291="","missing candidate_import_action; ","")&amp;IF(D291="","missing move_reason; ","")&amp;IF(H291="","missing branch_id; ","")&amp;IF(K291="","missing first_name; ","")&amp;IF(L291="","missing last_name; ","")&amp;IF(S291="","missing status; ","")&amp;IF(AND(B291&lt;&gt;"",COUNTIF(الزبائن!$A$6:$A$505,B291)=0),"source key not found; ","")&amp;IF((COUNTIFS('أرقام التواصل'!$A$6:$A$505,"proposed_name",'أرقام التواصل'!$B$6:$B$505,A291,'أرقام التواصل'!$I$6:$I$505,"TRUE")+COUNTIFS('أرقام التواصل'!$A$6:$A$505,"proposed_name",'أرقام التواصل'!$B$6:$B$505,A291,'أرقام التواصل'!$C$6:$C$505,1))=0,"missing primary contact in أرقام التواصل; ","")&amp;IF(AND(U291="TRUE",V291=""),"duplicate_type required when duplicate_flag TRUE; ","")))))</f>
        <v/>
      </c>
    </row>
    <row r="292" spans="1:29">
      <c r="A292" s="36"/>
      <c r="B292" s="24"/>
      <c r="C292" s="25"/>
      <c r="D292" s="25"/>
      <c r="E292" s="25"/>
      <c r="F292" s="24"/>
      <c r="G292" s="25"/>
      <c r="H292" s="25"/>
      <c r="I292" s="25"/>
      <c r="J292" s="25"/>
      <c r="K292" s="25"/>
      <c r="L292" s="25"/>
      <c r="M292" s="25"/>
      <c r="N292" s="25" t="str">
        <f t="shared" si="4"/>
        <v/>
      </c>
      <c r="O292" s="25"/>
      <c r="P292" s="25"/>
      <c r="Q292" s="25"/>
      <c r="R292" s="25"/>
      <c r="S292" s="25"/>
      <c r="T292" s="25"/>
      <c r="U292" s="25"/>
      <c r="V292" s="25"/>
      <c r="W292" s="24"/>
      <c r="X292" s="24"/>
      <c r="Y292" s="25"/>
      <c r="Z292" s="25" t="str">
        <f>IF(B292="","",IFERROR(INDEX(الزبائن!$AZ$6:$AZ$505,MATCH(B292,الزبائن!$A$6:$A$505,0)),"source key not found"))</f>
        <v/>
      </c>
      <c r="AA292" s="25" t="str">
        <f>IF(B292="","",IFERROR(INDEX(الزبائن!$BA$6:$BA$505,MATCH(B292,الزبائن!$A$6:$A$505,0)),"source key not found"))</f>
        <v/>
      </c>
      <c r="AB292" s="25" t="str">
        <f>IF(AND(A292="",C292="",D292="",H292="",K292="",L292=""),"",IF(C292="skip","SKIP",IF(OR(A292="",C292="",D292="",H292="",K292="",L292="",S292="",COUNTIF($A$6:$A$505,A292)&gt;1,AND(B292&lt;&gt;"",COUNTIF(الزبائن!$A$6:$A$505,B292)=0),(COUNTIFS('أرقام التواصل'!$A$6:$A$505,"proposed_name",'أرقام التواصل'!$B$6:$B$505,A292,'أرقام التواصل'!$I$6:$I$505,"TRUE")+COUNTIFS('أرقام التواصل'!$A$6:$A$505,"proposed_name",'أرقام التواصل'!$B$6:$B$505,A292,'أرقام التواصل'!$C$6:$C$505,1))=0,AND(U292="TRUE",V292="")),"REVIEW","READY")))</f>
        <v/>
      </c>
      <c r="AC292" s="27" t="str">
        <f>IF(AB292="","",IF(AB292="READY","",IF(AB292="SKIP","Skipped by candidate_import_action",TRIM(IF(A292="","missing proposed_name_key; ","")&amp;IF(AND(A292&lt;&gt;"",COUNTIF($A$6:$A$505,A292)&gt;1),"duplicate proposed_name_key; ","")&amp;IF(C292="","missing candidate_import_action; ","")&amp;IF(D292="","missing move_reason; ","")&amp;IF(H292="","missing branch_id; ","")&amp;IF(K292="","missing first_name; ","")&amp;IF(L292="","missing last_name; ","")&amp;IF(S292="","missing status; ","")&amp;IF(AND(B292&lt;&gt;"",COUNTIF(الزبائن!$A$6:$A$505,B292)=0),"source key not found; ","")&amp;IF((COUNTIFS('أرقام التواصل'!$A$6:$A$505,"proposed_name",'أرقام التواصل'!$B$6:$B$505,A292,'أرقام التواصل'!$I$6:$I$505,"TRUE")+COUNTIFS('أرقام التواصل'!$A$6:$A$505,"proposed_name",'أرقام التواصل'!$B$6:$B$505,A292,'أرقام التواصل'!$C$6:$C$505,1))=0,"missing primary contact in أرقام التواصل; ","")&amp;IF(AND(U292="TRUE",V292=""),"duplicate_type required when duplicate_flag TRUE; ","")))))</f>
        <v/>
      </c>
    </row>
    <row r="293" spans="1:29">
      <c r="A293" s="36"/>
      <c r="B293" s="24"/>
      <c r="C293" s="25"/>
      <c r="D293" s="25"/>
      <c r="E293" s="25"/>
      <c r="F293" s="24"/>
      <c r="G293" s="25"/>
      <c r="H293" s="25"/>
      <c r="I293" s="25"/>
      <c r="J293" s="25"/>
      <c r="K293" s="25"/>
      <c r="L293" s="25"/>
      <c r="M293" s="25"/>
      <c r="N293" s="25" t="str">
        <f t="shared" si="4"/>
        <v/>
      </c>
      <c r="O293" s="25"/>
      <c r="P293" s="25"/>
      <c r="Q293" s="25"/>
      <c r="R293" s="25"/>
      <c r="S293" s="25"/>
      <c r="T293" s="25"/>
      <c r="U293" s="25"/>
      <c r="V293" s="25"/>
      <c r="W293" s="24"/>
      <c r="X293" s="24"/>
      <c r="Y293" s="25"/>
      <c r="Z293" s="25" t="str">
        <f>IF(B293="","",IFERROR(INDEX(الزبائن!$AZ$6:$AZ$505,MATCH(B293,الزبائن!$A$6:$A$505,0)),"source key not found"))</f>
        <v/>
      </c>
      <c r="AA293" s="25" t="str">
        <f>IF(B293="","",IFERROR(INDEX(الزبائن!$BA$6:$BA$505,MATCH(B293,الزبائن!$A$6:$A$505,0)),"source key not found"))</f>
        <v/>
      </c>
      <c r="AB293" s="25" t="str">
        <f>IF(AND(A293="",C293="",D293="",H293="",K293="",L293=""),"",IF(C293="skip","SKIP",IF(OR(A293="",C293="",D293="",H293="",K293="",L293="",S293="",COUNTIF($A$6:$A$505,A293)&gt;1,AND(B293&lt;&gt;"",COUNTIF(الزبائن!$A$6:$A$505,B293)=0),(COUNTIFS('أرقام التواصل'!$A$6:$A$505,"proposed_name",'أرقام التواصل'!$B$6:$B$505,A293,'أرقام التواصل'!$I$6:$I$505,"TRUE")+COUNTIFS('أرقام التواصل'!$A$6:$A$505,"proposed_name",'أرقام التواصل'!$B$6:$B$505,A293,'أرقام التواصل'!$C$6:$C$505,1))=0,AND(U293="TRUE",V293="")),"REVIEW","READY")))</f>
        <v/>
      </c>
      <c r="AC293" s="27" t="str">
        <f>IF(AB293="","",IF(AB293="READY","",IF(AB293="SKIP","Skipped by candidate_import_action",TRIM(IF(A293="","missing proposed_name_key; ","")&amp;IF(AND(A293&lt;&gt;"",COUNTIF($A$6:$A$505,A293)&gt;1),"duplicate proposed_name_key; ","")&amp;IF(C293="","missing candidate_import_action; ","")&amp;IF(D293="","missing move_reason; ","")&amp;IF(H293="","missing branch_id; ","")&amp;IF(K293="","missing first_name; ","")&amp;IF(L293="","missing last_name; ","")&amp;IF(S293="","missing status; ","")&amp;IF(AND(B293&lt;&gt;"",COUNTIF(الزبائن!$A$6:$A$505,B293)=0),"source key not found; ","")&amp;IF((COUNTIFS('أرقام التواصل'!$A$6:$A$505,"proposed_name",'أرقام التواصل'!$B$6:$B$505,A293,'أرقام التواصل'!$I$6:$I$505,"TRUE")+COUNTIFS('أرقام التواصل'!$A$6:$A$505,"proposed_name",'أرقام التواصل'!$B$6:$B$505,A293,'أرقام التواصل'!$C$6:$C$505,1))=0,"missing primary contact in أرقام التواصل; ","")&amp;IF(AND(U293="TRUE",V293=""),"duplicate_type required when duplicate_flag TRUE; ","")))))</f>
        <v/>
      </c>
    </row>
    <row r="294" spans="1:29">
      <c r="A294" s="36"/>
      <c r="B294" s="24"/>
      <c r="C294" s="25"/>
      <c r="D294" s="25"/>
      <c r="E294" s="25"/>
      <c r="F294" s="24"/>
      <c r="G294" s="25"/>
      <c r="H294" s="25"/>
      <c r="I294" s="25"/>
      <c r="J294" s="25"/>
      <c r="K294" s="25"/>
      <c r="L294" s="25"/>
      <c r="M294" s="25"/>
      <c r="N294" s="25" t="str">
        <f t="shared" si="4"/>
        <v/>
      </c>
      <c r="O294" s="25"/>
      <c r="P294" s="25"/>
      <c r="Q294" s="25"/>
      <c r="R294" s="25"/>
      <c r="S294" s="25"/>
      <c r="T294" s="25"/>
      <c r="U294" s="25"/>
      <c r="V294" s="25"/>
      <c r="W294" s="24"/>
      <c r="X294" s="24"/>
      <c r="Y294" s="25"/>
      <c r="Z294" s="25" t="str">
        <f>IF(B294="","",IFERROR(INDEX(الزبائن!$AZ$6:$AZ$505,MATCH(B294,الزبائن!$A$6:$A$505,0)),"source key not found"))</f>
        <v/>
      </c>
      <c r="AA294" s="25" t="str">
        <f>IF(B294="","",IFERROR(INDEX(الزبائن!$BA$6:$BA$505,MATCH(B294,الزبائن!$A$6:$A$505,0)),"source key not found"))</f>
        <v/>
      </c>
      <c r="AB294" s="25" t="str">
        <f>IF(AND(A294="",C294="",D294="",H294="",K294="",L294=""),"",IF(C294="skip","SKIP",IF(OR(A294="",C294="",D294="",H294="",K294="",L294="",S294="",COUNTIF($A$6:$A$505,A294)&gt;1,AND(B294&lt;&gt;"",COUNTIF(الزبائن!$A$6:$A$505,B294)=0),(COUNTIFS('أرقام التواصل'!$A$6:$A$505,"proposed_name",'أرقام التواصل'!$B$6:$B$505,A294,'أرقام التواصل'!$I$6:$I$505,"TRUE")+COUNTIFS('أرقام التواصل'!$A$6:$A$505,"proposed_name",'أرقام التواصل'!$B$6:$B$505,A294,'أرقام التواصل'!$C$6:$C$505,1))=0,AND(U294="TRUE",V294="")),"REVIEW","READY")))</f>
        <v/>
      </c>
      <c r="AC294" s="27" t="str">
        <f>IF(AB294="","",IF(AB294="READY","",IF(AB294="SKIP","Skipped by candidate_import_action",TRIM(IF(A294="","missing proposed_name_key; ","")&amp;IF(AND(A294&lt;&gt;"",COUNTIF($A$6:$A$505,A294)&gt;1),"duplicate proposed_name_key; ","")&amp;IF(C294="","missing candidate_import_action; ","")&amp;IF(D294="","missing move_reason; ","")&amp;IF(H294="","missing branch_id; ","")&amp;IF(K294="","missing first_name; ","")&amp;IF(L294="","missing last_name; ","")&amp;IF(S294="","missing status; ","")&amp;IF(AND(B294&lt;&gt;"",COUNTIF(الزبائن!$A$6:$A$505,B294)=0),"source key not found; ","")&amp;IF((COUNTIFS('أرقام التواصل'!$A$6:$A$505,"proposed_name",'أرقام التواصل'!$B$6:$B$505,A294,'أرقام التواصل'!$I$6:$I$505,"TRUE")+COUNTIFS('أرقام التواصل'!$A$6:$A$505,"proposed_name",'أرقام التواصل'!$B$6:$B$505,A294,'أرقام التواصل'!$C$6:$C$505,1))=0,"missing primary contact in أرقام التواصل; ","")&amp;IF(AND(U294="TRUE",V294=""),"duplicate_type required when duplicate_flag TRUE; ","")))))</f>
        <v/>
      </c>
    </row>
    <row r="295" spans="1:29">
      <c r="A295" s="36"/>
      <c r="B295" s="24"/>
      <c r="C295" s="25"/>
      <c r="D295" s="25"/>
      <c r="E295" s="25"/>
      <c r="F295" s="24"/>
      <c r="G295" s="25"/>
      <c r="H295" s="25"/>
      <c r="I295" s="25"/>
      <c r="J295" s="25"/>
      <c r="K295" s="25"/>
      <c r="L295" s="25"/>
      <c r="M295" s="25"/>
      <c r="N295" s="25" t="str">
        <f t="shared" si="4"/>
        <v/>
      </c>
      <c r="O295" s="25"/>
      <c r="P295" s="25"/>
      <c r="Q295" s="25"/>
      <c r="R295" s="25"/>
      <c r="S295" s="25"/>
      <c r="T295" s="25"/>
      <c r="U295" s="25"/>
      <c r="V295" s="25"/>
      <c r="W295" s="24"/>
      <c r="X295" s="24"/>
      <c r="Y295" s="25"/>
      <c r="Z295" s="25" t="str">
        <f>IF(B295="","",IFERROR(INDEX(الزبائن!$AZ$6:$AZ$505,MATCH(B295,الزبائن!$A$6:$A$505,0)),"source key not found"))</f>
        <v/>
      </c>
      <c r="AA295" s="25" t="str">
        <f>IF(B295="","",IFERROR(INDEX(الزبائن!$BA$6:$BA$505,MATCH(B295,الزبائن!$A$6:$A$505,0)),"source key not found"))</f>
        <v/>
      </c>
      <c r="AB295" s="25" t="str">
        <f>IF(AND(A295="",C295="",D295="",H295="",K295="",L295=""),"",IF(C295="skip","SKIP",IF(OR(A295="",C295="",D295="",H295="",K295="",L295="",S295="",COUNTIF($A$6:$A$505,A295)&gt;1,AND(B295&lt;&gt;"",COUNTIF(الزبائن!$A$6:$A$505,B295)=0),(COUNTIFS('أرقام التواصل'!$A$6:$A$505,"proposed_name",'أرقام التواصل'!$B$6:$B$505,A295,'أرقام التواصل'!$I$6:$I$505,"TRUE")+COUNTIFS('أرقام التواصل'!$A$6:$A$505,"proposed_name",'أرقام التواصل'!$B$6:$B$505,A295,'أرقام التواصل'!$C$6:$C$505,1))=0,AND(U295="TRUE",V295="")),"REVIEW","READY")))</f>
        <v/>
      </c>
      <c r="AC295" s="27" t="str">
        <f>IF(AB295="","",IF(AB295="READY","",IF(AB295="SKIP","Skipped by candidate_import_action",TRIM(IF(A295="","missing proposed_name_key; ","")&amp;IF(AND(A295&lt;&gt;"",COUNTIF($A$6:$A$505,A295)&gt;1),"duplicate proposed_name_key; ","")&amp;IF(C295="","missing candidate_import_action; ","")&amp;IF(D295="","missing move_reason; ","")&amp;IF(H295="","missing branch_id; ","")&amp;IF(K295="","missing first_name; ","")&amp;IF(L295="","missing last_name; ","")&amp;IF(S295="","missing status; ","")&amp;IF(AND(B295&lt;&gt;"",COUNTIF(الزبائن!$A$6:$A$505,B295)=0),"source key not found; ","")&amp;IF((COUNTIFS('أرقام التواصل'!$A$6:$A$505,"proposed_name",'أرقام التواصل'!$B$6:$B$505,A295,'أرقام التواصل'!$I$6:$I$505,"TRUE")+COUNTIFS('أرقام التواصل'!$A$6:$A$505,"proposed_name",'أرقام التواصل'!$B$6:$B$505,A295,'أرقام التواصل'!$C$6:$C$505,1))=0,"missing primary contact in أرقام التواصل; ","")&amp;IF(AND(U295="TRUE",V295=""),"duplicate_type required when duplicate_flag TRUE; ","")))))</f>
        <v/>
      </c>
    </row>
    <row r="296" spans="1:29">
      <c r="A296" s="36"/>
      <c r="B296" s="24"/>
      <c r="C296" s="25"/>
      <c r="D296" s="25"/>
      <c r="E296" s="25"/>
      <c r="F296" s="24"/>
      <c r="G296" s="25"/>
      <c r="H296" s="25"/>
      <c r="I296" s="25"/>
      <c r="J296" s="25"/>
      <c r="K296" s="25"/>
      <c r="L296" s="25"/>
      <c r="M296" s="25"/>
      <c r="N296" s="25" t="str">
        <f t="shared" si="4"/>
        <v/>
      </c>
      <c r="O296" s="25"/>
      <c r="P296" s="25"/>
      <c r="Q296" s="25"/>
      <c r="R296" s="25"/>
      <c r="S296" s="25"/>
      <c r="T296" s="25"/>
      <c r="U296" s="25"/>
      <c r="V296" s="25"/>
      <c r="W296" s="24"/>
      <c r="X296" s="24"/>
      <c r="Y296" s="25"/>
      <c r="Z296" s="25" t="str">
        <f>IF(B296="","",IFERROR(INDEX(الزبائن!$AZ$6:$AZ$505,MATCH(B296,الزبائن!$A$6:$A$505,0)),"source key not found"))</f>
        <v/>
      </c>
      <c r="AA296" s="25" t="str">
        <f>IF(B296="","",IFERROR(INDEX(الزبائن!$BA$6:$BA$505,MATCH(B296,الزبائن!$A$6:$A$505,0)),"source key not found"))</f>
        <v/>
      </c>
      <c r="AB296" s="25" t="str">
        <f>IF(AND(A296="",C296="",D296="",H296="",K296="",L296=""),"",IF(C296="skip","SKIP",IF(OR(A296="",C296="",D296="",H296="",K296="",L296="",S296="",COUNTIF($A$6:$A$505,A296)&gt;1,AND(B296&lt;&gt;"",COUNTIF(الزبائن!$A$6:$A$505,B296)=0),(COUNTIFS('أرقام التواصل'!$A$6:$A$505,"proposed_name",'أرقام التواصل'!$B$6:$B$505,A296,'أرقام التواصل'!$I$6:$I$505,"TRUE")+COUNTIFS('أرقام التواصل'!$A$6:$A$505,"proposed_name",'أرقام التواصل'!$B$6:$B$505,A296,'أرقام التواصل'!$C$6:$C$505,1))=0,AND(U296="TRUE",V296="")),"REVIEW","READY")))</f>
        <v/>
      </c>
      <c r="AC296" s="27" t="str">
        <f>IF(AB296="","",IF(AB296="READY","",IF(AB296="SKIP","Skipped by candidate_import_action",TRIM(IF(A296="","missing proposed_name_key; ","")&amp;IF(AND(A296&lt;&gt;"",COUNTIF($A$6:$A$505,A296)&gt;1),"duplicate proposed_name_key; ","")&amp;IF(C296="","missing candidate_import_action; ","")&amp;IF(D296="","missing move_reason; ","")&amp;IF(H296="","missing branch_id; ","")&amp;IF(K296="","missing first_name; ","")&amp;IF(L296="","missing last_name; ","")&amp;IF(S296="","missing status; ","")&amp;IF(AND(B296&lt;&gt;"",COUNTIF(الزبائن!$A$6:$A$505,B296)=0),"source key not found; ","")&amp;IF((COUNTIFS('أرقام التواصل'!$A$6:$A$505,"proposed_name",'أرقام التواصل'!$B$6:$B$505,A296,'أرقام التواصل'!$I$6:$I$505,"TRUE")+COUNTIFS('أرقام التواصل'!$A$6:$A$505,"proposed_name",'أرقام التواصل'!$B$6:$B$505,A296,'أرقام التواصل'!$C$6:$C$505,1))=0,"missing primary contact in أرقام التواصل; ","")&amp;IF(AND(U296="TRUE",V296=""),"duplicate_type required when duplicate_flag TRUE; ","")))))</f>
        <v/>
      </c>
    </row>
    <row r="297" spans="1:29">
      <c r="A297" s="36"/>
      <c r="B297" s="24"/>
      <c r="C297" s="25"/>
      <c r="D297" s="25"/>
      <c r="E297" s="25"/>
      <c r="F297" s="24"/>
      <c r="G297" s="25"/>
      <c r="H297" s="25"/>
      <c r="I297" s="25"/>
      <c r="J297" s="25"/>
      <c r="K297" s="25"/>
      <c r="L297" s="25"/>
      <c r="M297" s="25"/>
      <c r="N297" s="25" t="str">
        <f t="shared" si="4"/>
        <v/>
      </c>
      <c r="O297" s="25"/>
      <c r="P297" s="25"/>
      <c r="Q297" s="25"/>
      <c r="R297" s="25"/>
      <c r="S297" s="25"/>
      <c r="T297" s="25"/>
      <c r="U297" s="25"/>
      <c r="V297" s="25"/>
      <c r="W297" s="24"/>
      <c r="X297" s="24"/>
      <c r="Y297" s="25"/>
      <c r="Z297" s="25" t="str">
        <f>IF(B297="","",IFERROR(INDEX(الزبائن!$AZ$6:$AZ$505,MATCH(B297,الزبائن!$A$6:$A$505,0)),"source key not found"))</f>
        <v/>
      </c>
      <c r="AA297" s="25" t="str">
        <f>IF(B297="","",IFERROR(INDEX(الزبائن!$BA$6:$BA$505,MATCH(B297,الزبائن!$A$6:$A$505,0)),"source key not found"))</f>
        <v/>
      </c>
      <c r="AB297" s="25" t="str">
        <f>IF(AND(A297="",C297="",D297="",H297="",K297="",L297=""),"",IF(C297="skip","SKIP",IF(OR(A297="",C297="",D297="",H297="",K297="",L297="",S297="",COUNTIF($A$6:$A$505,A297)&gt;1,AND(B297&lt;&gt;"",COUNTIF(الزبائن!$A$6:$A$505,B297)=0),(COUNTIFS('أرقام التواصل'!$A$6:$A$505,"proposed_name",'أرقام التواصل'!$B$6:$B$505,A297,'أرقام التواصل'!$I$6:$I$505,"TRUE")+COUNTIFS('أرقام التواصل'!$A$6:$A$505,"proposed_name",'أرقام التواصل'!$B$6:$B$505,A297,'أرقام التواصل'!$C$6:$C$505,1))=0,AND(U297="TRUE",V297="")),"REVIEW","READY")))</f>
        <v/>
      </c>
      <c r="AC297" s="27" t="str">
        <f>IF(AB297="","",IF(AB297="READY","",IF(AB297="SKIP","Skipped by candidate_import_action",TRIM(IF(A297="","missing proposed_name_key; ","")&amp;IF(AND(A297&lt;&gt;"",COUNTIF($A$6:$A$505,A297)&gt;1),"duplicate proposed_name_key; ","")&amp;IF(C297="","missing candidate_import_action; ","")&amp;IF(D297="","missing move_reason; ","")&amp;IF(H297="","missing branch_id; ","")&amp;IF(K297="","missing first_name; ","")&amp;IF(L297="","missing last_name; ","")&amp;IF(S297="","missing status; ","")&amp;IF(AND(B297&lt;&gt;"",COUNTIF(الزبائن!$A$6:$A$505,B297)=0),"source key not found; ","")&amp;IF((COUNTIFS('أرقام التواصل'!$A$6:$A$505,"proposed_name",'أرقام التواصل'!$B$6:$B$505,A297,'أرقام التواصل'!$I$6:$I$505,"TRUE")+COUNTIFS('أرقام التواصل'!$A$6:$A$505,"proposed_name",'أرقام التواصل'!$B$6:$B$505,A297,'أرقام التواصل'!$C$6:$C$505,1))=0,"missing primary contact in أرقام التواصل; ","")&amp;IF(AND(U297="TRUE",V297=""),"duplicate_type required when duplicate_flag TRUE; ","")))))</f>
        <v/>
      </c>
    </row>
    <row r="298" spans="1:29">
      <c r="A298" s="36"/>
      <c r="B298" s="24"/>
      <c r="C298" s="25"/>
      <c r="D298" s="25"/>
      <c r="E298" s="25"/>
      <c r="F298" s="24"/>
      <c r="G298" s="25"/>
      <c r="H298" s="25"/>
      <c r="I298" s="25"/>
      <c r="J298" s="25"/>
      <c r="K298" s="25"/>
      <c r="L298" s="25"/>
      <c r="M298" s="25"/>
      <c r="N298" s="25" t="str">
        <f t="shared" si="4"/>
        <v/>
      </c>
      <c r="O298" s="25"/>
      <c r="P298" s="25"/>
      <c r="Q298" s="25"/>
      <c r="R298" s="25"/>
      <c r="S298" s="25"/>
      <c r="T298" s="25"/>
      <c r="U298" s="25"/>
      <c r="V298" s="25"/>
      <c r="W298" s="24"/>
      <c r="X298" s="24"/>
      <c r="Y298" s="25"/>
      <c r="Z298" s="25" t="str">
        <f>IF(B298="","",IFERROR(INDEX(الزبائن!$AZ$6:$AZ$505,MATCH(B298,الزبائن!$A$6:$A$505,0)),"source key not found"))</f>
        <v/>
      </c>
      <c r="AA298" s="25" t="str">
        <f>IF(B298="","",IFERROR(INDEX(الزبائن!$BA$6:$BA$505,MATCH(B298,الزبائن!$A$6:$A$505,0)),"source key not found"))</f>
        <v/>
      </c>
      <c r="AB298" s="25" t="str">
        <f>IF(AND(A298="",C298="",D298="",H298="",K298="",L298=""),"",IF(C298="skip","SKIP",IF(OR(A298="",C298="",D298="",H298="",K298="",L298="",S298="",COUNTIF($A$6:$A$505,A298)&gt;1,AND(B298&lt;&gt;"",COUNTIF(الزبائن!$A$6:$A$505,B298)=0),(COUNTIFS('أرقام التواصل'!$A$6:$A$505,"proposed_name",'أرقام التواصل'!$B$6:$B$505,A298,'أرقام التواصل'!$I$6:$I$505,"TRUE")+COUNTIFS('أرقام التواصل'!$A$6:$A$505,"proposed_name",'أرقام التواصل'!$B$6:$B$505,A298,'أرقام التواصل'!$C$6:$C$505,1))=0,AND(U298="TRUE",V298="")),"REVIEW","READY")))</f>
        <v/>
      </c>
      <c r="AC298" s="27" t="str">
        <f>IF(AB298="","",IF(AB298="READY","",IF(AB298="SKIP","Skipped by candidate_import_action",TRIM(IF(A298="","missing proposed_name_key; ","")&amp;IF(AND(A298&lt;&gt;"",COUNTIF($A$6:$A$505,A298)&gt;1),"duplicate proposed_name_key; ","")&amp;IF(C298="","missing candidate_import_action; ","")&amp;IF(D298="","missing move_reason; ","")&amp;IF(H298="","missing branch_id; ","")&amp;IF(K298="","missing first_name; ","")&amp;IF(L298="","missing last_name; ","")&amp;IF(S298="","missing status; ","")&amp;IF(AND(B298&lt;&gt;"",COUNTIF(الزبائن!$A$6:$A$505,B298)=0),"source key not found; ","")&amp;IF((COUNTIFS('أرقام التواصل'!$A$6:$A$505,"proposed_name",'أرقام التواصل'!$B$6:$B$505,A298,'أرقام التواصل'!$I$6:$I$505,"TRUE")+COUNTIFS('أرقام التواصل'!$A$6:$A$505,"proposed_name",'أرقام التواصل'!$B$6:$B$505,A298,'أرقام التواصل'!$C$6:$C$505,1))=0,"missing primary contact in أرقام التواصل; ","")&amp;IF(AND(U298="TRUE",V298=""),"duplicate_type required when duplicate_flag TRUE; ","")))))</f>
        <v/>
      </c>
    </row>
    <row r="299" spans="1:29">
      <c r="A299" s="36"/>
      <c r="B299" s="24"/>
      <c r="C299" s="25"/>
      <c r="D299" s="25"/>
      <c r="E299" s="25"/>
      <c r="F299" s="24"/>
      <c r="G299" s="25"/>
      <c r="H299" s="25"/>
      <c r="I299" s="25"/>
      <c r="J299" s="25"/>
      <c r="K299" s="25"/>
      <c r="L299" s="25"/>
      <c r="M299" s="25"/>
      <c r="N299" s="25" t="str">
        <f t="shared" si="4"/>
        <v/>
      </c>
      <c r="O299" s="25"/>
      <c r="P299" s="25"/>
      <c r="Q299" s="25"/>
      <c r="R299" s="25"/>
      <c r="S299" s="25"/>
      <c r="T299" s="25"/>
      <c r="U299" s="25"/>
      <c r="V299" s="25"/>
      <c r="W299" s="24"/>
      <c r="X299" s="24"/>
      <c r="Y299" s="25"/>
      <c r="Z299" s="25" t="str">
        <f>IF(B299="","",IFERROR(INDEX(الزبائن!$AZ$6:$AZ$505,MATCH(B299,الزبائن!$A$6:$A$505,0)),"source key not found"))</f>
        <v/>
      </c>
      <c r="AA299" s="25" t="str">
        <f>IF(B299="","",IFERROR(INDEX(الزبائن!$BA$6:$BA$505,MATCH(B299,الزبائن!$A$6:$A$505,0)),"source key not found"))</f>
        <v/>
      </c>
      <c r="AB299" s="25" t="str">
        <f>IF(AND(A299="",C299="",D299="",H299="",K299="",L299=""),"",IF(C299="skip","SKIP",IF(OR(A299="",C299="",D299="",H299="",K299="",L299="",S299="",COUNTIF($A$6:$A$505,A299)&gt;1,AND(B299&lt;&gt;"",COUNTIF(الزبائن!$A$6:$A$505,B299)=0),(COUNTIFS('أرقام التواصل'!$A$6:$A$505,"proposed_name",'أرقام التواصل'!$B$6:$B$505,A299,'أرقام التواصل'!$I$6:$I$505,"TRUE")+COUNTIFS('أرقام التواصل'!$A$6:$A$505,"proposed_name",'أرقام التواصل'!$B$6:$B$505,A299,'أرقام التواصل'!$C$6:$C$505,1))=0,AND(U299="TRUE",V299="")),"REVIEW","READY")))</f>
        <v/>
      </c>
      <c r="AC299" s="27" t="str">
        <f>IF(AB299="","",IF(AB299="READY","",IF(AB299="SKIP","Skipped by candidate_import_action",TRIM(IF(A299="","missing proposed_name_key; ","")&amp;IF(AND(A299&lt;&gt;"",COUNTIF($A$6:$A$505,A299)&gt;1),"duplicate proposed_name_key; ","")&amp;IF(C299="","missing candidate_import_action; ","")&amp;IF(D299="","missing move_reason; ","")&amp;IF(H299="","missing branch_id; ","")&amp;IF(K299="","missing first_name; ","")&amp;IF(L299="","missing last_name; ","")&amp;IF(S299="","missing status; ","")&amp;IF(AND(B299&lt;&gt;"",COUNTIF(الزبائن!$A$6:$A$505,B299)=0),"source key not found; ","")&amp;IF((COUNTIFS('أرقام التواصل'!$A$6:$A$505,"proposed_name",'أرقام التواصل'!$B$6:$B$505,A299,'أرقام التواصل'!$I$6:$I$505,"TRUE")+COUNTIFS('أرقام التواصل'!$A$6:$A$505,"proposed_name",'أرقام التواصل'!$B$6:$B$505,A299,'أرقام التواصل'!$C$6:$C$505,1))=0,"missing primary contact in أرقام التواصل; ","")&amp;IF(AND(U299="TRUE",V299=""),"duplicate_type required when duplicate_flag TRUE; ","")))))</f>
        <v/>
      </c>
    </row>
    <row r="300" spans="1:29">
      <c r="A300" s="36"/>
      <c r="B300" s="24"/>
      <c r="C300" s="25"/>
      <c r="D300" s="25"/>
      <c r="E300" s="25"/>
      <c r="F300" s="24"/>
      <c r="G300" s="25"/>
      <c r="H300" s="25"/>
      <c r="I300" s="25"/>
      <c r="J300" s="25"/>
      <c r="K300" s="25"/>
      <c r="L300" s="25"/>
      <c r="M300" s="25"/>
      <c r="N300" s="25" t="str">
        <f t="shared" si="4"/>
        <v/>
      </c>
      <c r="O300" s="25"/>
      <c r="P300" s="25"/>
      <c r="Q300" s="25"/>
      <c r="R300" s="25"/>
      <c r="S300" s="25"/>
      <c r="T300" s="25"/>
      <c r="U300" s="25"/>
      <c r="V300" s="25"/>
      <c r="W300" s="24"/>
      <c r="X300" s="24"/>
      <c r="Y300" s="25"/>
      <c r="Z300" s="25" t="str">
        <f>IF(B300="","",IFERROR(INDEX(الزبائن!$AZ$6:$AZ$505,MATCH(B300,الزبائن!$A$6:$A$505,0)),"source key not found"))</f>
        <v/>
      </c>
      <c r="AA300" s="25" t="str">
        <f>IF(B300="","",IFERROR(INDEX(الزبائن!$BA$6:$BA$505,MATCH(B300,الزبائن!$A$6:$A$505,0)),"source key not found"))</f>
        <v/>
      </c>
      <c r="AB300" s="25" t="str">
        <f>IF(AND(A300="",C300="",D300="",H300="",K300="",L300=""),"",IF(C300="skip","SKIP",IF(OR(A300="",C300="",D300="",H300="",K300="",L300="",S300="",COUNTIF($A$6:$A$505,A300)&gt;1,AND(B300&lt;&gt;"",COUNTIF(الزبائن!$A$6:$A$505,B300)=0),(COUNTIFS('أرقام التواصل'!$A$6:$A$505,"proposed_name",'أرقام التواصل'!$B$6:$B$505,A300,'أرقام التواصل'!$I$6:$I$505,"TRUE")+COUNTIFS('أرقام التواصل'!$A$6:$A$505,"proposed_name",'أرقام التواصل'!$B$6:$B$505,A300,'أرقام التواصل'!$C$6:$C$505,1))=0,AND(U300="TRUE",V300="")),"REVIEW","READY")))</f>
        <v/>
      </c>
      <c r="AC300" s="27" t="str">
        <f>IF(AB300="","",IF(AB300="READY","",IF(AB300="SKIP","Skipped by candidate_import_action",TRIM(IF(A300="","missing proposed_name_key; ","")&amp;IF(AND(A300&lt;&gt;"",COUNTIF($A$6:$A$505,A300)&gt;1),"duplicate proposed_name_key; ","")&amp;IF(C300="","missing candidate_import_action; ","")&amp;IF(D300="","missing move_reason; ","")&amp;IF(H300="","missing branch_id; ","")&amp;IF(K300="","missing first_name; ","")&amp;IF(L300="","missing last_name; ","")&amp;IF(S300="","missing status; ","")&amp;IF(AND(B300&lt;&gt;"",COUNTIF(الزبائن!$A$6:$A$505,B300)=0),"source key not found; ","")&amp;IF((COUNTIFS('أرقام التواصل'!$A$6:$A$505,"proposed_name",'أرقام التواصل'!$B$6:$B$505,A300,'أرقام التواصل'!$I$6:$I$505,"TRUE")+COUNTIFS('أرقام التواصل'!$A$6:$A$505,"proposed_name",'أرقام التواصل'!$B$6:$B$505,A300,'أرقام التواصل'!$C$6:$C$505,1))=0,"missing primary contact in أرقام التواصل; ","")&amp;IF(AND(U300="TRUE",V300=""),"duplicate_type required when duplicate_flag TRUE; ","")))))</f>
        <v/>
      </c>
    </row>
    <row r="301" spans="1:29">
      <c r="A301" s="36"/>
      <c r="B301" s="24"/>
      <c r="C301" s="25"/>
      <c r="D301" s="25"/>
      <c r="E301" s="25"/>
      <c r="F301" s="24"/>
      <c r="G301" s="25"/>
      <c r="H301" s="25"/>
      <c r="I301" s="25"/>
      <c r="J301" s="25"/>
      <c r="K301" s="25"/>
      <c r="L301" s="25"/>
      <c r="M301" s="25"/>
      <c r="N301" s="25" t="str">
        <f t="shared" si="4"/>
        <v/>
      </c>
      <c r="O301" s="25"/>
      <c r="P301" s="25"/>
      <c r="Q301" s="25"/>
      <c r="R301" s="25"/>
      <c r="S301" s="25"/>
      <c r="T301" s="25"/>
      <c r="U301" s="25"/>
      <c r="V301" s="25"/>
      <c r="W301" s="24"/>
      <c r="X301" s="24"/>
      <c r="Y301" s="25"/>
      <c r="Z301" s="25" t="str">
        <f>IF(B301="","",IFERROR(INDEX(الزبائن!$AZ$6:$AZ$505,MATCH(B301,الزبائن!$A$6:$A$505,0)),"source key not found"))</f>
        <v/>
      </c>
      <c r="AA301" s="25" t="str">
        <f>IF(B301="","",IFERROR(INDEX(الزبائن!$BA$6:$BA$505,MATCH(B301,الزبائن!$A$6:$A$505,0)),"source key not found"))</f>
        <v/>
      </c>
      <c r="AB301" s="25" t="str">
        <f>IF(AND(A301="",C301="",D301="",H301="",K301="",L301=""),"",IF(C301="skip","SKIP",IF(OR(A301="",C301="",D301="",H301="",K301="",L301="",S301="",COUNTIF($A$6:$A$505,A301)&gt;1,AND(B301&lt;&gt;"",COUNTIF(الزبائن!$A$6:$A$505,B301)=0),(COUNTIFS('أرقام التواصل'!$A$6:$A$505,"proposed_name",'أرقام التواصل'!$B$6:$B$505,A301,'أرقام التواصل'!$I$6:$I$505,"TRUE")+COUNTIFS('أرقام التواصل'!$A$6:$A$505,"proposed_name",'أرقام التواصل'!$B$6:$B$505,A301,'أرقام التواصل'!$C$6:$C$505,1))=0,AND(U301="TRUE",V301="")),"REVIEW","READY")))</f>
        <v/>
      </c>
      <c r="AC301" s="27" t="str">
        <f>IF(AB301="","",IF(AB301="READY","",IF(AB301="SKIP","Skipped by candidate_import_action",TRIM(IF(A301="","missing proposed_name_key; ","")&amp;IF(AND(A301&lt;&gt;"",COUNTIF($A$6:$A$505,A301)&gt;1),"duplicate proposed_name_key; ","")&amp;IF(C301="","missing candidate_import_action; ","")&amp;IF(D301="","missing move_reason; ","")&amp;IF(H301="","missing branch_id; ","")&amp;IF(K301="","missing first_name; ","")&amp;IF(L301="","missing last_name; ","")&amp;IF(S301="","missing status; ","")&amp;IF(AND(B301&lt;&gt;"",COUNTIF(الزبائن!$A$6:$A$505,B301)=0),"source key not found; ","")&amp;IF((COUNTIFS('أرقام التواصل'!$A$6:$A$505,"proposed_name",'أرقام التواصل'!$B$6:$B$505,A301,'أرقام التواصل'!$I$6:$I$505,"TRUE")+COUNTIFS('أرقام التواصل'!$A$6:$A$505,"proposed_name",'أرقام التواصل'!$B$6:$B$505,A301,'أرقام التواصل'!$C$6:$C$505,1))=0,"missing primary contact in أرقام التواصل; ","")&amp;IF(AND(U301="TRUE",V301=""),"duplicate_type required when duplicate_flag TRUE; ","")))))</f>
        <v/>
      </c>
    </row>
    <row r="302" spans="1:29">
      <c r="A302" s="36"/>
      <c r="B302" s="24"/>
      <c r="C302" s="25"/>
      <c r="D302" s="25"/>
      <c r="E302" s="25"/>
      <c r="F302" s="24"/>
      <c r="G302" s="25"/>
      <c r="H302" s="25"/>
      <c r="I302" s="25"/>
      <c r="J302" s="25"/>
      <c r="K302" s="25"/>
      <c r="L302" s="25"/>
      <c r="M302" s="25"/>
      <c r="N302" s="25" t="str">
        <f t="shared" si="4"/>
        <v/>
      </c>
      <c r="O302" s="25"/>
      <c r="P302" s="25"/>
      <c r="Q302" s="25"/>
      <c r="R302" s="25"/>
      <c r="S302" s="25"/>
      <c r="T302" s="25"/>
      <c r="U302" s="25"/>
      <c r="V302" s="25"/>
      <c r="W302" s="24"/>
      <c r="X302" s="24"/>
      <c r="Y302" s="25"/>
      <c r="Z302" s="25" t="str">
        <f>IF(B302="","",IFERROR(INDEX(الزبائن!$AZ$6:$AZ$505,MATCH(B302,الزبائن!$A$6:$A$505,0)),"source key not found"))</f>
        <v/>
      </c>
      <c r="AA302" s="25" t="str">
        <f>IF(B302="","",IFERROR(INDEX(الزبائن!$BA$6:$BA$505,MATCH(B302,الزبائن!$A$6:$A$505,0)),"source key not found"))</f>
        <v/>
      </c>
      <c r="AB302" s="25" t="str">
        <f>IF(AND(A302="",C302="",D302="",H302="",K302="",L302=""),"",IF(C302="skip","SKIP",IF(OR(A302="",C302="",D302="",H302="",K302="",L302="",S302="",COUNTIF($A$6:$A$505,A302)&gt;1,AND(B302&lt;&gt;"",COUNTIF(الزبائن!$A$6:$A$505,B302)=0),(COUNTIFS('أرقام التواصل'!$A$6:$A$505,"proposed_name",'أرقام التواصل'!$B$6:$B$505,A302,'أرقام التواصل'!$I$6:$I$505,"TRUE")+COUNTIFS('أرقام التواصل'!$A$6:$A$505,"proposed_name",'أرقام التواصل'!$B$6:$B$505,A302,'أرقام التواصل'!$C$6:$C$505,1))=0,AND(U302="TRUE",V302="")),"REVIEW","READY")))</f>
        <v/>
      </c>
      <c r="AC302" s="27" t="str">
        <f>IF(AB302="","",IF(AB302="READY","",IF(AB302="SKIP","Skipped by candidate_import_action",TRIM(IF(A302="","missing proposed_name_key; ","")&amp;IF(AND(A302&lt;&gt;"",COUNTIF($A$6:$A$505,A302)&gt;1),"duplicate proposed_name_key; ","")&amp;IF(C302="","missing candidate_import_action; ","")&amp;IF(D302="","missing move_reason; ","")&amp;IF(H302="","missing branch_id; ","")&amp;IF(K302="","missing first_name; ","")&amp;IF(L302="","missing last_name; ","")&amp;IF(S302="","missing status; ","")&amp;IF(AND(B302&lt;&gt;"",COUNTIF(الزبائن!$A$6:$A$505,B302)=0),"source key not found; ","")&amp;IF((COUNTIFS('أرقام التواصل'!$A$6:$A$505,"proposed_name",'أرقام التواصل'!$B$6:$B$505,A302,'أرقام التواصل'!$I$6:$I$505,"TRUE")+COUNTIFS('أرقام التواصل'!$A$6:$A$505,"proposed_name",'أرقام التواصل'!$B$6:$B$505,A302,'أرقام التواصل'!$C$6:$C$505,1))=0,"missing primary contact in أرقام التواصل; ","")&amp;IF(AND(U302="TRUE",V302=""),"duplicate_type required when duplicate_flag TRUE; ","")))))</f>
        <v/>
      </c>
    </row>
    <row r="303" spans="1:29">
      <c r="A303" s="36"/>
      <c r="B303" s="24"/>
      <c r="C303" s="25"/>
      <c r="D303" s="25"/>
      <c r="E303" s="25"/>
      <c r="F303" s="24"/>
      <c r="G303" s="25"/>
      <c r="H303" s="25"/>
      <c r="I303" s="25"/>
      <c r="J303" s="25"/>
      <c r="K303" s="25"/>
      <c r="L303" s="25"/>
      <c r="M303" s="25"/>
      <c r="N303" s="25" t="str">
        <f t="shared" si="4"/>
        <v/>
      </c>
      <c r="O303" s="25"/>
      <c r="P303" s="25"/>
      <c r="Q303" s="25"/>
      <c r="R303" s="25"/>
      <c r="S303" s="25"/>
      <c r="T303" s="25"/>
      <c r="U303" s="25"/>
      <c r="V303" s="25"/>
      <c r="W303" s="24"/>
      <c r="X303" s="24"/>
      <c r="Y303" s="25"/>
      <c r="Z303" s="25" t="str">
        <f>IF(B303="","",IFERROR(INDEX(الزبائن!$AZ$6:$AZ$505,MATCH(B303,الزبائن!$A$6:$A$505,0)),"source key not found"))</f>
        <v/>
      </c>
      <c r="AA303" s="25" t="str">
        <f>IF(B303="","",IFERROR(INDEX(الزبائن!$BA$6:$BA$505,MATCH(B303,الزبائن!$A$6:$A$505,0)),"source key not found"))</f>
        <v/>
      </c>
      <c r="AB303" s="25" t="str">
        <f>IF(AND(A303="",C303="",D303="",H303="",K303="",L303=""),"",IF(C303="skip","SKIP",IF(OR(A303="",C303="",D303="",H303="",K303="",L303="",S303="",COUNTIF($A$6:$A$505,A303)&gt;1,AND(B303&lt;&gt;"",COUNTIF(الزبائن!$A$6:$A$505,B303)=0),(COUNTIFS('أرقام التواصل'!$A$6:$A$505,"proposed_name",'أرقام التواصل'!$B$6:$B$505,A303,'أرقام التواصل'!$I$6:$I$505,"TRUE")+COUNTIFS('أرقام التواصل'!$A$6:$A$505,"proposed_name",'أرقام التواصل'!$B$6:$B$505,A303,'أرقام التواصل'!$C$6:$C$505,1))=0,AND(U303="TRUE",V303="")),"REVIEW","READY")))</f>
        <v/>
      </c>
      <c r="AC303" s="27" t="str">
        <f>IF(AB303="","",IF(AB303="READY","",IF(AB303="SKIP","Skipped by candidate_import_action",TRIM(IF(A303="","missing proposed_name_key; ","")&amp;IF(AND(A303&lt;&gt;"",COUNTIF($A$6:$A$505,A303)&gt;1),"duplicate proposed_name_key; ","")&amp;IF(C303="","missing candidate_import_action; ","")&amp;IF(D303="","missing move_reason; ","")&amp;IF(H303="","missing branch_id; ","")&amp;IF(K303="","missing first_name; ","")&amp;IF(L303="","missing last_name; ","")&amp;IF(S303="","missing status; ","")&amp;IF(AND(B303&lt;&gt;"",COUNTIF(الزبائن!$A$6:$A$505,B303)=0),"source key not found; ","")&amp;IF((COUNTIFS('أرقام التواصل'!$A$6:$A$505,"proposed_name",'أرقام التواصل'!$B$6:$B$505,A303,'أرقام التواصل'!$I$6:$I$505,"TRUE")+COUNTIFS('أرقام التواصل'!$A$6:$A$505,"proposed_name",'أرقام التواصل'!$B$6:$B$505,A303,'أرقام التواصل'!$C$6:$C$505,1))=0,"missing primary contact in أرقام التواصل; ","")&amp;IF(AND(U303="TRUE",V303=""),"duplicate_type required when duplicate_flag TRUE; ","")))))</f>
        <v/>
      </c>
    </row>
    <row r="304" spans="1:29">
      <c r="A304" s="36"/>
      <c r="B304" s="24"/>
      <c r="C304" s="25"/>
      <c r="D304" s="25"/>
      <c r="E304" s="25"/>
      <c r="F304" s="24"/>
      <c r="G304" s="25"/>
      <c r="H304" s="25"/>
      <c r="I304" s="25"/>
      <c r="J304" s="25"/>
      <c r="K304" s="25"/>
      <c r="L304" s="25"/>
      <c r="M304" s="25"/>
      <c r="N304" s="25" t="str">
        <f t="shared" si="4"/>
        <v/>
      </c>
      <c r="O304" s="25"/>
      <c r="P304" s="25"/>
      <c r="Q304" s="25"/>
      <c r="R304" s="25"/>
      <c r="S304" s="25"/>
      <c r="T304" s="25"/>
      <c r="U304" s="25"/>
      <c r="V304" s="25"/>
      <c r="W304" s="24"/>
      <c r="X304" s="24"/>
      <c r="Y304" s="25"/>
      <c r="Z304" s="25" t="str">
        <f>IF(B304="","",IFERROR(INDEX(الزبائن!$AZ$6:$AZ$505,MATCH(B304,الزبائن!$A$6:$A$505,0)),"source key not found"))</f>
        <v/>
      </c>
      <c r="AA304" s="25" t="str">
        <f>IF(B304="","",IFERROR(INDEX(الزبائن!$BA$6:$BA$505,MATCH(B304,الزبائن!$A$6:$A$505,0)),"source key not found"))</f>
        <v/>
      </c>
      <c r="AB304" s="25" t="str">
        <f>IF(AND(A304="",C304="",D304="",H304="",K304="",L304=""),"",IF(C304="skip","SKIP",IF(OR(A304="",C304="",D304="",H304="",K304="",L304="",S304="",COUNTIF($A$6:$A$505,A304)&gt;1,AND(B304&lt;&gt;"",COUNTIF(الزبائن!$A$6:$A$505,B304)=0),(COUNTIFS('أرقام التواصل'!$A$6:$A$505,"proposed_name",'أرقام التواصل'!$B$6:$B$505,A304,'أرقام التواصل'!$I$6:$I$505,"TRUE")+COUNTIFS('أرقام التواصل'!$A$6:$A$505,"proposed_name",'أرقام التواصل'!$B$6:$B$505,A304,'أرقام التواصل'!$C$6:$C$505,1))=0,AND(U304="TRUE",V304="")),"REVIEW","READY")))</f>
        <v/>
      </c>
      <c r="AC304" s="27" t="str">
        <f>IF(AB304="","",IF(AB304="READY","",IF(AB304="SKIP","Skipped by candidate_import_action",TRIM(IF(A304="","missing proposed_name_key; ","")&amp;IF(AND(A304&lt;&gt;"",COUNTIF($A$6:$A$505,A304)&gt;1),"duplicate proposed_name_key; ","")&amp;IF(C304="","missing candidate_import_action; ","")&amp;IF(D304="","missing move_reason; ","")&amp;IF(H304="","missing branch_id; ","")&amp;IF(K304="","missing first_name; ","")&amp;IF(L304="","missing last_name; ","")&amp;IF(S304="","missing status; ","")&amp;IF(AND(B304&lt;&gt;"",COUNTIF(الزبائن!$A$6:$A$505,B304)=0),"source key not found; ","")&amp;IF((COUNTIFS('أرقام التواصل'!$A$6:$A$505,"proposed_name",'أرقام التواصل'!$B$6:$B$505,A304,'أرقام التواصل'!$I$6:$I$505,"TRUE")+COUNTIFS('أرقام التواصل'!$A$6:$A$505,"proposed_name",'أرقام التواصل'!$B$6:$B$505,A304,'أرقام التواصل'!$C$6:$C$505,1))=0,"missing primary contact in أرقام التواصل; ","")&amp;IF(AND(U304="TRUE",V304=""),"duplicate_type required when duplicate_flag TRUE; ","")))))</f>
        <v/>
      </c>
    </row>
    <row r="305" spans="1:29">
      <c r="A305" s="36"/>
      <c r="B305" s="24"/>
      <c r="C305" s="25"/>
      <c r="D305" s="25"/>
      <c r="E305" s="25"/>
      <c r="F305" s="24"/>
      <c r="G305" s="25"/>
      <c r="H305" s="25"/>
      <c r="I305" s="25"/>
      <c r="J305" s="25"/>
      <c r="K305" s="25"/>
      <c r="L305" s="25"/>
      <c r="M305" s="25"/>
      <c r="N305" s="25" t="str">
        <f t="shared" si="4"/>
        <v/>
      </c>
      <c r="O305" s="25"/>
      <c r="P305" s="25"/>
      <c r="Q305" s="25"/>
      <c r="R305" s="25"/>
      <c r="S305" s="25"/>
      <c r="T305" s="25"/>
      <c r="U305" s="25"/>
      <c r="V305" s="25"/>
      <c r="W305" s="24"/>
      <c r="X305" s="24"/>
      <c r="Y305" s="25"/>
      <c r="Z305" s="25" t="str">
        <f>IF(B305="","",IFERROR(INDEX(الزبائن!$AZ$6:$AZ$505,MATCH(B305,الزبائن!$A$6:$A$505,0)),"source key not found"))</f>
        <v/>
      </c>
      <c r="AA305" s="25" t="str">
        <f>IF(B305="","",IFERROR(INDEX(الزبائن!$BA$6:$BA$505,MATCH(B305,الزبائن!$A$6:$A$505,0)),"source key not found"))</f>
        <v/>
      </c>
      <c r="AB305" s="25" t="str">
        <f>IF(AND(A305="",C305="",D305="",H305="",K305="",L305=""),"",IF(C305="skip","SKIP",IF(OR(A305="",C305="",D305="",H305="",K305="",L305="",S305="",COUNTIF($A$6:$A$505,A305)&gt;1,AND(B305&lt;&gt;"",COUNTIF(الزبائن!$A$6:$A$505,B305)=0),(COUNTIFS('أرقام التواصل'!$A$6:$A$505,"proposed_name",'أرقام التواصل'!$B$6:$B$505,A305,'أرقام التواصل'!$I$6:$I$505,"TRUE")+COUNTIFS('أرقام التواصل'!$A$6:$A$505,"proposed_name",'أرقام التواصل'!$B$6:$B$505,A305,'أرقام التواصل'!$C$6:$C$505,1))=0,AND(U305="TRUE",V305="")),"REVIEW","READY")))</f>
        <v/>
      </c>
      <c r="AC305" s="27" t="str">
        <f>IF(AB305="","",IF(AB305="READY","",IF(AB305="SKIP","Skipped by candidate_import_action",TRIM(IF(A305="","missing proposed_name_key; ","")&amp;IF(AND(A305&lt;&gt;"",COUNTIF($A$6:$A$505,A305)&gt;1),"duplicate proposed_name_key; ","")&amp;IF(C305="","missing candidate_import_action; ","")&amp;IF(D305="","missing move_reason; ","")&amp;IF(H305="","missing branch_id; ","")&amp;IF(K305="","missing first_name; ","")&amp;IF(L305="","missing last_name; ","")&amp;IF(S305="","missing status; ","")&amp;IF(AND(B305&lt;&gt;"",COUNTIF(الزبائن!$A$6:$A$505,B305)=0),"source key not found; ","")&amp;IF((COUNTIFS('أرقام التواصل'!$A$6:$A$505,"proposed_name",'أرقام التواصل'!$B$6:$B$505,A305,'أرقام التواصل'!$I$6:$I$505,"TRUE")+COUNTIFS('أرقام التواصل'!$A$6:$A$505,"proposed_name",'أرقام التواصل'!$B$6:$B$505,A305,'أرقام التواصل'!$C$6:$C$505,1))=0,"missing primary contact in أرقام التواصل; ","")&amp;IF(AND(U305="TRUE",V305=""),"duplicate_type required when duplicate_flag TRUE; ","")))))</f>
        <v/>
      </c>
    </row>
    <row r="306" spans="1:29">
      <c r="A306" s="36"/>
      <c r="B306" s="24"/>
      <c r="C306" s="25"/>
      <c r="D306" s="25"/>
      <c r="E306" s="25"/>
      <c r="F306" s="24"/>
      <c r="G306" s="25"/>
      <c r="H306" s="25"/>
      <c r="I306" s="25"/>
      <c r="J306" s="25"/>
      <c r="K306" s="25"/>
      <c r="L306" s="25"/>
      <c r="M306" s="25"/>
      <c r="N306" s="25" t="str">
        <f t="shared" si="4"/>
        <v/>
      </c>
      <c r="O306" s="25"/>
      <c r="P306" s="25"/>
      <c r="Q306" s="25"/>
      <c r="R306" s="25"/>
      <c r="S306" s="25"/>
      <c r="T306" s="25"/>
      <c r="U306" s="25"/>
      <c r="V306" s="25"/>
      <c r="W306" s="24"/>
      <c r="X306" s="24"/>
      <c r="Y306" s="25"/>
      <c r="Z306" s="25" t="str">
        <f>IF(B306="","",IFERROR(INDEX(الزبائن!$AZ$6:$AZ$505,MATCH(B306,الزبائن!$A$6:$A$505,0)),"source key not found"))</f>
        <v/>
      </c>
      <c r="AA306" s="25" t="str">
        <f>IF(B306="","",IFERROR(INDEX(الزبائن!$BA$6:$BA$505,MATCH(B306,الزبائن!$A$6:$A$505,0)),"source key not found"))</f>
        <v/>
      </c>
      <c r="AB306" s="25" t="str">
        <f>IF(AND(A306="",C306="",D306="",H306="",K306="",L306=""),"",IF(C306="skip","SKIP",IF(OR(A306="",C306="",D306="",H306="",K306="",L306="",S306="",COUNTIF($A$6:$A$505,A306)&gt;1,AND(B306&lt;&gt;"",COUNTIF(الزبائن!$A$6:$A$505,B306)=0),(COUNTIFS('أرقام التواصل'!$A$6:$A$505,"proposed_name",'أرقام التواصل'!$B$6:$B$505,A306,'أرقام التواصل'!$I$6:$I$505,"TRUE")+COUNTIFS('أرقام التواصل'!$A$6:$A$505,"proposed_name",'أرقام التواصل'!$B$6:$B$505,A306,'أرقام التواصل'!$C$6:$C$505,1))=0,AND(U306="TRUE",V306="")),"REVIEW","READY")))</f>
        <v/>
      </c>
      <c r="AC306" s="27" t="str">
        <f>IF(AB306="","",IF(AB306="READY","",IF(AB306="SKIP","Skipped by candidate_import_action",TRIM(IF(A306="","missing proposed_name_key; ","")&amp;IF(AND(A306&lt;&gt;"",COUNTIF($A$6:$A$505,A306)&gt;1),"duplicate proposed_name_key; ","")&amp;IF(C306="","missing candidate_import_action; ","")&amp;IF(D306="","missing move_reason; ","")&amp;IF(H306="","missing branch_id; ","")&amp;IF(K306="","missing first_name; ","")&amp;IF(L306="","missing last_name; ","")&amp;IF(S306="","missing status; ","")&amp;IF(AND(B306&lt;&gt;"",COUNTIF(الزبائن!$A$6:$A$505,B306)=0),"source key not found; ","")&amp;IF((COUNTIFS('أرقام التواصل'!$A$6:$A$505,"proposed_name",'أرقام التواصل'!$B$6:$B$505,A306,'أرقام التواصل'!$I$6:$I$505,"TRUE")+COUNTIFS('أرقام التواصل'!$A$6:$A$505,"proposed_name",'أرقام التواصل'!$B$6:$B$505,A306,'أرقام التواصل'!$C$6:$C$505,1))=0,"missing primary contact in أرقام التواصل; ","")&amp;IF(AND(U306="TRUE",V306=""),"duplicate_type required when duplicate_flag TRUE; ","")))))</f>
        <v/>
      </c>
    </row>
    <row r="307" spans="1:29">
      <c r="A307" s="36"/>
      <c r="B307" s="24"/>
      <c r="C307" s="25"/>
      <c r="D307" s="25"/>
      <c r="E307" s="25"/>
      <c r="F307" s="24"/>
      <c r="G307" s="25"/>
      <c r="H307" s="25"/>
      <c r="I307" s="25"/>
      <c r="J307" s="25"/>
      <c r="K307" s="25"/>
      <c r="L307" s="25"/>
      <c r="M307" s="25"/>
      <c r="N307" s="25" t="str">
        <f t="shared" si="4"/>
        <v/>
      </c>
      <c r="O307" s="25"/>
      <c r="P307" s="25"/>
      <c r="Q307" s="25"/>
      <c r="R307" s="25"/>
      <c r="S307" s="25"/>
      <c r="T307" s="25"/>
      <c r="U307" s="25"/>
      <c r="V307" s="25"/>
      <c r="W307" s="24"/>
      <c r="X307" s="24"/>
      <c r="Y307" s="25"/>
      <c r="Z307" s="25" t="str">
        <f>IF(B307="","",IFERROR(INDEX(الزبائن!$AZ$6:$AZ$505,MATCH(B307,الزبائن!$A$6:$A$505,0)),"source key not found"))</f>
        <v/>
      </c>
      <c r="AA307" s="25" t="str">
        <f>IF(B307="","",IFERROR(INDEX(الزبائن!$BA$6:$BA$505,MATCH(B307,الزبائن!$A$6:$A$505,0)),"source key not found"))</f>
        <v/>
      </c>
      <c r="AB307" s="25" t="str">
        <f>IF(AND(A307="",C307="",D307="",H307="",K307="",L307=""),"",IF(C307="skip","SKIP",IF(OR(A307="",C307="",D307="",H307="",K307="",L307="",S307="",COUNTIF($A$6:$A$505,A307)&gt;1,AND(B307&lt;&gt;"",COUNTIF(الزبائن!$A$6:$A$505,B307)=0),(COUNTIFS('أرقام التواصل'!$A$6:$A$505,"proposed_name",'أرقام التواصل'!$B$6:$B$505,A307,'أرقام التواصل'!$I$6:$I$505,"TRUE")+COUNTIFS('أرقام التواصل'!$A$6:$A$505,"proposed_name",'أرقام التواصل'!$B$6:$B$505,A307,'أرقام التواصل'!$C$6:$C$505,1))=0,AND(U307="TRUE",V307="")),"REVIEW","READY")))</f>
        <v/>
      </c>
      <c r="AC307" s="27" t="str">
        <f>IF(AB307="","",IF(AB307="READY","",IF(AB307="SKIP","Skipped by candidate_import_action",TRIM(IF(A307="","missing proposed_name_key; ","")&amp;IF(AND(A307&lt;&gt;"",COUNTIF($A$6:$A$505,A307)&gt;1),"duplicate proposed_name_key; ","")&amp;IF(C307="","missing candidate_import_action; ","")&amp;IF(D307="","missing move_reason; ","")&amp;IF(H307="","missing branch_id; ","")&amp;IF(K307="","missing first_name; ","")&amp;IF(L307="","missing last_name; ","")&amp;IF(S307="","missing status; ","")&amp;IF(AND(B307&lt;&gt;"",COUNTIF(الزبائن!$A$6:$A$505,B307)=0),"source key not found; ","")&amp;IF((COUNTIFS('أرقام التواصل'!$A$6:$A$505,"proposed_name",'أرقام التواصل'!$B$6:$B$505,A307,'أرقام التواصل'!$I$6:$I$505,"TRUE")+COUNTIFS('أرقام التواصل'!$A$6:$A$505,"proposed_name",'أرقام التواصل'!$B$6:$B$505,A307,'أرقام التواصل'!$C$6:$C$505,1))=0,"missing primary contact in أرقام التواصل; ","")&amp;IF(AND(U307="TRUE",V307=""),"duplicate_type required when duplicate_flag TRUE; ","")))))</f>
        <v/>
      </c>
    </row>
    <row r="308" spans="1:29">
      <c r="A308" s="36"/>
      <c r="B308" s="24"/>
      <c r="C308" s="25"/>
      <c r="D308" s="25"/>
      <c r="E308" s="25"/>
      <c r="F308" s="24"/>
      <c r="G308" s="25"/>
      <c r="H308" s="25"/>
      <c r="I308" s="25"/>
      <c r="J308" s="25"/>
      <c r="K308" s="25"/>
      <c r="L308" s="25"/>
      <c r="M308" s="25"/>
      <c r="N308" s="25" t="str">
        <f t="shared" si="4"/>
        <v/>
      </c>
      <c r="O308" s="25"/>
      <c r="P308" s="25"/>
      <c r="Q308" s="25"/>
      <c r="R308" s="25"/>
      <c r="S308" s="25"/>
      <c r="T308" s="25"/>
      <c r="U308" s="25"/>
      <c r="V308" s="25"/>
      <c r="W308" s="24"/>
      <c r="X308" s="24"/>
      <c r="Y308" s="25"/>
      <c r="Z308" s="25" t="str">
        <f>IF(B308="","",IFERROR(INDEX(الزبائن!$AZ$6:$AZ$505,MATCH(B308,الزبائن!$A$6:$A$505,0)),"source key not found"))</f>
        <v/>
      </c>
      <c r="AA308" s="25" t="str">
        <f>IF(B308="","",IFERROR(INDEX(الزبائن!$BA$6:$BA$505,MATCH(B308,الزبائن!$A$6:$A$505,0)),"source key not found"))</f>
        <v/>
      </c>
      <c r="AB308" s="25" t="str">
        <f>IF(AND(A308="",C308="",D308="",H308="",K308="",L308=""),"",IF(C308="skip","SKIP",IF(OR(A308="",C308="",D308="",H308="",K308="",L308="",S308="",COUNTIF($A$6:$A$505,A308)&gt;1,AND(B308&lt;&gt;"",COUNTIF(الزبائن!$A$6:$A$505,B308)=0),(COUNTIFS('أرقام التواصل'!$A$6:$A$505,"proposed_name",'أرقام التواصل'!$B$6:$B$505,A308,'أرقام التواصل'!$I$6:$I$505,"TRUE")+COUNTIFS('أرقام التواصل'!$A$6:$A$505,"proposed_name",'أرقام التواصل'!$B$6:$B$505,A308,'أرقام التواصل'!$C$6:$C$505,1))=0,AND(U308="TRUE",V308="")),"REVIEW","READY")))</f>
        <v/>
      </c>
      <c r="AC308" s="27" t="str">
        <f>IF(AB308="","",IF(AB308="READY","",IF(AB308="SKIP","Skipped by candidate_import_action",TRIM(IF(A308="","missing proposed_name_key; ","")&amp;IF(AND(A308&lt;&gt;"",COUNTIF($A$6:$A$505,A308)&gt;1),"duplicate proposed_name_key; ","")&amp;IF(C308="","missing candidate_import_action; ","")&amp;IF(D308="","missing move_reason; ","")&amp;IF(H308="","missing branch_id; ","")&amp;IF(K308="","missing first_name; ","")&amp;IF(L308="","missing last_name; ","")&amp;IF(S308="","missing status; ","")&amp;IF(AND(B308&lt;&gt;"",COUNTIF(الزبائن!$A$6:$A$505,B308)=0),"source key not found; ","")&amp;IF((COUNTIFS('أرقام التواصل'!$A$6:$A$505,"proposed_name",'أرقام التواصل'!$B$6:$B$505,A308,'أرقام التواصل'!$I$6:$I$505,"TRUE")+COUNTIFS('أرقام التواصل'!$A$6:$A$505,"proposed_name",'أرقام التواصل'!$B$6:$B$505,A308,'أرقام التواصل'!$C$6:$C$505,1))=0,"missing primary contact in أرقام التواصل; ","")&amp;IF(AND(U308="TRUE",V308=""),"duplicate_type required when duplicate_flag TRUE; ","")))))</f>
        <v/>
      </c>
    </row>
    <row r="309" spans="1:29">
      <c r="A309" s="36"/>
      <c r="B309" s="24"/>
      <c r="C309" s="25"/>
      <c r="D309" s="25"/>
      <c r="E309" s="25"/>
      <c r="F309" s="24"/>
      <c r="G309" s="25"/>
      <c r="H309" s="25"/>
      <c r="I309" s="25"/>
      <c r="J309" s="25"/>
      <c r="K309" s="25"/>
      <c r="L309" s="25"/>
      <c r="M309" s="25"/>
      <c r="N309" s="25" t="str">
        <f t="shared" si="4"/>
        <v/>
      </c>
      <c r="O309" s="25"/>
      <c r="P309" s="25"/>
      <c r="Q309" s="25"/>
      <c r="R309" s="25"/>
      <c r="S309" s="25"/>
      <c r="T309" s="25"/>
      <c r="U309" s="25"/>
      <c r="V309" s="25"/>
      <c r="W309" s="24"/>
      <c r="X309" s="24"/>
      <c r="Y309" s="25"/>
      <c r="Z309" s="25" t="str">
        <f>IF(B309="","",IFERROR(INDEX(الزبائن!$AZ$6:$AZ$505,MATCH(B309,الزبائن!$A$6:$A$505,0)),"source key not found"))</f>
        <v/>
      </c>
      <c r="AA309" s="25" t="str">
        <f>IF(B309="","",IFERROR(INDEX(الزبائن!$BA$6:$BA$505,MATCH(B309,الزبائن!$A$6:$A$505,0)),"source key not found"))</f>
        <v/>
      </c>
      <c r="AB309" s="25" t="str">
        <f>IF(AND(A309="",C309="",D309="",H309="",K309="",L309=""),"",IF(C309="skip","SKIP",IF(OR(A309="",C309="",D309="",H309="",K309="",L309="",S309="",COUNTIF($A$6:$A$505,A309)&gt;1,AND(B309&lt;&gt;"",COUNTIF(الزبائن!$A$6:$A$505,B309)=0),(COUNTIFS('أرقام التواصل'!$A$6:$A$505,"proposed_name",'أرقام التواصل'!$B$6:$B$505,A309,'أرقام التواصل'!$I$6:$I$505,"TRUE")+COUNTIFS('أرقام التواصل'!$A$6:$A$505,"proposed_name",'أرقام التواصل'!$B$6:$B$505,A309,'أرقام التواصل'!$C$6:$C$505,1))=0,AND(U309="TRUE",V309="")),"REVIEW","READY")))</f>
        <v/>
      </c>
      <c r="AC309" s="27" t="str">
        <f>IF(AB309="","",IF(AB309="READY","",IF(AB309="SKIP","Skipped by candidate_import_action",TRIM(IF(A309="","missing proposed_name_key; ","")&amp;IF(AND(A309&lt;&gt;"",COUNTIF($A$6:$A$505,A309)&gt;1),"duplicate proposed_name_key; ","")&amp;IF(C309="","missing candidate_import_action; ","")&amp;IF(D309="","missing move_reason; ","")&amp;IF(H309="","missing branch_id; ","")&amp;IF(K309="","missing first_name; ","")&amp;IF(L309="","missing last_name; ","")&amp;IF(S309="","missing status; ","")&amp;IF(AND(B309&lt;&gt;"",COUNTIF(الزبائن!$A$6:$A$505,B309)=0),"source key not found; ","")&amp;IF((COUNTIFS('أرقام التواصل'!$A$6:$A$505,"proposed_name",'أرقام التواصل'!$B$6:$B$505,A309,'أرقام التواصل'!$I$6:$I$505,"TRUE")+COUNTIFS('أرقام التواصل'!$A$6:$A$505,"proposed_name",'أرقام التواصل'!$B$6:$B$505,A309,'أرقام التواصل'!$C$6:$C$505,1))=0,"missing primary contact in أرقام التواصل; ","")&amp;IF(AND(U309="TRUE",V309=""),"duplicate_type required when duplicate_flag TRUE; ","")))))</f>
        <v/>
      </c>
    </row>
    <row r="310" spans="1:29">
      <c r="A310" s="36"/>
      <c r="B310" s="24"/>
      <c r="C310" s="25"/>
      <c r="D310" s="25"/>
      <c r="E310" s="25"/>
      <c r="F310" s="24"/>
      <c r="G310" s="25"/>
      <c r="H310" s="25"/>
      <c r="I310" s="25"/>
      <c r="J310" s="25"/>
      <c r="K310" s="25"/>
      <c r="L310" s="25"/>
      <c r="M310" s="25"/>
      <c r="N310" s="25" t="str">
        <f t="shared" si="4"/>
        <v/>
      </c>
      <c r="O310" s="25"/>
      <c r="P310" s="25"/>
      <c r="Q310" s="25"/>
      <c r="R310" s="25"/>
      <c r="S310" s="25"/>
      <c r="T310" s="25"/>
      <c r="U310" s="25"/>
      <c r="V310" s="25"/>
      <c r="W310" s="24"/>
      <c r="X310" s="24"/>
      <c r="Y310" s="25"/>
      <c r="Z310" s="25" t="str">
        <f>IF(B310="","",IFERROR(INDEX(الزبائن!$AZ$6:$AZ$505,MATCH(B310,الزبائن!$A$6:$A$505,0)),"source key not found"))</f>
        <v/>
      </c>
      <c r="AA310" s="25" t="str">
        <f>IF(B310="","",IFERROR(INDEX(الزبائن!$BA$6:$BA$505,MATCH(B310,الزبائن!$A$6:$A$505,0)),"source key not found"))</f>
        <v/>
      </c>
      <c r="AB310" s="25" t="str">
        <f>IF(AND(A310="",C310="",D310="",H310="",K310="",L310=""),"",IF(C310="skip","SKIP",IF(OR(A310="",C310="",D310="",H310="",K310="",L310="",S310="",COUNTIF($A$6:$A$505,A310)&gt;1,AND(B310&lt;&gt;"",COUNTIF(الزبائن!$A$6:$A$505,B310)=0),(COUNTIFS('أرقام التواصل'!$A$6:$A$505,"proposed_name",'أرقام التواصل'!$B$6:$B$505,A310,'أرقام التواصل'!$I$6:$I$505,"TRUE")+COUNTIFS('أرقام التواصل'!$A$6:$A$505,"proposed_name",'أرقام التواصل'!$B$6:$B$505,A310,'أرقام التواصل'!$C$6:$C$505,1))=0,AND(U310="TRUE",V310="")),"REVIEW","READY")))</f>
        <v/>
      </c>
      <c r="AC310" s="27" t="str">
        <f>IF(AB310="","",IF(AB310="READY","",IF(AB310="SKIP","Skipped by candidate_import_action",TRIM(IF(A310="","missing proposed_name_key; ","")&amp;IF(AND(A310&lt;&gt;"",COUNTIF($A$6:$A$505,A310)&gt;1),"duplicate proposed_name_key; ","")&amp;IF(C310="","missing candidate_import_action; ","")&amp;IF(D310="","missing move_reason; ","")&amp;IF(H310="","missing branch_id; ","")&amp;IF(K310="","missing first_name; ","")&amp;IF(L310="","missing last_name; ","")&amp;IF(S310="","missing status; ","")&amp;IF(AND(B310&lt;&gt;"",COUNTIF(الزبائن!$A$6:$A$505,B310)=0),"source key not found; ","")&amp;IF((COUNTIFS('أرقام التواصل'!$A$6:$A$505,"proposed_name",'أرقام التواصل'!$B$6:$B$505,A310,'أرقام التواصل'!$I$6:$I$505,"TRUE")+COUNTIFS('أرقام التواصل'!$A$6:$A$505,"proposed_name",'أرقام التواصل'!$B$6:$B$505,A310,'أرقام التواصل'!$C$6:$C$505,1))=0,"missing primary contact in أرقام التواصل; ","")&amp;IF(AND(U310="TRUE",V310=""),"duplicate_type required when duplicate_flag TRUE; ","")))))</f>
        <v/>
      </c>
    </row>
    <row r="311" spans="1:29">
      <c r="A311" s="36"/>
      <c r="B311" s="24"/>
      <c r="C311" s="25"/>
      <c r="D311" s="25"/>
      <c r="E311" s="25"/>
      <c r="F311" s="24"/>
      <c r="G311" s="25"/>
      <c r="H311" s="25"/>
      <c r="I311" s="25"/>
      <c r="J311" s="25"/>
      <c r="K311" s="25"/>
      <c r="L311" s="25"/>
      <c r="M311" s="25"/>
      <c r="N311" s="25" t="str">
        <f t="shared" si="4"/>
        <v/>
      </c>
      <c r="O311" s="25"/>
      <c r="P311" s="25"/>
      <c r="Q311" s="25"/>
      <c r="R311" s="25"/>
      <c r="S311" s="25"/>
      <c r="T311" s="25"/>
      <c r="U311" s="25"/>
      <c r="V311" s="25"/>
      <c r="W311" s="24"/>
      <c r="X311" s="24"/>
      <c r="Y311" s="25"/>
      <c r="Z311" s="25" t="str">
        <f>IF(B311="","",IFERROR(INDEX(الزبائن!$AZ$6:$AZ$505,MATCH(B311,الزبائن!$A$6:$A$505,0)),"source key not found"))</f>
        <v/>
      </c>
      <c r="AA311" s="25" t="str">
        <f>IF(B311="","",IFERROR(INDEX(الزبائن!$BA$6:$BA$505,MATCH(B311,الزبائن!$A$6:$A$505,0)),"source key not found"))</f>
        <v/>
      </c>
      <c r="AB311" s="25" t="str">
        <f>IF(AND(A311="",C311="",D311="",H311="",K311="",L311=""),"",IF(C311="skip","SKIP",IF(OR(A311="",C311="",D311="",H311="",K311="",L311="",S311="",COUNTIF($A$6:$A$505,A311)&gt;1,AND(B311&lt;&gt;"",COUNTIF(الزبائن!$A$6:$A$505,B311)=0),(COUNTIFS('أرقام التواصل'!$A$6:$A$505,"proposed_name",'أرقام التواصل'!$B$6:$B$505,A311,'أرقام التواصل'!$I$6:$I$505,"TRUE")+COUNTIFS('أرقام التواصل'!$A$6:$A$505,"proposed_name",'أرقام التواصل'!$B$6:$B$505,A311,'أرقام التواصل'!$C$6:$C$505,1))=0,AND(U311="TRUE",V311="")),"REVIEW","READY")))</f>
        <v/>
      </c>
      <c r="AC311" s="27" t="str">
        <f>IF(AB311="","",IF(AB311="READY","",IF(AB311="SKIP","Skipped by candidate_import_action",TRIM(IF(A311="","missing proposed_name_key; ","")&amp;IF(AND(A311&lt;&gt;"",COUNTIF($A$6:$A$505,A311)&gt;1),"duplicate proposed_name_key; ","")&amp;IF(C311="","missing candidate_import_action; ","")&amp;IF(D311="","missing move_reason; ","")&amp;IF(H311="","missing branch_id; ","")&amp;IF(K311="","missing first_name; ","")&amp;IF(L311="","missing last_name; ","")&amp;IF(S311="","missing status; ","")&amp;IF(AND(B311&lt;&gt;"",COUNTIF(الزبائن!$A$6:$A$505,B311)=0),"source key not found; ","")&amp;IF((COUNTIFS('أرقام التواصل'!$A$6:$A$505,"proposed_name",'أرقام التواصل'!$B$6:$B$505,A311,'أرقام التواصل'!$I$6:$I$505,"TRUE")+COUNTIFS('أرقام التواصل'!$A$6:$A$505,"proposed_name",'أرقام التواصل'!$B$6:$B$505,A311,'أرقام التواصل'!$C$6:$C$505,1))=0,"missing primary contact in أرقام التواصل; ","")&amp;IF(AND(U311="TRUE",V311=""),"duplicate_type required when duplicate_flag TRUE; ","")))))</f>
        <v/>
      </c>
    </row>
    <row r="312" spans="1:29">
      <c r="A312" s="36"/>
      <c r="B312" s="24"/>
      <c r="C312" s="25"/>
      <c r="D312" s="25"/>
      <c r="E312" s="25"/>
      <c r="F312" s="24"/>
      <c r="G312" s="25"/>
      <c r="H312" s="25"/>
      <c r="I312" s="25"/>
      <c r="J312" s="25"/>
      <c r="K312" s="25"/>
      <c r="L312" s="25"/>
      <c r="M312" s="25"/>
      <c r="N312" s="25" t="str">
        <f t="shared" si="4"/>
        <v/>
      </c>
      <c r="O312" s="25"/>
      <c r="P312" s="25"/>
      <c r="Q312" s="25"/>
      <c r="R312" s="25"/>
      <c r="S312" s="25"/>
      <c r="T312" s="25"/>
      <c r="U312" s="25"/>
      <c r="V312" s="25"/>
      <c r="W312" s="24"/>
      <c r="X312" s="24"/>
      <c r="Y312" s="25"/>
      <c r="Z312" s="25" t="str">
        <f>IF(B312="","",IFERROR(INDEX(الزبائن!$AZ$6:$AZ$505,MATCH(B312,الزبائن!$A$6:$A$505,0)),"source key not found"))</f>
        <v/>
      </c>
      <c r="AA312" s="25" t="str">
        <f>IF(B312="","",IFERROR(INDEX(الزبائن!$BA$6:$BA$505,MATCH(B312,الزبائن!$A$6:$A$505,0)),"source key not found"))</f>
        <v/>
      </c>
      <c r="AB312" s="25" t="str">
        <f>IF(AND(A312="",C312="",D312="",H312="",K312="",L312=""),"",IF(C312="skip","SKIP",IF(OR(A312="",C312="",D312="",H312="",K312="",L312="",S312="",COUNTIF($A$6:$A$505,A312)&gt;1,AND(B312&lt;&gt;"",COUNTIF(الزبائن!$A$6:$A$505,B312)=0),(COUNTIFS('أرقام التواصل'!$A$6:$A$505,"proposed_name",'أرقام التواصل'!$B$6:$B$505,A312,'أرقام التواصل'!$I$6:$I$505,"TRUE")+COUNTIFS('أرقام التواصل'!$A$6:$A$505,"proposed_name",'أرقام التواصل'!$B$6:$B$505,A312,'أرقام التواصل'!$C$6:$C$505,1))=0,AND(U312="TRUE",V312="")),"REVIEW","READY")))</f>
        <v/>
      </c>
      <c r="AC312" s="27" t="str">
        <f>IF(AB312="","",IF(AB312="READY","",IF(AB312="SKIP","Skipped by candidate_import_action",TRIM(IF(A312="","missing proposed_name_key; ","")&amp;IF(AND(A312&lt;&gt;"",COUNTIF($A$6:$A$505,A312)&gt;1),"duplicate proposed_name_key; ","")&amp;IF(C312="","missing candidate_import_action; ","")&amp;IF(D312="","missing move_reason; ","")&amp;IF(H312="","missing branch_id; ","")&amp;IF(K312="","missing first_name; ","")&amp;IF(L312="","missing last_name; ","")&amp;IF(S312="","missing status; ","")&amp;IF(AND(B312&lt;&gt;"",COUNTIF(الزبائن!$A$6:$A$505,B312)=0),"source key not found; ","")&amp;IF((COUNTIFS('أرقام التواصل'!$A$6:$A$505,"proposed_name",'أرقام التواصل'!$B$6:$B$505,A312,'أرقام التواصل'!$I$6:$I$505,"TRUE")+COUNTIFS('أرقام التواصل'!$A$6:$A$505,"proposed_name",'أرقام التواصل'!$B$6:$B$505,A312,'أرقام التواصل'!$C$6:$C$505,1))=0,"missing primary contact in أرقام التواصل; ","")&amp;IF(AND(U312="TRUE",V312=""),"duplicate_type required when duplicate_flag TRUE; ","")))))</f>
        <v/>
      </c>
    </row>
    <row r="313" spans="1:29">
      <c r="A313" s="36"/>
      <c r="B313" s="24"/>
      <c r="C313" s="25"/>
      <c r="D313" s="25"/>
      <c r="E313" s="25"/>
      <c r="F313" s="24"/>
      <c r="G313" s="25"/>
      <c r="H313" s="25"/>
      <c r="I313" s="25"/>
      <c r="J313" s="25"/>
      <c r="K313" s="25"/>
      <c r="L313" s="25"/>
      <c r="M313" s="25"/>
      <c r="N313" s="25" t="str">
        <f t="shared" si="4"/>
        <v/>
      </c>
      <c r="O313" s="25"/>
      <c r="P313" s="25"/>
      <c r="Q313" s="25"/>
      <c r="R313" s="25"/>
      <c r="S313" s="25"/>
      <c r="T313" s="25"/>
      <c r="U313" s="25"/>
      <c r="V313" s="25"/>
      <c r="W313" s="24"/>
      <c r="X313" s="24"/>
      <c r="Y313" s="25"/>
      <c r="Z313" s="25" t="str">
        <f>IF(B313="","",IFERROR(INDEX(الزبائن!$AZ$6:$AZ$505,MATCH(B313,الزبائن!$A$6:$A$505,0)),"source key not found"))</f>
        <v/>
      </c>
      <c r="AA313" s="25" t="str">
        <f>IF(B313="","",IFERROR(INDEX(الزبائن!$BA$6:$BA$505,MATCH(B313,الزبائن!$A$6:$A$505,0)),"source key not found"))</f>
        <v/>
      </c>
      <c r="AB313" s="25" t="str">
        <f>IF(AND(A313="",C313="",D313="",H313="",K313="",L313=""),"",IF(C313="skip","SKIP",IF(OR(A313="",C313="",D313="",H313="",K313="",L313="",S313="",COUNTIF($A$6:$A$505,A313)&gt;1,AND(B313&lt;&gt;"",COUNTIF(الزبائن!$A$6:$A$505,B313)=0),(COUNTIFS('أرقام التواصل'!$A$6:$A$505,"proposed_name",'أرقام التواصل'!$B$6:$B$505,A313,'أرقام التواصل'!$I$6:$I$505,"TRUE")+COUNTIFS('أرقام التواصل'!$A$6:$A$505,"proposed_name",'أرقام التواصل'!$B$6:$B$505,A313,'أرقام التواصل'!$C$6:$C$505,1))=0,AND(U313="TRUE",V313="")),"REVIEW","READY")))</f>
        <v/>
      </c>
      <c r="AC313" s="27" t="str">
        <f>IF(AB313="","",IF(AB313="READY","",IF(AB313="SKIP","Skipped by candidate_import_action",TRIM(IF(A313="","missing proposed_name_key; ","")&amp;IF(AND(A313&lt;&gt;"",COUNTIF($A$6:$A$505,A313)&gt;1),"duplicate proposed_name_key; ","")&amp;IF(C313="","missing candidate_import_action; ","")&amp;IF(D313="","missing move_reason; ","")&amp;IF(H313="","missing branch_id; ","")&amp;IF(K313="","missing first_name; ","")&amp;IF(L313="","missing last_name; ","")&amp;IF(S313="","missing status; ","")&amp;IF(AND(B313&lt;&gt;"",COUNTIF(الزبائن!$A$6:$A$505,B313)=0),"source key not found; ","")&amp;IF((COUNTIFS('أرقام التواصل'!$A$6:$A$505,"proposed_name",'أرقام التواصل'!$B$6:$B$505,A313,'أرقام التواصل'!$I$6:$I$505,"TRUE")+COUNTIFS('أرقام التواصل'!$A$6:$A$505,"proposed_name",'أرقام التواصل'!$B$6:$B$505,A313,'أرقام التواصل'!$C$6:$C$505,1))=0,"missing primary contact in أرقام التواصل; ","")&amp;IF(AND(U313="TRUE",V313=""),"duplicate_type required when duplicate_flag TRUE; ","")))))</f>
        <v/>
      </c>
    </row>
    <row r="314" spans="1:29">
      <c r="A314" s="36"/>
      <c r="B314" s="24"/>
      <c r="C314" s="25"/>
      <c r="D314" s="25"/>
      <c r="E314" s="25"/>
      <c r="F314" s="24"/>
      <c r="G314" s="25"/>
      <c r="H314" s="25"/>
      <c r="I314" s="25"/>
      <c r="J314" s="25"/>
      <c r="K314" s="25"/>
      <c r="L314" s="25"/>
      <c r="M314" s="25"/>
      <c r="N314" s="25" t="str">
        <f t="shared" si="4"/>
        <v/>
      </c>
      <c r="O314" s="25"/>
      <c r="P314" s="25"/>
      <c r="Q314" s="25"/>
      <c r="R314" s="25"/>
      <c r="S314" s="25"/>
      <c r="T314" s="25"/>
      <c r="U314" s="25"/>
      <c r="V314" s="25"/>
      <c r="W314" s="24"/>
      <c r="X314" s="24"/>
      <c r="Y314" s="25"/>
      <c r="Z314" s="25" t="str">
        <f>IF(B314="","",IFERROR(INDEX(الزبائن!$AZ$6:$AZ$505,MATCH(B314,الزبائن!$A$6:$A$505,0)),"source key not found"))</f>
        <v/>
      </c>
      <c r="AA314" s="25" t="str">
        <f>IF(B314="","",IFERROR(INDEX(الزبائن!$BA$6:$BA$505,MATCH(B314,الزبائن!$A$6:$A$505,0)),"source key not found"))</f>
        <v/>
      </c>
      <c r="AB314" s="25" t="str">
        <f>IF(AND(A314="",C314="",D314="",H314="",K314="",L314=""),"",IF(C314="skip","SKIP",IF(OR(A314="",C314="",D314="",H314="",K314="",L314="",S314="",COUNTIF($A$6:$A$505,A314)&gt;1,AND(B314&lt;&gt;"",COUNTIF(الزبائن!$A$6:$A$505,B314)=0),(COUNTIFS('أرقام التواصل'!$A$6:$A$505,"proposed_name",'أرقام التواصل'!$B$6:$B$505,A314,'أرقام التواصل'!$I$6:$I$505,"TRUE")+COUNTIFS('أرقام التواصل'!$A$6:$A$505,"proposed_name",'أرقام التواصل'!$B$6:$B$505,A314,'أرقام التواصل'!$C$6:$C$505,1))=0,AND(U314="TRUE",V314="")),"REVIEW","READY")))</f>
        <v/>
      </c>
      <c r="AC314" s="27" t="str">
        <f>IF(AB314="","",IF(AB314="READY","",IF(AB314="SKIP","Skipped by candidate_import_action",TRIM(IF(A314="","missing proposed_name_key; ","")&amp;IF(AND(A314&lt;&gt;"",COUNTIF($A$6:$A$505,A314)&gt;1),"duplicate proposed_name_key; ","")&amp;IF(C314="","missing candidate_import_action; ","")&amp;IF(D314="","missing move_reason; ","")&amp;IF(H314="","missing branch_id; ","")&amp;IF(K314="","missing first_name; ","")&amp;IF(L314="","missing last_name; ","")&amp;IF(S314="","missing status; ","")&amp;IF(AND(B314&lt;&gt;"",COUNTIF(الزبائن!$A$6:$A$505,B314)=0),"source key not found; ","")&amp;IF((COUNTIFS('أرقام التواصل'!$A$6:$A$505,"proposed_name",'أرقام التواصل'!$B$6:$B$505,A314,'أرقام التواصل'!$I$6:$I$505,"TRUE")+COUNTIFS('أرقام التواصل'!$A$6:$A$505,"proposed_name",'أرقام التواصل'!$B$6:$B$505,A314,'أرقام التواصل'!$C$6:$C$505,1))=0,"missing primary contact in أرقام التواصل; ","")&amp;IF(AND(U314="TRUE",V314=""),"duplicate_type required when duplicate_flag TRUE; ","")))))</f>
        <v/>
      </c>
    </row>
    <row r="315" spans="1:29">
      <c r="A315" s="36"/>
      <c r="B315" s="24"/>
      <c r="C315" s="25"/>
      <c r="D315" s="25"/>
      <c r="E315" s="25"/>
      <c r="F315" s="24"/>
      <c r="G315" s="25"/>
      <c r="H315" s="25"/>
      <c r="I315" s="25"/>
      <c r="J315" s="25"/>
      <c r="K315" s="25"/>
      <c r="L315" s="25"/>
      <c r="M315" s="25"/>
      <c r="N315" s="25" t="str">
        <f t="shared" si="4"/>
        <v/>
      </c>
      <c r="O315" s="25"/>
      <c r="P315" s="25"/>
      <c r="Q315" s="25"/>
      <c r="R315" s="25"/>
      <c r="S315" s="25"/>
      <c r="T315" s="25"/>
      <c r="U315" s="25"/>
      <c r="V315" s="25"/>
      <c r="W315" s="24"/>
      <c r="X315" s="24"/>
      <c r="Y315" s="25"/>
      <c r="Z315" s="25" t="str">
        <f>IF(B315="","",IFERROR(INDEX(الزبائن!$AZ$6:$AZ$505,MATCH(B315,الزبائن!$A$6:$A$505,0)),"source key not found"))</f>
        <v/>
      </c>
      <c r="AA315" s="25" t="str">
        <f>IF(B315="","",IFERROR(INDEX(الزبائن!$BA$6:$BA$505,MATCH(B315,الزبائن!$A$6:$A$505,0)),"source key not found"))</f>
        <v/>
      </c>
      <c r="AB315" s="25" t="str">
        <f>IF(AND(A315="",C315="",D315="",H315="",K315="",L315=""),"",IF(C315="skip","SKIP",IF(OR(A315="",C315="",D315="",H315="",K315="",L315="",S315="",COUNTIF($A$6:$A$505,A315)&gt;1,AND(B315&lt;&gt;"",COUNTIF(الزبائن!$A$6:$A$505,B315)=0),(COUNTIFS('أرقام التواصل'!$A$6:$A$505,"proposed_name",'أرقام التواصل'!$B$6:$B$505,A315,'أرقام التواصل'!$I$6:$I$505,"TRUE")+COUNTIFS('أرقام التواصل'!$A$6:$A$505,"proposed_name",'أرقام التواصل'!$B$6:$B$505,A315,'أرقام التواصل'!$C$6:$C$505,1))=0,AND(U315="TRUE",V315="")),"REVIEW","READY")))</f>
        <v/>
      </c>
      <c r="AC315" s="27" t="str">
        <f>IF(AB315="","",IF(AB315="READY","",IF(AB315="SKIP","Skipped by candidate_import_action",TRIM(IF(A315="","missing proposed_name_key; ","")&amp;IF(AND(A315&lt;&gt;"",COUNTIF($A$6:$A$505,A315)&gt;1),"duplicate proposed_name_key; ","")&amp;IF(C315="","missing candidate_import_action; ","")&amp;IF(D315="","missing move_reason; ","")&amp;IF(H315="","missing branch_id; ","")&amp;IF(K315="","missing first_name; ","")&amp;IF(L315="","missing last_name; ","")&amp;IF(S315="","missing status; ","")&amp;IF(AND(B315&lt;&gt;"",COUNTIF(الزبائن!$A$6:$A$505,B315)=0),"source key not found; ","")&amp;IF((COUNTIFS('أرقام التواصل'!$A$6:$A$505,"proposed_name",'أرقام التواصل'!$B$6:$B$505,A315,'أرقام التواصل'!$I$6:$I$505,"TRUE")+COUNTIFS('أرقام التواصل'!$A$6:$A$505,"proposed_name",'أرقام التواصل'!$B$6:$B$505,A315,'أرقام التواصل'!$C$6:$C$505,1))=0,"missing primary contact in أرقام التواصل; ","")&amp;IF(AND(U315="TRUE",V315=""),"duplicate_type required when duplicate_flag TRUE; ","")))))</f>
        <v/>
      </c>
    </row>
    <row r="316" spans="1:29">
      <c r="A316" s="36"/>
      <c r="B316" s="24"/>
      <c r="C316" s="25"/>
      <c r="D316" s="25"/>
      <c r="E316" s="25"/>
      <c r="F316" s="24"/>
      <c r="G316" s="25"/>
      <c r="H316" s="25"/>
      <c r="I316" s="25"/>
      <c r="J316" s="25"/>
      <c r="K316" s="25"/>
      <c r="L316" s="25"/>
      <c r="M316" s="25"/>
      <c r="N316" s="25" t="str">
        <f t="shared" si="4"/>
        <v/>
      </c>
      <c r="O316" s="25"/>
      <c r="P316" s="25"/>
      <c r="Q316" s="25"/>
      <c r="R316" s="25"/>
      <c r="S316" s="25"/>
      <c r="T316" s="25"/>
      <c r="U316" s="25"/>
      <c r="V316" s="25"/>
      <c r="W316" s="24"/>
      <c r="X316" s="24"/>
      <c r="Y316" s="25"/>
      <c r="Z316" s="25" t="str">
        <f>IF(B316="","",IFERROR(INDEX(الزبائن!$AZ$6:$AZ$505,MATCH(B316,الزبائن!$A$6:$A$505,0)),"source key not found"))</f>
        <v/>
      </c>
      <c r="AA316" s="25" t="str">
        <f>IF(B316="","",IFERROR(INDEX(الزبائن!$BA$6:$BA$505,MATCH(B316,الزبائن!$A$6:$A$505,0)),"source key not found"))</f>
        <v/>
      </c>
      <c r="AB316" s="25" t="str">
        <f>IF(AND(A316="",C316="",D316="",H316="",K316="",L316=""),"",IF(C316="skip","SKIP",IF(OR(A316="",C316="",D316="",H316="",K316="",L316="",S316="",COUNTIF($A$6:$A$505,A316)&gt;1,AND(B316&lt;&gt;"",COUNTIF(الزبائن!$A$6:$A$505,B316)=0),(COUNTIFS('أرقام التواصل'!$A$6:$A$505,"proposed_name",'أرقام التواصل'!$B$6:$B$505,A316,'أرقام التواصل'!$I$6:$I$505,"TRUE")+COUNTIFS('أرقام التواصل'!$A$6:$A$505,"proposed_name",'أرقام التواصل'!$B$6:$B$505,A316,'أرقام التواصل'!$C$6:$C$505,1))=0,AND(U316="TRUE",V316="")),"REVIEW","READY")))</f>
        <v/>
      </c>
      <c r="AC316" s="27" t="str">
        <f>IF(AB316="","",IF(AB316="READY","",IF(AB316="SKIP","Skipped by candidate_import_action",TRIM(IF(A316="","missing proposed_name_key; ","")&amp;IF(AND(A316&lt;&gt;"",COUNTIF($A$6:$A$505,A316)&gt;1),"duplicate proposed_name_key; ","")&amp;IF(C316="","missing candidate_import_action; ","")&amp;IF(D316="","missing move_reason; ","")&amp;IF(H316="","missing branch_id; ","")&amp;IF(K316="","missing first_name; ","")&amp;IF(L316="","missing last_name; ","")&amp;IF(S316="","missing status; ","")&amp;IF(AND(B316&lt;&gt;"",COUNTIF(الزبائن!$A$6:$A$505,B316)=0),"source key not found; ","")&amp;IF((COUNTIFS('أرقام التواصل'!$A$6:$A$505,"proposed_name",'أرقام التواصل'!$B$6:$B$505,A316,'أرقام التواصل'!$I$6:$I$505,"TRUE")+COUNTIFS('أرقام التواصل'!$A$6:$A$505,"proposed_name",'أرقام التواصل'!$B$6:$B$505,A316,'أرقام التواصل'!$C$6:$C$505,1))=0,"missing primary contact in أرقام التواصل; ","")&amp;IF(AND(U316="TRUE",V316=""),"duplicate_type required when duplicate_flag TRUE; ","")))))</f>
        <v/>
      </c>
    </row>
    <row r="317" spans="1:29">
      <c r="A317" s="36"/>
      <c r="B317" s="24"/>
      <c r="C317" s="25"/>
      <c r="D317" s="25"/>
      <c r="E317" s="25"/>
      <c r="F317" s="24"/>
      <c r="G317" s="25"/>
      <c r="H317" s="25"/>
      <c r="I317" s="25"/>
      <c r="J317" s="25"/>
      <c r="K317" s="25"/>
      <c r="L317" s="25"/>
      <c r="M317" s="25"/>
      <c r="N317" s="25" t="str">
        <f t="shared" si="4"/>
        <v/>
      </c>
      <c r="O317" s="25"/>
      <c r="P317" s="25"/>
      <c r="Q317" s="25"/>
      <c r="R317" s="25"/>
      <c r="S317" s="25"/>
      <c r="T317" s="25"/>
      <c r="U317" s="25"/>
      <c r="V317" s="25"/>
      <c r="W317" s="24"/>
      <c r="X317" s="24"/>
      <c r="Y317" s="25"/>
      <c r="Z317" s="25" t="str">
        <f>IF(B317="","",IFERROR(INDEX(الزبائن!$AZ$6:$AZ$505,MATCH(B317,الزبائن!$A$6:$A$505,0)),"source key not found"))</f>
        <v/>
      </c>
      <c r="AA317" s="25" t="str">
        <f>IF(B317="","",IFERROR(INDEX(الزبائن!$BA$6:$BA$505,MATCH(B317,الزبائن!$A$6:$A$505,0)),"source key not found"))</f>
        <v/>
      </c>
      <c r="AB317" s="25" t="str">
        <f>IF(AND(A317="",C317="",D317="",H317="",K317="",L317=""),"",IF(C317="skip","SKIP",IF(OR(A317="",C317="",D317="",H317="",K317="",L317="",S317="",COUNTIF($A$6:$A$505,A317)&gt;1,AND(B317&lt;&gt;"",COUNTIF(الزبائن!$A$6:$A$505,B317)=0),(COUNTIFS('أرقام التواصل'!$A$6:$A$505,"proposed_name",'أرقام التواصل'!$B$6:$B$505,A317,'أرقام التواصل'!$I$6:$I$505,"TRUE")+COUNTIFS('أرقام التواصل'!$A$6:$A$505,"proposed_name",'أرقام التواصل'!$B$6:$B$505,A317,'أرقام التواصل'!$C$6:$C$505,1))=0,AND(U317="TRUE",V317="")),"REVIEW","READY")))</f>
        <v/>
      </c>
      <c r="AC317" s="27" t="str">
        <f>IF(AB317="","",IF(AB317="READY","",IF(AB317="SKIP","Skipped by candidate_import_action",TRIM(IF(A317="","missing proposed_name_key; ","")&amp;IF(AND(A317&lt;&gt;"",COUNTIF($A$6:$A$505,A317)&gt;1),"duplicate proposed_name_key; ","")&amp;IF(C317="","missing candidate_import_action; ","")&amp;IF(D317="","missing move_reason; ","")&amp;IF(H317="","missing branch_id; ","")&amp;IF(K317="","missing first_name; ","")&amp;IF(L317="","missing last_name; ","")&amp;IF(S317="","missing status; ","")&amp;IF(AND(B317&lt;&gt;"",COUNTIF(الزبائن!$A$6:$A$505,B317)=0),"source key not found; ","")&amp;IF((COUNTIFS('أرقام التواصل'!$A$6:$A$505,"proposed_name",'أرقام التواصل'!$B$6:$B$505,A317,'أرقام التواصل'!$I$6:$I$505,"TRUE")+COUNTIFS('أرقام التواصل'!$A$6:$A$505,"proposed_name",'أرقام التواصل'!$B$6:$B$505,A317,'أرقام التواصل'!$C$6:$C$505,1))=0,"missing primary contact in أرقام التواصل; ","")&amp;IF(AND(U317="TRUE",V317=""),"duplicate_type required when duplicate_flag TRUE; ","")))))</f>
        <v/>
      </c>
    </row>
    <row r="318" spans="1:29">
      <c r="A318" s="36"/>
      <c r="B318" s="24"/>
      <c r="C318" s="25"/>
      <c r="D318" s="25"/>
      <c r="E318" s="25"/>
      <c r="F318" s="24"/>
      <c r="G318" s="25"/>
      <c r="H318" s="25"/>
      <c r="I318" s="25"/>
      <c r="J318" s="25"/>
      <c r="K318" s="25"/>
      <c r="L318" s="25"/>
      <c r="M318" s="25"/>
      <c r="N318" s="25" t="str">
        <f t="shared" si="4"/>
        <v/>
      </c>
      <c r="O318" s="25"/>
      <c r="P318" s="25"/>
      <c r="Q318" s="25"/>
      <c r="R318" s="25"/>
      <c r="S318" s="25"/>
      <c r="T318" s="25"/>
      <c r="U318" s="25"/>
      <c r="V318" s="25"/>
      <c r="W318" s="24"/>
      <c r="X318" s="24"/>
      <c r="Y318" s="25"/>
      <c r="Z318" s="25" t="str">
        <f>IF(B318="","",IFERROR(INDEX(الزبائن!$AZ$6:$AZ$505,MATCH(B318,الزبائن!$A$6:$A$505,0)),"source key not found"))</f>
        <v/>
      </c>
      <c r="AA318" s="25" t="str">
        <f>IF(B318="","",IFERROR(INDEX(الزبائن!$BA$6:$BA$505,MATCH(B318,الزبائن!$A$6:$A$505,0)),"source key not found"))</f>
        <v/>
      </c>
      <c r="AB318" s="25" t="str">
        <f>IF(AND(A318="",C318="",D318="",H318="",K318="",L318=""),"",IF(C318="skip","SKIP",IF(OR(A318="",C318="",D318="",H318="",K318="",L318="",S318="",COUNTIF($A$6:$A$505,A318)&gt;1,AND(B318&lt;&gt;"",COUNTIF(الزبائن!$A$6:$A$505,B318)=0),(COUNTIFS('أرقام التواصل'!$A$6:$A$505,"proposed_name",'أرقام التواصل'!$B$6:$B$505,A318,'أرقام التواصل'!$I$6:$I$505,"TRUE")+COUNTIFS('أرقام التواصل'!$A$6:$A$505,"proposed_name",'أرقام التواصل'!$B$6:$B$505,A318,'أرقام التواصل'!$C$6:$C$505,1))=0,AND(U318="TRUE",V318="")),"REVIEW","READY")))</f>
        <v/>
      </c>
      <c r="AC318" s="27" t="str">
        <f>IF(AB318="","",IF(AB318="READY","",IF(AB318="SKIP","Skipped by candidate_import_action",TRIM(IF(A318="","missing proposed_name_key; ","")&amp;IF(AND(A318&lt;&gt;"",COUNTIF($A$6:$A$505,A318)&gt;1),"duplicate proposed_name_key; ","")&amp;IF(C318="","missing candidate_import_action; ","")&amp;IF(D318="","missing move_reason; ","")&amp;IF(H318="","missing branch_id; ","")&amp;IF(K318="","missing first_name; ","")&amp;IF(L318="","missing last_name; ","")&amp;IF(S318="","missing status; ","")&amp;IF(AND(B318&lt;&gt;"",COUNTIF(الزبائن!$A$6:$A$505,B318)=0),"source key not found; ","")&amp;IF((COUNTIFS('أرقام التواصل'!$A$6:$A$505,"proposed_name",'أرقام التواصل'!$B$6:$B$505,A318,'أرقام التواصل'!$I$6:$I$505,"TRUE")+COUNTIFS('أرقام التواصل'!$A$6:$A$505,"proposed_name",'أرقام التواصل'!$B$6:$B$505,A318,'أرقام التواصل'!$C$6:$C$505,1))=0,"missing primary contact in أرقام التواصل; ","")&amp;IF(AND(U318="TRUE",V318=""),"duplicate_type required when duplicate_flag TRUE; ","")))))</f>
        <v/>
      </c>
    </row>
    <row r="319" spans="1:29">
      <c r="A319" s="36"/>
      <c r="B319" s="24"/>
      <c r="C319" s="25"/>
      <c r="D319" s="25"/>
      <c r="E319" s="25"/>
      <c r="F319" s="24"/>
      <c r="G319" s="25"/>
      <c r="H319" s="25"/>
      <c r="I319" s="25"/>
      <c r="J319" s="25"/>
      <c r="K319" s="25"/>
      <c r="L319" s="25"/>
      <c r="M319" s="25"/>
      <c r="N319" s="25" t="str">
        <f t="shared" si="4"/>
        <v/>
      </c>
      <c r="O319" s="25"/>
      <c r="P319" s="25"/>
      <c r="Q319" s="25"/>
      <c r="R319" s="25"/>
      <c r="S319" s="25"/>
      <c r="T319" s="25"/>
      <c r="U319" s="25"/>
      <c r="V319" s="25"/>
      <c r="W319" s="24"/>
      <c r="X319" s="24"/>
      <c r="Y319" s="25"/>
      <c r="Z319" s="25" t="str">
        <f>IF(B319="","",IFERROR(INDEX(الزبائن!$AZ$6:$AZ$505,MATCH(B319,الزبائن!$A$6:$A$505,0)),"source key not found"))</f>
        <v/>
      </c>
      <c r="AA319" s="25" t="str">
        <f>IF(B319="","",IFERROR(INDEX(الزبائن!$BA$6:$BA$505,MATCH(B319,الزبائن!$A$6:$A$505,0)),"source key not found"))</f>
        <v/>
      </c>
      <c r="AB319" s="25" t="str">
        <f>IF(AND(A319="",C319="",D319="",H319="",K319="",L319=""),"",IF(C319="skip","SKIP",IF(OR(A319="",C319="",D319="",H319="",K319="",L319="",S319="",COUNTIF($A$6:$A$505,A319)&gt;1,AND(B319&lt;&gt;"",COUNTIF(الزبائن!$A$6:$A$505,B319)=0),(COUNTIFS('أرقام التواصل'!$A$6:$A$505,"proposed_name",'أرقام التواصل'!$B$6:$B$505,A319,'أرقام التواصل'!$I$6:$I$505,"TRUE")+COUNTIFS('أرقام التواصل'!$A$6:$A$505,"proposed_name",'أرقام التواصل'!$B$6:$B$505,A319,'أرقام التواصل'!$C$6:$C$505,1))=0,AND(U319="TRUE",V319="")),"REVIEW","READY")))</f>
        <v/>
      </c>
      <c r="AC319" s="27" t="str">
        <f>IF(AB319="","",IF(AB319="READY","",IF(AB319="SKIP","Skipped by candidate_import_action",TRIM(IF(A319="","missing proposed_name_key; ","")&amp;IF(AND(A319&lt;&gt;"",COUNTIF($A$6:$A$505,A319)&gt;1),"duplicate proposed_name_key; ","")&amp;IF(C319="","missing candidate_import_action; ","")&amp;IF(D319="","missing move_reason; ","")&amp;IF(H319="","missing branch_id; ","")&amp;IF(K319="","missing first_name; ","")&amp;IF(L319="","missing last_name; ","")&amp;IF(S319="","missing status; ","")&amp;IF(AND(B319&lt;&gt;"",COUNTIF(الزبائن!$A$6:$A$505,B319)=0),"source key not found; ","")&amp;IF((COUNTIFS('أرقام التواصل'!$A$6:$A$505,"proposed_name",'أرقام التواصل'!$B$6:$B$505,A319,'أرقام التواصل'!$I$6:$I$505,"TRUE")+COUNTIFS('أرقام التواصل'!$A$6:$A$505,"proposed_name",'أرقام التواصل'!$B$6:$B$505,A319,'أرقام التواصل'!$C$6:$C$505,1))=0,"missing primary contact in أرقام التواصل; ","")&amp;IF(AND(U319="TRUE",V319=""),"duplicate_type required when duplicate_flag TRUE; ","")))))</f>
        <v/>
      </c>
    </row>
    <row r="320" spans="1:29">
      <c r="A320" s="36"/>
      <c r="B320" s="24"/>
      <c r="C320" s="25"/>
      <c r="D320" s="25"/>
      <c r="E320" s="25"/>
      <c r="F320" s="24"/>
      <c r="G320" s="25"/>
      <c r="H320" s="25"/>
      <c r="I320" s="25"/>
      <c r="J320" s="25"/>
      <c r="K320" s="25"/>
      <c r="L320" s="25"/>
      <c r="M320" s="25"/>
      <c r="N320" s="25" t="str">
        <f t="shared" si="4"/>
        <v/>
      </c>
      <c r="O320" s="25"/>
      <c r="P320" s="25"/>
      <c r="Q320" s="25"/>
      <c r="R320" s="25"/>
      <c r="S320" s="25"/>
      <c r="T320" s="25"/>
      <c r="U320" s="25"/>
      <c r="V320" s="25"/>
      <c r="W320" s="24"/>
      <c r="X320" s="24"/>
      <c r="Y320" s="25"/>
      <c r="Z320" s="25" t="str">
        <f>IF(B320="","",IFERROR(INDEX(الزبائن!$AZ$6:$AZ$505,MATCH(B320,الزبائن!$A$6:$A$505,0)),"source key not found"))</f>
        <v/>
      </c>
      <c r="AA320" s="25" t="str">
        <f>IF(B320="","",IFERROR(INDEX(الزبائن!$BA$6:$BA$505,MATCH(B320,الزبائن!$A$6:$A$505,0)),"source key not found"))</f>
        <v/>
      </c>
      <c r="AB320" s="25" t="str">
        <f>IF(AND(A320="",C320="",D320="",H320="",K320="",L320=""),"",IF(C320="skip","SKIP",IF(OR(A320="",C320="",D320="",H320="",K320="",L320="",S320="",COUNTIF($A$6:$A$505,A320)&gt;1,AND(B320&lt;&gt;"",COUNTIF(الزبائن!$A$6:$A$505,B320)=0),(COUNTIFS('أرقام التواصل'!$A$6:$A$505,"proposed_name",'أرقام التواصل'!$B$6:$B$505,A320,'أرقام التواصل'!$I$6:$I$505,"TRUE")+COUNTIFS('أرقام التواصل'!$A$6:$A$505,"proposed_name",'أرقام التواصل'!$B$6:$B$505,A320,'أرقام التواصل'!$C$6:$C$505,1))=0,AND(U320="TRUE",V320="")),"REVIEW","READY")))</f>
        <v/>
      </c>
      <c r="AC320" s="27" t="str">
        <f>IF(AB320="","",IF(AB320="READY","",IF(AB320="SKIP","Skipped by candidate_import_action",TRIM(IF(A320="","missing proposed_name_key; ","")&amp;IF(AND(A320&lt;&gt;"",COUNTIF($A$6:$A$505,A320)&gt;1),"duplicate proposed_name_key; ","")&amp;IF(C320="","missing candidate_import_action; ","")&amp;IF(D320="","missing move_reason; ","")&amp;IF(H320="","missing branch_id; ","")&amp;IF(K320="","missing first_name; ","")&amp;IF(L320="","missing last_name; ","")&amp;IF(S320="","missing status; ","")&amp;IF(AND(B320&lt;&gt;"",COUNTIF(الزبائن!$A$6:$A$505,B320)=0),"source key not found; ","")&amp;IF((COUNTIFS('أرقام التواصل'!$A$6:$A$505,"proposed_name",'أرقام التواصل'!$B$6:$B$505,A320,'أرقام التواصل'!$I$6:$I$505,"TRUE")+COUNTIFS('أرقام التواصل'!$A$6:$A$505,"proposed_name",'أرقام التواصل'!$B$6:$B$505,A320,'أرقام التواصل'!$C$6:$C$505,1))=0,"missing primary contact in أرقام التواصل; ","")&amp;IF(AND(U320="TRUE",V320=""),"duplicate_type required when duplicate_flag TRUE; ","")))))</f>
        <v/>
      </c>
    </row>
    <row r="321" spans="1:29">
      <c r="A321" s="36"/>
      <c r="B321" s="24"/>
      <c r="C321" s="25"/>
      <c r="D321" s="25"/>
      <c r="E321" s="25"/>
      <c r="F321" s="24"/>
      <c r="G321" s="25"/>
      <c r="H321" s="25"/>
      <c r="I321" s="25"/>
      <c r="J321" s="25"/>
      <c r="K321" s="25"/>
      <c r="L321" s="25"/>
      <c r="M321" s="25"/>
      <c r="N321" s="25" t="str">
        <f t="shared" si="4"/>
        <v/>
      </c>
      <c r="O321" s="25"/>
      <c r="P321" s="25"/>
      <c r="Q321" s="25"/>
      <c r="R321" s="25"/>
      <c r="S321" s="25"/>
      <c r="T321" s="25"/>
      <c r="U321" s="25"/>
      <c r="V321" s="25"/>
      <c r="W321" s="24"/>
      <c r="X321" s="24"/>
      <c r="Y321" s="25"/>
      <c r="Z321" s="25" t="str">
        <f>IF(B321="","",IFERROR(INDEX(الزبائن!$AZ$6:$AZ$505,MATCH(B321,الزبائن!$A$6:$A$505,0)),"source key not found"))</f>
        <v/>
      </c>
      <c r="AA321" s="25" t="str">
        <f>IF(B321="","",IFERROR(INDEX(الزبائن!$BA$6:$BA$505,MATCH(B321,الزبائن!$A$6:$A$505,0)),"source key not found"))</f>
        <v/>
      </c>
      <c r="AB321" s="25" t="str">
        <f>IF(AND(A321="",C321="",D321="",H321="",K321="",L321=""),"",IF(C321="skip","SKIP",IF(OR(A321="",C321="",D321="",H321="",K321="",L321="",S321="",COUNTIF($A$6:$A$505,A321)&gt;1,AND(B321&lt;&gt;"",COUNTIF(الزبائن!$A$6:$A$505,B321)=0),(COUNTIFS('أرقام التواصل'!$A$6:$A$505,"proposed_name",'أرقام التواصل'!$B$6:$B$505,A321,'أرقام التواصل'!$I$6:$I$505,"TRUE")+COUNTIFS('أرقام التواصل'!$A$6:$A$505,"proposed_name",'أرقام التواصل'!$B$6:$B$505,A321,'أرقام التواصل'!$C$6:$C$505,1))=0,AND(U321="TRUE",V321="")),"REVIEW","READY")))</f>
        <v/>
      </c>
      <c r="AC321" s="27" t="str">
        <f>IF(AB321="","",IF(AB321="READY","",IF(AB321="SKIP","Skipped by candidate_import_action",TRIM(IF(A321="","missing proposed_name_key; ","")&amp;IF(AND(A321&lt;&gt;"",COUNTIF($A$6:$A$505,A321)&gt;1),"duplicate proposed_name_key; ","")&amp;IF(C321="","missing candidate_import_action; ","")&amp;IF(D321="","missing move_reason; ","")&amp;IF(H321="","missing branch_id; ","")&amp;IF(K321="","missing first_name; ","")&amp;IF(L321="","missing last_name; ","")&amp;IF(S321="","missing status; ","")&amp;IF(AND(B321&lt;&gt;"",COUNTIF(الزبائن!$A$6:$A$505,B321)=0),"source key not found; ","")&amp;IF((COUNTIFS('أرقام التواصل'!$A$6:$A$505,"proposed_name",'أرقام التواصل'!$B$6:$B$505,A321,'أرقام التواصل'!$I$6:$I$505,"TRUE")+COUNTIFS('أرقام التواصل'!$A$6:$A$505,"proposed_name",'أرقام التواصل'!$B$6:$B$505,A321,'أرقام التواصل'!$C$6:$C$505,1))=0,"missing primary contact in أرقام التواصل; ","")&amp;IF(AND(U321="TRUE",V321=""),"duplicate_type required when duplicate_flag TRUE; ","")))))</f>
        <v/>
      </c>
    </row>
    <row r="322" spans="1:29">
      <c r="A322" s="36"/>
      <c r="B322" s="24"/>
      <c r="C322" s="25"/>
      <c r="D322" s="25"/>
      <c r="E322" s="25"/>
      <c r="F322" s="24"/>
      <c r="G322" s="25"/>
      <c r="H322" s="25"/>
      <c r="I322" s="25"/>
      <c r="J322" s="25"/>
      <c r="K322" s="25"/>
      <c r="L322" s="25"/>
      <c r="M322" s="25"/>
      <c r="N322" s="25" t="str">
        <f t="shared" si="4"/>
        <v/>
      </c>
      <c r="O322" s="25"/>
      <c r="P322" s="25"/>
      <c r="Q322" s="25"/>
      <c r="R322" s="25"/>
      <c r="S322" s="25"/>
      <c r="T322" s="25"/>
      <c r="U322" s="25"/>
      <c r="V322" s="25"/>
      <c r="W322" s="24"/>
      <c r="X322" s="24"/>
      <c r="Y322" s="25"/>
      <c r="Z322" s="25" t="str">
        <f>IF(B322="","",IFERROR(INDEX(الزبائن!$AZ$6:$AZ$505,MATCH(B322,الزبائن!$A$6:$A$505,0)),"source key not found"))</f>
        <v/>
      </c>
      <c r="AA322" s="25" t="str">
        <f>IF(B322="","",IFERROR(INDEX(الزبائن!$BA$6:$BA$505,MATCH(B322,الزبائن!$A$6:$A$505,0)),"source key not found"))</f>
        <v/>
      </c>
      <c r="AB322" s="25" t="str">
        <f>IF(AND(A322="",C322="",D322="",H322="",K322="",L322=""),"",IF(C322="skip","SKIP",IF(OR(A322="",C322="",D322="",H322="",K322="",L322="",S322="",COUNTIF($A$6:$A$505,A322)&gt;1,AND(B322&lt;&gt;"",COUNTIF(الزبائن!$A$6:$A$505,B322)=0),(COUNTIFS('أرقام التواصل'!$A$6:$A$505,"proposed_name",'أرقام التواصل'!$B$6:$B$505,A322,'أرقام التواصل'!$I$6:$I$505,"TRUE")+COUNTIFS('أرقام التواصل'!$A$6:$A$505,"proposed_name",'أرقام التواصل'!$B$6:$B$505,A322,'أرقام التواصل'!$C$6:$C$505,1))=0,AND(U322="TRUE",V322="")),"REVIEW","READY")))</f>
        <v/>
      </c>
      <c r="AC322" s="27" t="str">
        <f>IF(AB322="","",IF(AB322="READY","",IF(AB322="SKIP","Skipped by candidate_import_action",TRIM(IF(A322="","missing proposed_name_key; ","")&amp;IF(AND(A322&lt;&gt;"",COUNTIF($A$6:$A$505,A322)&gt;1),"duplicate proposed_name_key; ","")&amp;IF(C322="","missing candidate_import_action; ","")&amp;IF(D322="","missing move_reason; ","")&amp;IF(H322="","missing branch_id; ","")&amp;IF(K322="","missing first_name; ","")&amp;IF(L322="","missing last_name; ","")&amp;IF(S322="","missing status; ","")&amp;IF(AND(B322&lt;&gt;"",COUNTIF(الزبائن!$A$6:$A$505,B322)=0),"source key not found; ","")&amp;IF((COUNTIFS('أرقام التواصل'!$A$6:$A$505,"proposed_name",'أرقام التواصل'!$B$6:$B$505,A322,'أرقام التواصل'!$I$6:$I$505,"TRUE")+COUNTIFS('أرقام التواصل'!$A$6:$A$505,"proposed_name",'أرقام التواصل'!$B$6:$B$505,A322,'أرقام التواصل'!$C$6:$C$505,1))=0,"missing primary contact in أرقام التواصل; ","")&amp;IF(AND(U322="TRUE",V322=""),"duplicate_type required when duplicate_flag TRUE; ","")))))</f>
        <v/>
      </c>
    </row>
    <row r="323" spans="1:29">
      <c r="A323" s="36"/>
      <c r="B323" s="24"/>
      <c r="C323" s="25"/>
      <c r="D323" s="25"/>
      <c r="E323" s="25"/>
      <c r="F323" s="24"/>
      <c r="G323" s="25"/>
      <c r="H323" s="25"/>
      <c r="I323" s="25"/>
      <c r="J323" s="25"/>
      <c r="K323" s="25"/>
      <c r="L323" s="25"/>
      <c r="M323" s="25"/>
      <c r="N323" s="25" t="str">
        <f t="shared" si="4"/>
        <v/>
      </c>
      <c r="O323" s="25"/>
      <c r="P323" s="25"/>
      <c r="Q323" s="25"/>
      <c r="R323" s="25"/>
      <c r="S323" s="25"/>
      <c r="T323" s="25"/>
      <c r="U323" s="25"/>
      <c r="V323" s="25"/>
      <c r="W323" s="24"/>
      <c r="X323" s="24"/>
      <c r="Y323" s="25"/>
      <c r="Z323" s="25" t="str">
        <f>IF(B323="","",IFERROR(INDEX(الزبائن!$AZ$6:$AZ$505,MATCH(B323,الزبائن!$A$6:$A$505,0)),"source key not found"))</f>
        <v/>
      </c>
      <c r="AA323" s="25" t="str">
        <f>IF(B323="","",IFERROR(INDEX(الزبائن!$BA$6:$BA$505,MATCH(B323,الزبائن!$A$6:$A$505,0)),"source key not found"))</f>
        <v/>
      </c>
      <c r="AB323" s="25" t="str">
        <f>IF(AND(A323="",C323="",D323="",H323="",K323="",L323=""),"",IF(C323="skip","SKIP",IF(OR(A323="",C323="",D323="",H323="",K323="",L323="",S323="",COUNTIF($A$6:$A$505,A323)&gt;1,AND(B323&lt;&gt;"",COUNTIF(الزبائن!$A$6:$A$505,B323)=0),(COUNTIFS('أرقام التواصل'!$A$6:$A$505,"proposed_name",'أرقام التواصل'!$B$6:$B$505,A323,'أرقام التواصل'!$I$6:$I$505,"TRUE")+COUNTIFS('أرقام التواصل'!$A$6:$A$505,"proposed_name",'أرقام التواصل'!$B$6:$B$505,A323,'أرقام التواصل'!$C$6:$C$505,1))=0,AND(U323="TRUE",V323="")),"REVIEW","READY")))</f>
        <v/>
      </c>
      <c r="AC323" s="27" t="str">
        <f>IF(AB323="","",IF(AB323="READY","",IF(AB323="SKIP","Skipped by candidate_import_action",TRIM(IF(A323="","missing proposed_name_key; ","")&amp;IF(AND(A323&lt;&gt;"",COUNTIF($A$6:$A$505,A323)&gt;1),"duplicate proposed_name_key; ","")&amp;IF(C323="","missing candidate_import_action; ","")&amp;IF(D323="","missing move_reason; ","")&amp;IF(H323="","missing branch_id; ","")&amp;IF(K323="","missing first_name; ","")&amp;IF(L323="","missing last_name; ","")&amp;IF(S323="","missing status; ","")&amp;IF(AND(B323&lt;&gt;"",COUNTIF(الزبائن!$A$6:$A$505,B323)=0),"source key not found; ","")&amp;IF((COUNTIFS('أرقام التواصل'!$A$6:$A$505,"proposed_name",'أرقام التواصل'!$B$6:$B$505,A323,'أرقام التواصل'!$I$6:$I$505,"TRUE")+COUNTIFS('أرقام التواصل'!$A$6:$A$505,"proposed_name",'أرقام التواصل'!$B$6:$B$505,A323,'أرقام التواصل'!$C$6:$C$505,1))=0,"missing primary contact in أرقام التواصل; ","")&amp;IF(AND(U323="TRUE",V323=""),"duplicate_type required when duplicate_flag TRUE; ","")))))</f>
        <v/>
      </c>
    </row>
    <row r="324" spans="1:29">
      <c r="A324" s="36"/>
      <c r="B324" s="24"/>
      <c r="C324" s="25"/>
      <c r="D324" s="25"/>
      <c r="E324" s="25"/>
      <c r="F324" s="24"/>
      <c r="G324" s="25"/>
      <c r="H324" s="25"/>
      <c r="I324" s="25"/>
      <c r="J324" s="25"/>
      <c r="K324" s="25"/>
      <c r="L324" s="25"/>
      <c r="M324" s="25"/>
      <c r="N324" s="25" t="str">
        <f t="shared" si="4"/>
        <v/>
      </c>
      <c r="O324" s="25"/>
      <c r="P324" s="25"/>
      <c r="Q324" s="25"/>
      <c r="R324" s="25"/>
      <c r="S324" s="25"/>
      <c r="T324" s="25"/>
      <c r="U324" s="25"/>
      <c r="V324" s="25"/>
      <c r="W324" s="24"/>
      <c r="X324" s="24"/>
      <c r="Y324" s="25"/>
      <c r="Z324" s="25" t="str">
        <f>IF(B324="","",IFERROR(INDEX(الزبائن!$AZ$6:$AZ$505,MATCH(B324,الزبائن!$A$6:$A$505,0)),"source key not found"))</f>
        <v/>
      </c>
      <c r="AA324" s="25" t="str">
        <f>IF(B324="","",IFERROR(INDEX(الزبائن!$BA$6:$BA$505,MATCH(B324,الزبائن!$A$6:$A$505,0)),"source key not found"))</f>
        <v/>
      </c>
      <c r="AB324" s="25" t="str">
        <f>IF(AND(A324="",C324="",D324="",H324="",K324="",L324=""),"",IF(C324="skip","SKIP",IF(OR(A324="",C324="",D324="",H324="",K324="",L324="",S324="",COUNTIF($A$6:$A$505,A324)&gt;1,AND(B324&lt;&gt;"",COUNTIF(الزبائن!$A$6:$A$505,B324)=0),(COUNTIFS('أرقام التواصل'!$A$6:$A$505,"proposed_name",'أرقام التواصل'!$B$6:$B$505,A324,'أرقام التواصل'!$I$6:$I$505,"TRUE")+COUNTIFS('أرقام التواصل'!$A$6:$A$505,"proposed_name",'أرقام التواصل'!$B$6:$B$505,A324,'أرقام التواصل'!$C$6:$C$505,1))=0,AND(U324="TRUE",V324="")),"REVIEW","READY")))</f>
        <v/>
      </c>
      <c r="AC324" s="27" t="str">
        <f>IF(AB324="","",IF(AB324="READY","",IF(AB324="SKIP","Skipped by candidate_import_action",TRIM(IF(A324="","missing proposed_name_key; ","")&amp;IF(AND(A324&lt;&gt;"",COUNTIF($A$6:$A$505,A324)&gt;1),"duplicate proposed_name_key; ","")&amp;IF(C324="","missing candidate_import_action; ","")&amp;IF(D324="","missing move_reason; ","")&amp;IF(H324="","missing branch_id; ","")&amp;IF(K324="","missing first_name; ","")&amp;IF(L324="","missing last_name; ","")&amp;IF(S324="","missing status; ","")&amp;IF(AND(B324&lt;&gt;"",COUNTIF(الزبائن!$A$6:$A$505,B324)=0),"source key not found; ","")&amp;IF((COUNTIFS('أرقام التواصل'!$A$6:$A$505,"proposed_name",'أرقام التواصل'!$B$6:$B$505,A324,'أرقام التواصل'!$I$6:$I$505,"TRUE")+COUNTIFS('أرقام التواصل'!$A$6:$A$505,"proposed_name",'أرقام التواصل'!$B$6:$B$505,A324,'أرقام التواصل'!$C$6:$C$505,1))=0,"missing primary contact in أرقام التواصل; ","")&amp;IF(AND(U324="TRUE",V324=""),"duplicate_type required when duplicate_flag TRUE; ","")))))</f>
        <v/>
      </c>
    </row>
    <row r="325" spans="1:29">
      <c r="A325" s="36"/>
      <c r="B325" s="24"/>
      <c r="C325" s="25"/>
      <c r="D325" s="25"/>
      <c r="E325" s="25"/>
      <c r="F325" s="24"/>
      <c r="G325" s="25"/>
      <c r="H325" s="25"/>
      <c r="I325" s="25"/>
      <c r="J325" s="25"/>
      <c r="K325" s="25"/>
      <c r="L325" s="25"/>
      <c r="M325" s="25"/>
      <c r="N325" s="25" t="str">
        <f t="shared" si="4"/>
        <v/>
      </c>
      <c r="O325" s="25"/>
      <c r="P325" s="25"/>
      <c r="Q325" s="25"/>
      <c r="R325" s="25"/>
      <c r="S325" s="25"/>
      <c r="T325" s="25"/>
      <c r="U325" s="25"/>
      <c r="V325" s="25"/>
      <c r="W325" s="24"/>
      <c r="X325" s="24"/>
      <c r="Y325" s="25"/>
      <c r="Z325" s="25" t="str">
        <f>IF(B325="","",IFERROR(INDEX(الزبائن!$AZ$6:$AZ$505,MATCH(B325,الزبائن!$A$6:$A$505,0)),"source key not found"))</f>
        <v/>
      </c>
      <c r="AA325" s="25" t="str">
        <f>IF(B325="","",IFERROR(INDEX(الزبائن!$BA$6:$BA$505,MATCH(B325,الزبائن!$A$6:$A$505,0)),"source key not found"))</f>
        <v/>
      </c>
      <c r="AB325" s="25" t="str">
        <f>IF(AND(A325="",C325="",D325="",H325="",K325="",L325=""),"",IF(C325="skip","SKIP",IF(OR(A325="",C325="",D325="",H325="",K325="",L325="",S325="",COUNTIF($A$6:$A$505,A325)&gt;1,AND(B325&lt;&gt;"",COUNTIF(الزبائن!$A$6:$A$505,B325)=0),(COUNTIFS('أرقام التواصل'!$A$6:$A$505,"proposed_name",'أرقام التواصل'!$B$6:$B$505,A325,'أرقام التواصل'!$I$6:$I$505,"TRUE")+COUNTIFS('أرقام التواصل'!$A$6:$A$505,"proposed_name",'أرقام التواصل'!$B$6:$B$505,A325,'أرقام التواصل'!$C$6:$C$505,1))=0,AND(U325="TRUE",V325="")),"REVIEW","READY")))</f>
        <v/>
      </c>
      <c r="AC325" s="27" t="str">
        <f>IF(AB325="","",IF(AB325="READY","",IF(AB325="SKIP","Skipped by candidate_import_action",TRIM(IF(A325="","missing proposed_name_key; ","")&amp;IF(AND(A325&lt;&gt;"",COUNTIF($A$6:$A$505,A325)&gt;1),"duplicate proposed_name_key; ","")&amp;IF(C325="","missing candidate_import_action; ","")&amp;IF(D325="","missing move_reason; ","")&amp;IF(H325="","missing branch_id; ","")&amp;IF(K325="","missing first_name; ","")&amp;IF(L325="","missing last_name; ","")&amp;IF(S325="","missing status; ","")&amp;IF(AND(B325&lt;&gt;"",COUNTIF(الزبائن!$A$6:$A$505,B325)=0),"source key not found; ","")&amp;IF((COUNTIFS('أرقام التواصل'!$A$6:$A$505,"proposed_name",'أرقام التواصل'!$B$6:$B$505,A325,'أرقام التواصل'!$I$6:$I$505,"TRUE")+COUNTIFS('أرقام التواصل'!$A$6:$A$505,"proposed_name",'أرقام التواصل'!$B$6:$B$505,A325,'أرقام التواصل'!$C$6:$C$505,1))=0,"missing primary contact in أرقام التواصل; ","")&amp;IF(AND(U325="TRUE",V325=""),"duplicate_type required when duplicate_flag TRUE; ","")))))</f>
        <v/>
      </c>
    </row>
    <row r="326" spans="1:29">
      <c r="A326" s="36"/>
      <c r="B326" s="24"/>
      <c r="C326" s="25"/>
      <c r="D326" s="25"/>
      <c r="E326" s="25"/>
      <c r="F326" s="24"/>
      <c r="G326" s="25"/>
      <c r="H326" s="25"/>
      <c r="I326" s="25"/>
      <c r="J326" s="25"/>
      <c r="K326" s="25"/>
      <c r="L326" s="25"/>
      <c r="M326" s="25"/>
      <c r="N326" s="25" t="str">
        <f t="shared" ref="N326:N389" si="5">IF(TRIM(K326&amp;" "&amp;L326&amp;IF(M326&lt;&gt;""," ("&amp;M326&amp;")",""))="","",TRIM(K326&amp;" "&amp;L326&amp;IF(M326&lt;&gt;""," ("&amp;M326&amp;")","")))</f>
        <v/>
      </c>
      <c r="O326" s="25"/>
      <c r="P326" s="25"/>
      <c r="Q326" s="25"/>
      <c r="R326" s="25"/>
      <c r="S326" s="25"/>
      <c r="T326" s="25"/>
      <c r="U326" s="25"/>
      <c r="V326" s="25"/>
      <c r="W326" s="24"/>
      <c r="X326" s="24"/>
      <c r="Y326" s="25"/>
      <c r="Z326" s="25" t="str">
        <f>IF(B326="","",IFERROR(INDEX(الزبائن!$AZ$6:$AZ$505,MATCH(B326,الزبائن!$A$6:$A$505,0)),"source key not found"))</f>
        <v/>
      </c>
      <c r="AA326" s="25" t="str">
        <f>IF(B326="","",IFERROR(INDEX(الزبائن!$BA$6:$BA$505,MATCH(B326,الزبائن!$A$6:$A$505,0)),"source key not found"))</f>
        <v/>
      </c>
      <c r="AB326" s="25" t="str">
        <f>IF(AND(A326="",C326="",D326="",H326="",K326="",L326=""),"",IF(C326="skip","SKIP",IF(OR(A326="",C326="",D326="",H326="",K326="",L326="",S326="",COUNTIF($A$6:$A$505,A326)&gt;1,AND(B326&lt;&gt;"",COUNTIF(الزبائن!$A$6:$A$505,B326)=0),(COUNTIFS('أرقام التواصل'!$A$6:$A$505,"proposed_name",'أرقام التواصل'!$B$6:$B$505,A326,'أرقام التواصل'!$I$6:$I$505,"TRUE")+COUNTIFS('أرقام التواصل'!$A$6:$A$505,"proposed_name",'أرقام التواصل'!$B$6:$B$505,A326,'أرقام التواصل'!$C$6:$C$505,1))=0,AND(U326="TRUE",V326="")),"REVIEW","READY")))</f>
        <v/>
      </c>
      <c r="AC326" s="27" t="str">
        <f>IF(AB326="","",IF(AB326="READY","",IF(AB326="SKIP","Skipped by candidate_import_action",TRIM(IF(A326="","missing proposed_name_key; ","")&amp;IF(AND(A326&lt;&gt;"",COUNTIF($A$6:$A$505,A326)&gt;1),"duplicate proposed_name_key; ","")&amp;IF(C326="","missing candidate_import_action; ","")&amp;IF(D326="","missing move_reason; ","")&amp;IF(H326="","missing branch_id; ","")&amp;IF(K326="","missing first_name; ","")&amp;IF(L326="","missing last_name; ","")&amp;IF(S326="","missing status; ","")&amp;IF(AND(B326&lt;&gt;"",COUNTIF(الزبائن!$A$6:$A$505,B326)=0),"source key not found; ","")&amp;IF((COUNTIFS('أرقام التواصل'!$A$6:$A$505,"proposed_name",'أرقام التواصل'!$B$6:$B$505,A326,'أرقام التواصل'!$I$6:$I$505,"TRUE")+COUNTIFS('أرقام التواصل'!$A$6:$A$505,"proposed_name",'أرقام التواصل'!$B$6:$B$505,A326,'أرقام التواصل'!$C$6:$C$505,1))=0,"missing primary contact in أرقام التواصل; ","")&amp;IF(AND(U326="TRUE",V326=""),"duplicate_type required when duplicate_flag TRUE; ","")))))</f>
        <v/>
      </c>
    </row>
    <row r="327" spans="1:29">
      <c r="A327" s="36"/>
      <c r="B327" s="24"/>
      <c r="C327" s="25"/>
      <c r="D327" s="25"/>
      <c r="E327" s="25"/>
      <c r="F327" s="24"/>
      <c r="G327" s="25"/>
      <c r="H327" s="25"/>
      <c r="I327" s="25"/>
      <c r="J327" s="25"/>
      <c r="K327" s="25"/>
      <c r="L327" s="25"/>
      <c r="M327" s="25"/>
      <c r="N327" s="25" t="str">
        <f t="shared" si="5"/>
        <v/>
      </c>
      <c r="O327" s="25"/>
      <c r="P327" s="25"/>
      <c r="Q327" s="25"/>
      <c r="R327" s="25"/>
      <c r="S327" s="25"/>
      <c r="T327" s="25"/>
      <c r="U327" s="25"/>
      <c r="V327" s="25"/>
      <c r="W327" s="24"/>
      <c r="X327" s="24"/>
      <c r="Y327" s="25"/>
      <c r="Z327" s="25" t="str">
        <f>IF(B327="","",IFERROR(INDEX(الزبائن!$AZ$6:$AZ$505,MATCH(B327,الزبائن!$A$6:$A$505,0)),"source key not found"))</f>
        <v/>
      </c>
      <c r="AA327" s="25" t="str">
        <f>IF(B327="","",IFERROR(INDEX(الزبائن!$BA$6:$BA$505,MATCH(B327,الزبائن!$A$6:$A$505,0)),"source key not found"))</f>
        <v/>
      </c>
      <c r="AB327" s="25" t="str">
        <f>IF(AND(A327="",C327="",D327="",H327="",K327="",L327=""),"",IF(C327="skip","SKIP",IF(OR(A327="",C327="",D327="",H327="",K327="",L327="",S327="",COUNTIF($A$6:$A$505,A327)&gt;1,AND(B327&lt;&gt;"",COUNTIF(الزبائن!$A$6:$A$505,B327)=0),(COUNTIFS('أرقام التواصل'!$A$6:$A$505,"proposed_name",'أرقام التواصل'!$B$6:$B$505,A327,'أرقام التواصل'!$I$6:$I$505,"TRUE")+COUNTIFS('أرقام التواصل'!$A$6:$A$505,"proposed_name",'أرقام التواصل'!$B$6:$B$505,A327,'أرقام التواصل'!$C$6:$C$505,1))=0,AND(U327="TRUE",V327="")),"REVIEW","READY")))</f>
        <v/>
      </c>
      <c r="AC327" s="27" t="str">
        <f>IF(AB327="","",IF(AB327="READY","",IF(AB327="SKIP","Skipped by candidate_import_action",TRIM(IF(A327="","missing proposed_name_key; ","")&amp;IF(AND(A327&lt;&gt;"",COUNTIF($A$6:$A$505,A327)&gt;1),"duplicate proposed_name_key; ","")&amp;IF(C327="","missing candidate_import_action; ","")&amp;IF(D327="","missing move_reason; ","")&amp;IF(H327="","missing branch_id; ","")&amp;IF(K327="","missing first_name; ","")&amp;IF(L327="","missing last_name; ","")&amp;IF(S327="","missing status; ","")&amp;IF(AND(B327&lt;&gt;"",COUNTIF(الزبائن!$A$6:$A$505,B327)=0),"source key not found; ","")&amp;IF((COUNTIFS('أرقام التواصل'!$A$6:$A$505,"proposed_name",'أرقام التواصل'!$B$6:$B$505,A327,'أرقام التواصل'!$I$6:$I$505,"TRUE")+COUNTIFS('أرقام التواصل'!$A$6:$A$505,"proposed_name",'أرقام التواصل'!$B$6:$B$505,A327,'أرقام التواصل'!$C$6:$C$505,1))=0,"missing primary contact in أرقام التواصل; ","")&amp;IF(AND(U327="TRUE",V327=""),"duplicate_type required when duplicate_flag TRUE; ","")))))</f>
        <v/>
      </c>
    </row>
    <row r="328" spans="1:29">
      <c r="A328" s="36"/>
      <c r="B328" s="24"/>
      <c r="C328" s="25"/>
      <c r="D328" s="25"/>
      <c r="E328" s="25"/>
      <c r="F328" s="24"/>
      <c r="G328" s="25"/>
      <c r="H328" s="25"/>
      <c r="I328" s="25"/>
      <c r="J328" s="25"/>
      <c r="K328" s="25"/>
      <c r="L328" s="25"/>
      <c r="M328" s="25"/>
      <c r="N328" s="25" t="str">
        <f t="shared" si="5"/>
        <v/>
      </c>
      <c r="O328" s="25"/>
      <c r="P328" s="25"/>
      <c r="Q328" s="25"/>
      <c r="R328" s="25"/>
      <c r="S328" s="25"/>
      <c r="T328" s="25"/>
      <c r="U328" s="25"/>
      <c r="V328" s="25"/>
      <c r="W328" s="24"/>
      <c r="X328" s="24"/>
      <c r="Y328" s="25"/>
      <c r="Z328" s="25" t="str">
        <f>IF(B328="","",IFERROR(INDEX(الزبائن!$AZ$6:$AZ$505,MATCH(B328,الزبائن!$A$6:$A$505,0)),"source key not found"))</f>
        <v/>
      </c>
      <c r="AA328" s="25" t="str">
        <f>IF(B328="","",IFERROR(INDEX(الزبائن!$BA$6:$BA$505,MATCH(B328,الزبائن!$A$6:$A$505,0)),"source key not found"))</f>
        <v/>
      </c>
      <c r="AB328" s="25" t="str">
        <f>IF(AND(A328="",C328="",D328="",H328="",K328="",L328=""),"",IF(C328="skip","SKIP",IF(OR(A328="",C328="",D328="",H328="",K328="",L328="",S328="",COUNTIF($A$6:$A$505,A328)&gt;1,AND(B328&lt;&gt;"",COUNTIF(الزبائن!$A$6:$A$505,B328)=0),(COUNTIFS('أرقام التواصل'!$A$6:$A$505,"proposed_name",'أرقام التواصل'!$B$6:$B$505,A328,'أرقام التواصل'!$I$6:$I$505,"TRUE")+COUNTIFS('أرقام التواصل'!$A$6:$A$505,"proposed_name",'أرقام التواصل'!$B$6:$B$505,A328,'أرقام التواصل'!$C$6:$C$505,1))=0,AND(U328="TRUE",V328="")),"REVIEW","READY")))</f>
        <v/>
      </c>
      <c r="AC328" s="27" t="str">
        <f>IF(AB328="","",IF(AB328="READY","",IF(AB328="SKIP","Skipped by candidate_import_action",TRIM(IF(A328="","missing proposed_name_key; ","")&amp;IF(AND(A328&lt;&gt;"",COUNTIF($A$6:$A$505,A328)&gt;1),"duplicate proposed_name_key; ","")&amp;IF(C328="","missing candidate_import_action; ","")&amp;IF(D328="","missing move_reason; ","")&amp;IF(H328="","missing branch_id; ","")&amp;IF(K328="","missing first_name; ","")&amp;IF(L328="","missing last_name; ","")&amp;IF(S328="","missing status; ","")&amp;IF(AND(B328&lt;&gt;"",COUNTIF(الزبائن!$A$6:$A$505,B328)=0),"source key not found; ","")&amp;IF((COUNTIFS('أرقام التواصل'!$A$6:$A$505,"proposed_name",'أرقام التواصل'!$B$6:$B$505,A328,'أرقام التواصل'!$I$6:$I$505,"TRUE")+COUNTIFS('أرقام التواصل'!$A$6:$A$505,"proposed_name",'أرقام التواصل'!$B$6:$B$505,A328,'أرقام التواصل'!$C$6:$C$505,1))=0,"missing primary contact in أرقام التواصل; ","")&amp;IF(AND(U328="TRUE",V328=""),"duplicate_type required when duplicate_flag TRUE; ","")))))</f>
        <v/>
      </c>
    </row>
    <row r="329" spans="1:29">
      <c r="A329" s="36"/>
      <c r="B329" s="24"/>
      <c r="C329" s="25"/>
      <c r="D329" s="25"/>
      <c r="E329" s="25"/>
      <c r="F329" s="24"/>
      <c r="G329" s="25"/>
      <c r="H329" s="25"/>
      <c r="I329" s="25"/>
      <c r="J329" s="25"/>
      <c r="K329" s="25"/>
      <c r="L329" s="25"/>
      <c r="M329" s="25"/>
      <c r="N329" s="25" t="str">
        <f t="shared" si="5"/>
        <v/>
      </c>
      <c r="O329" s="25"/>
      <c r="P329" s="25"/>
      <c r="Q329" s="25"/>
      <c r="R329" s="25"/>
      <c r="S329" s="25"/>
      <c r="T329" s="25"/>
      <c r="U329" s="25"/>
      <c r="V329" s="25"/>
      <c r="W329" s="24"/>
      <c r="X329" s="24"/>
      <c r="Y329" s="25"/>
      <c r="Z329" s="25" t="str">
        <f>IF(B329="","",IFERROR(INDEX(الزبائن!$AZ$6:$AZ$505,MATCH(B329,الزبائن!$A$6:$A$505,0)),"source key not found"))</f>
        <v/>
      </c>
      <c r="AA329" s="25" t="str">
        <f>IF(B329="","",IFERROR(INDEX(الزبائن!$BA$6:$BA$505,MATCH(B329,الزبائن!$A$6:$A$505,0)),"source key not found"))</f>
        <v/>
      </c>
      <c r="AB329" s="25" t="str">
        <f>IF(AND(A329="",C329="",D329="",H329="",K329="",L329=""),"",IF(C329="skip","SKIP",IF(OR(A329="",C329="",D329="",H329="",K329="",L329="",S329="",COUNTIF($A$6:$A$505,A329)&gt;1,AND(B329&lt;&gt;"",COUNTIF(الزبائن!$A$6:$A$505,B329)=0),(COUNTIFS('أرقام التواصل'!$A$6:$A$505,"proposed_name",'أرقام التواصل'!$B$6:$B$505,A329,'أرقام التواصل'!$I$6:$I$505,"TRUE")+COUNTIFS('أرقام التواصل'!$A$6:$A$505,"proposed_name",'أرقام التواصل'!$B$6:$B$505,A329,'أرقام التواصل'!$C$6:$C$505,1))=0,AND(U329="TRUE",V329="")),"REVIEW","READY")))</f>
        <v/>
      </c>
      <c r="AC329" s="27" t="str">
        <f>IF(AB329="","",IF(AB329="READY","",IF(AB329="SKIP","Skipped by candidate_import_action",TRIM(IF(A329="","missing proposed_name_key; ","")&amp;IF(AND(A329&lt;&gt;"",COUNTIF($A$6:$A$505,A329)&gt;1),"duplicate proposed_name_key; ","")&amp;IF(C329="","missing candidate_import_action; ","")&amp;IF(D329="","missing move_reason; ","")&amp;IF(H329="","missing branch_id; ","")&amp;IF(K329="","missing first_name; ","")&amp;IF(L329="","missing last_name; ","")&amp;IF(S329="","missing status; ","")&amp;IF(AND(B329&lt;&gt;"",COUNTIF(الزبائن!$A$6:$A$505,B329)=0),"source key not found; ","")&amp;IF((COUNTIFS('أرقام التواصل'!$A$6:$A$505,"proposed_name",'أرقام التواصل'!$B$6:$B$505,A329,'أرقام التواصل'!$I$6:$I$505,"TRUE")+COUNTIFS('أرقام التواصل'!$A$6:$A$505,"proposed_name",'أرقام التواصل'!$B$6:$B$505,A329,'أرقام التواصل'!$C$6:$C$505,1))=0,"missing primary contact in أرقام التواصل; ","")&amp;IF(AND(U329="TRUE",V329=""),"duplicate_type required when duplicate_flag TRUE; ","")))))</f>
        <v/>
      </c>
    </row>
    <row r="330" spans="1:29">
      <c r="A330" s="36"/>
      <c r="B330" s="24"/>
      <c r="C330" s="25"/>
      <c r="D330" s="25"/>
      <c r="E330" s="25"/>
      <c r="F330" s="24"/>
      <c r="G330" s="25"/>
      <c r="H330" s="25"/>
      <c r="I330" s="25"/>
      <c r="J330" s="25"/>
      <c r="K330" s="25"/>
      <c r="L330" s="25"/>
      <c r="M330" s="25"/>
      <c r="N330" s="25" t="str">
        <f t="shared" si="5"/>
        <v/>
      </c>
      <c r="O330" s="25"/>
      <c r="P330" s="25"/>
      <c r="Q330" s="25"/>
      <c r="R330" s="25"/>
      <c r="S330" s="25"/>
      <c r="T330" s="25"/>
      <c r="U330" s="25"/>
      <c r="V330" s="25"/>
      <c r="W330" s="24"/>
      <c r="X330" s="24"/>
      <c r="Y330" s="25"/>
      <c r="Z330" s="25" t="str">
        <f>IF(B330="","",IFERROR(INDEX(الزبائن!$AZ$6:$AZ$505,MATCH(B330,الزبائن!$A$6:$A$505,0)),"source key not found"))</f>
        <v/>
      </c>
      <c r="AA330" s="25" t="str">
        <f>IF(B330="","",IFERROR(INDEX(الزبائن!$BA$6:$BA$505,MATCH(B330,الزبائن!$A$6:$A$505,0)),"source key not found"))</f>
        <v/>
      </c>
      <c r="AB330" s="25" t="str">
        <f>IF(AND(A330="",C330="",D330="",H330="",K330="",L330=""),"",IF(C330="skip","SKIP",IF(OR(A330="",C330="",D330="",H330="",K330="",L330="",S330="",COUNTIF($A$6:$A$505,A330)&gt;1,AND(B330&lt;&gt;"",COUNTIF(الزبائن!$A$6:$A$505,B330)=0),(COUNTIFS('أرقام التواصل'!$A$6:$A$505,"proposed_name",'أرقام التواصل'!$B$6:$B$505,A330,'أرقام التواصل'!$I$6:$I$505,"TRUE")+COUNTIFS('أرقام التواصل'!$A$6:$A$505,"proposed_name",'أرقام التواصل'!$B$6:$B$505,A330,'أرقام التواصل'!$C$6:$C$505,1))=0,AND(U330="TRUE",V330="")),"REVIEW","READY")))</f>
        <v/>
      </c>
      <c r="AC330" s="27" t="str">
        <f>IF(AB330="","",IF(AB330="READY","",IF(AB330="SKIP","Skipped by candidate_import_action",TRIM(IF(A330="","missing proposed_name_key; ","")&amp;IF(AND(A330&lt;&gt;"",COUNTIF($A$6:$A$505,A330)&gt;1),"duplicate proposed_name_key; ","")&amp;IF(C330="","missing candidate_import_action; ","")&amp;IF(D330="","missing move_reason; ","")&amp;IF(H330="","missing branch_id; ","")&amp;IF(K330="","missing first_name; ","")&amp;IF(L330="","missing last_name; ","")&amp;IF(S330="","missing status; ","")&amp;IF(AND(B330&lt;&gt;"",COUNTIF(الزبائن!$A$6:$A$505,B330)=0),"source key not found; ","")&amp;IF((COUNTIFS('أرقام التواصل'!$A$6:$A$505,"proposed_name",'أرقام التواصل'!$B$6:$B$505,A330,'أرقام التواصل'!$I$6:$I$505,"TRUE")+COUNTIFS('أرقام التواصل'!$A$6:$A$505,"proposed_name",'أرقام التواصل'!$B$6:$B$505,A330,'أرقام التواصل'!$C$6:$C$505,1))=0,"missing primary contact in أرقام التواصل; ","")&amp;IF(AND(U330="TRUE",V330=""),"duplicate_type required when duplicate_flag TRUE; ","")))))</f>
        <v/>
      </c>
    </row>
    <row r="331" spans="1:29">
      <c r="A331" s="36"/>
      <c r="B331" s="24"/>
      <c r="C331" s="25"/>
      <c r="D331" s="25"/>
      <c r="E331" s="25"/>
      <c r="F331" s="24"/>
      <c r="G331" s="25"/>
      <c r="H331" s="25"/>
      <c r="I331" s="25"/>
      <c r="J331" s="25"/>
      <c r="K331" s="25"/>
      <c r="L331" s="25"/>
      <c r="M331" s="25"/>
      <c r="N331" s="25" t="str">
        <f t="shared" si="5"/>
        <v/>
      </c>
      <c r="O331" s="25"/>
      <c r="P331" s="25"/>
      <c r="Q331" s="25"/>
      <c r="R331" s="25"/>
      <c r="S331" s="25"/>
      <c r="T331" s="25"/>
      <c r="U331" s="25"/>
      <c r="V331" s="25"/>
      <c r="W331" s="24"/>
      <c r="X331" s="24"/>
      <c r="Y331" s="25"/>
      <c r="Z331" s="25" t="str">
        <f>IF(B331="","",IFERROR(INDEX(الزبائن!$AZ$6:$AZ$505,MATCH(B331,الزبائن!$A$6:$A$505,0)),"source key not found"))</f>
        <v/>
      </c>
      <c r="AA331" s="25" t="str">
        <f>IF(B331="","",IFERROR(INDEX(الزبائن!$BA$6:$BA$505,MATCH(B331,الزبائن!$A$6:$A$505,0)),"source key not found"))</f>
        <v/>
      </c>
      <c r="AB331" s="25" t="str">
        <f>IF(AND(A331="",C331="",D331="",H331="",K331="",L331=""),"",IF(C331="skip","SKIP",IF(OR(A331="",C331="",D331="",H331="",K331="",L331="",S331="",COUNTIF($A$6:$A$505,A331)&gt;1,AND(B331&lt;&gt;"",COUNTIF(الزبائن!$A$6:$A$505,B331)=0),(COUNTIFS('أرقام التواصل'!$A$6:$A$505,"proposed_name",'أرقام التواصل'!$B$6:$B$505,A331,'أرقام التواصل'!$I$6:$I$505,"TRUE")+COUNTIFS('أرقام التواصل'!$A$6:$A$505,"proposed_name",'أرقام التواصل'!$B$6:$B$505,A331,'أرقام التواصل'!$C$6:$C$505,1))=0,AND(U331="TRUE",V331="")),"REVIEW","READY")))</f>
        <v/>
      </c>
      <c r="AC331" s="27" t="str">
        <f>IF(AB331="","",IF(AB331="READY","",IF(AB331="SKIP","Skipped by candidate_import_action",TRIM(IF(A331="","missing proposed_name_key; ","")&amp;IF(AND(A331&lt;&gt;"",COUNTIF($A$6:$A$505,A331)&gt;1),"duplicate proposed_name_key; ","")&amp;IF(C331="","missing candidate_import_action; ","")&amp;IF(D331="","missing move_reason; ","")&amp;IF(H331="","missing branch_id; ","")&amp;IF(K331="","missing first_name; ","")&amp;IF(L331="","missing last_name; ","")&amp;IF(S331="","missing status; ","")&amp;IF(AND(B331&lt;&gt;"",COUNTIF(الزبائن!$A$6:$A$505,B331)=0),"source key not found; ","")&amp;IF((COUNTIFS('أرقام التواصل'!$A$6:$A$505,"proposed_name",'أرقام التواصل'!$B$6:$B$505,A331,'أرقام التواصل'!$I$6:$I$505,"TRUE")+COUNTIFS('أرقام التواصل'!$A$6:$A$505,"proposed_name",'أرقام التواصل'!$B$6:$B$505,A331,'أرقام التواصل'!$C$6:$C$505,1))=0,"missing primary contact in أرقام التواصل; ","")&amp;IF(AND(U331="TRUE",V331=""),"duplicate_type required when duplicate_flag TRUE; ","")))))</f>
        <v/>
      </c>
    </row>
    <row r="332" spans="1:29">
      <c r="A332" s="36"/>
      <c r="B332" s="24"/>
      <c r="C332" s="25"/>
      <c r="D332" s="25"/>
      <c r="E332" s="25"/>
      <c r="F332" s="24"/>
      <c r="G332" s="25"/>
      <c r="H332" s="25"/>
      <c r="I332" s="25"/>
      <c r="J332" s="25"/>
      <c r="K332" s="25"/>
      <c r="L332" s="25"/>
      <c r="M332" s="25"/>
      <c r="N332" s="25" t="str">
        <f t="shared" si="5"/>
        <v/>
      </c>
      <c r="O332" s="25"/>
      <c r="P332" s="25"/>
      <c r="Q332" s="25"/>
      <c r="R332" s="25"/>
      <c r="S332" s="25"/>
      <c r="T332" s="25"/>
      <c r="U332" s="25"/>
      <c r="V332" s="25"/>
      <c r="W332" s="24"/>
      <c r="X332" s="24"/>
      <c r="Y332" s="25"/>
      <c r="Z332" s="25" t="str">
        <f>IF(B332="","",IFERROR(INDEX(الزبائن!$AZ$6:$AZ$505,MATCH(B332,الزبائن!$A$6:$A$505,0)),"source key not found"))</f>
        <v/>
      </c>
      <c r="AA332" s="25" t="str">
        <f>IF(B332="","",IFERROR(INDEX(الزبائن!$BA$6:$BA$505,MATCH(B332,الزبائن!$A$6:$A$505,0)),"source key not found"))</f>
        <v/>
      </c>
      <c r="AB332" s="25" t="str">
        <f>IF(AND(A332="",C332="",D332="",H332="",K332="",L332=""),"",IF(C332="skip","SKIP",IF(OR(A332="",C332="",D332="",H332="",K332="",L332="",S332="",COUNTIF($A$6:$A$505,A332)&gt;1,AND(B332&lt;&gt;"",COUNTIF(الزبائن!$A$6:$A$505,B332)=0),(COUNTIFS('أرقام التواصل'!$A$6:$A$505,"proposed_name",'أرقام التواصل'!$B$6:$B$505,A332,'أرقام التواصل'!$I$6:$I$505,"TRUE")+COUNTIFS('أرقام التواصل'!$A$6:$A$505,"proposed_name",'أرقام التواصل'!$B$6:$B$505,A332,'أرقام التواصل'!$C$6:$C$505,1))=0,AND(U332="TRUE",V332="")),"REVIEW","READY")))</f>
        <v/>
      </c>
      <c r="AC332" s="27" t="str">
        <f>IF(AB332="","",IF(AB332="READY","",IF(AB332="SKIP","Skipped by candidate_import_action",TRIM(IF(A332="","missing proposed_name_key; ","")&amp;IF(AND(A332&lt;&gt;"",COUNTIF($A$6:$A$505,A332)&gt;1),"duplicate proposed_name_key; ","")&amp;IF(C332="","missing candidate_import_action; ","")&amp;IF(D332="","missing move_reason; ","")&amp;IF(H332="","missing branch_id; ","")&amp;IF(K332="","missing first_name; ","")&amp;IF(L332="","missing last_name; ","")&amp;IF(S332="","missing status; ","")&amp;IF(AND(B332&lt;&gt;"",COUNTIF(الزبائن!$A$6:$A$505,B332)=0),"source key not found; ","")&amp;IF((COUNTIFS('أرقام التواصل'!$A$6:$A$505,"proposed_name",'أرقام التواصل'!$B$6:$B$505,A332,'أرقام التواصل'!$I$6:$I$505,"TRUE")+COUNTIFS('أرقام التواصل'!$A$6:$A$505,"proposed_name",'أرقام التواصل'!$B$6:$B$505,A332,'أرقام التواصل'!$C$6:$C$505,1))=0,"missing primary contact in أرقام التواصل; ","")&amp;IF(AND(U332="TRUE",V332=""),"duplicate_type required when duplicate_flag TRUE; ","")))))</f>
        <v/>
      </c>
    </row>
    <row r="333" spans="1:29">
      <c r="A333" s="36"/>
      <c r="B333" s="24"/>
      <c r="C333" s="25"/>
      <c r="D333" s="25"/>
      <c r="E333" s="25"/>
      <c r="F333" s="24"/>
      <c r="G333" s="25"/>
      <c r="H333" s="25"/>
      <c r="I333" s="25"/>
      <c r="J333" s="25"/>
      <c r="K333" s="25"/>
      <c r="L333" s="25"/>
      <c r="M333" s="25"/>
      <c r="N333" s="25" t="str">
        <f t="shared" si="5"/>
        <v/>
      </c>
      <c r="O333" s="25"/>
      <c r="P333" s="25"/>
      <c r="Q333" s="25"/>
      <c r="R333" s="25"/>
      <c r="S333" s="25"/>
      <c r="T333" s="25"/>
      <c r="U333" s="25"/>
      <c r="V333" s="25"/>
      <c r="W333" s="24"/>
      <c r="X333" s="24"/>
      <c r="Y333" s="25"/>
      <c r="Z333" s="25" t="str">
        <f>IF(B333="","",IFERROR(INDEX(الزبائن!$AZ$6:$AZ$505,MATCH(B333,الزبائن!$A$6:$A$505,0)),"source key not found"))</f>
        <v/>
      </c>
      <c r="AA333" s="25" t="str">
        <f>IF(B333="","",IFERROR(INDEX(الزبائن!$BA$6:$BA$505,MATCH(B333,الزبائن!$A$6:$A$505,0)),"source key not found"))</f>
        <v/>
      </c>
      <c r="AB333" s="25" t="str">
        <f>IF(AND(A333="",C333="",D333="",H333="",K333="",L333=""),"",IF(C333="skip","SKIP",IF(OR(A333="",C333="",D333="",H333="",K333="",L333="",S333="",COUNTIF($A$6:$A$505,A333)&gt;1,AND(B333&lt;&gt;"",COUNTIF(الزبائن!$A$6:$A$505,B333)=0),(COUNTIFS('أرقام التواصل'!$A$6:$A$505,"proposed_name",'أرقام التواصل'!$B$6:$B$505,A333,'أرقام التواصل'!$I$6:$I$505,"TRUE")+COUNTIFS('أرقام التواصل'!$A$6:$A$505,"proposed_name",'أرقام التواصل'!$B$6:$B$505,A333,'أرقام التواصل'!$C$6:$C$505,1))=0,AND(U333="TRUE",V333="")),"REVIEW","READY")))</f>
        <v/>
      </c>
      <c r="AC333" s="27" t="str">
        <f>IF(AB333="","",IF(AB333="READY","",IF(AB333="SKIP","Skipped by candidate_import_action",TRIM(IF(A333="","missing proposed_name_key; ","")&amp;IF(AND(A333&lt;&gt;"",COUNTIF($A$6:$A$505,A333)&gt;1),"duplicate proposed_name_key; ","")&amp;IF(C333="","missing candidate_import_action; ","")&amp;IF(D333="","missing move_reason; ","")&amp;IF(H333="","missing branch_id; ","")&amp;IF(K333="","missing first_name; ","")&amp;IF(L333="","missing last_name; ","")&amp;IF(S333="","missing status; ","")&amp;IF(AND(B333&lt;&gt;"",COUNTIF(الزبائن!$A$6:$A$505,B333)=0),"source key not found; ","")&amp;IF((COUNTIFS('أرقام التواصل'!$A$6:$A$505,"proposed_name",'أرقام التواصل'!$B$6:$B$505,A333,'أرقام التواصل'!$I$6:$I$505,"TRUE")+COUNTIFS('أرقام التواصل'!$A$6:$A$505,"proposed_name",'أرقام التواصل'!$B$6:$B$505,A333,'أرقام التواصل'!$C$6:$C$505,1))=0,"missing primary contact in أرقام التواصل; ","")&amp;IF(AND(U333="TRUE",V333=""),"duplicate_type required when duplicate_flag TRUE; ","")))))</f>
        <v/>
      </c>
    </row>
    <row r="334" spans="1:29">
      <c r="A334" s="36"/>
      <c r="B334" s="24"/>
      <c r="C334" s="25"/>
      <c r="D334" s="25"/>
      <c r="E334" s="25"/>
      <c r="F334" s="24"/>
      <c r="G334" s="25"/>
      <c r="H334" s="25"/>
      <c r="I334" s="25"/>
      <c r="J334" s="25"/>
      <c r="K334" s="25"/>
      <c r="L334" s="25"/>
      <c r="M334" s="25"/>
      <c r="N334" s="25" t="str">
        <f t="shared" si="5"/>
        <v/>
      </c>
      <c r="O334" s="25"/>
      <c r="P334" s="25"/>
      <c r="Q334" s="25"/>
      <c r="R334" s="25"/>
      <c r="S334" s="25"/>
      <c r="T334" s="25"/>
      <c r="U334" s="25"/>
      <c r="V334" s="25"/>
      <c r="W334" s="24"/>
      <c r="X334" s="24"/>
      <c r="Y334" s="25"/>
      <c r="Z334" s="25" t="str">
        <f>IF(B334="","",IFERROR(INDEX(الزبائن!$AZ$6:$AZ$505,MATCH(B334,الزبائن!$A$6:$A$505,0)),"source key not found"))</f>
        <v/>
      </c>
      <c r="AA334" s="25" t="str">
        <f>IF(B334="","",IFERROR(INDEX(الزبائن!$BA$6:$BA$505,MATCH(B334,الزبائن!$A$6:$A$505,0)),"source key not found"))</f>
        <v/>
      </c>
      <c r="AB334" s="25" t="str">
        <f>IF(AND(A334="",C334="",D334="",H334="",K334="",L334=""),"",IF(C334="skip","SKIP",IF(OR(A334="",C334="",D334="",H334="",K334="",L334="",S334="",COUNTIF($A$6:$A$505,A334)&gt;1,AND(B334&lt;&gt;"",COUNTIF(الزبائن!$A$6:$A$505,B334)=0),(COUNTIFS('أرقام التواصل'!$A$6:$A$505,"proposed_name",'أرقام التواصل'!$B$6:$B$505,A334,'أرقام التواصل'!$I$6:$I$505,"TRUE")+COUNTIFS('أرقام التواصل'!$A$6:$A$505,"proposed_name",'أرقام التواصل'!$B$6:$B$505,A334,'أرقام التواصل'!$C$6:$C$505,1))=0,AND(U334="TRUE",V334="")),"REVIEW","READY")))</f>
        <v/>
      </c>
      <c r="AC334" s="27" t="str">
        <f>IF(AB334="","",IF(AB334="READY","",IF(AB334="SKIP","Skipped by candidate_import_action",TRIM(IF(A334="","missing proposed_name_key; ","")&amp;IF(AND(A334&lt;&gt;"",COUNTIF($A$6:$A$505,A334)&gt;1),"duplicate proposed_name_key; ","")&amp;IF(C334="","missing candidate_import_action; ","")&amp;IF(D334="","missing move_reason; ","")&amp;IF(H334="","missing branch_id; ","")&amp;IF(K334="","missing first_name; ","")&amp;IF(L334="","missing last_name; ","")&amp;IF(S334="","missing status; ","")&amp;IF(AND(B334&lt;&gt;"",COUNTIF(الزبائن!$A$6:$A$505,B334)=0),"source key not found; ","")&amp;IF((COUNTIFS('أرقام التواصل'!$A$6:$A$505,"proposed_name",'أرقام التواصل'!$B$6:$B$505,A334,'أرقام التواصل'!$I$6:$I$505,"TRUE")+COUNTIFS('أرقام التواصل'!$A$6:$A$505,"proposed_name",'أرقام التواصل'!$B$6:$B$505,A334,'أرقام التواصل'!$C$6:$C$505,1))=0,"missing primary contact in أرقام التواصل; ","")&amp;IF(AND(U334="TRUE",V334=""),"duplicate_type required when duplicate_flag TRUE; ","")))))</f>
        <v/>
      </c>
    </row>
    <row r="335" spans="1:29">
      <c r="A335" s="36"/>
      <c r="B335" s="24"/>
      <c r="C335" s="25"/>
      <c r="D335" s="25"/>
      <c r="E335" s="25"/>
      <c r="F335" s="24"/>
      <c r="G335" s="25"/>
      <c r="H335" s="25"/>
      <c r="I335" s="25"/>
      <c r="J335" s="25"/>
      <c r="K335" s="25"/>
      <c r="L335" s="25"/>
      <c r="M335" s="25"/>
      <c r="N335" s="25" t="str">
        <f t="shared" si="5"/>
        <v/>
      </c>
      <c r="O335" s="25"/>
      <c r="P335" s="25"/>
      <c r="Q335" s="25"/>
      <c r="R335" s="25"/>
      <c r="S335" s="25"/>
      <c r="T335" s="25"/>
      <c r="U335" s="25"/>
      <c r="V335" s="25"/>
      <c r="W335" s="24"/>
      <c r="X335" s="24"/>
      <c r="Y335" s="25"/>
      <c r="Z335" s="25" t="str">
        <f>IF(B335="","",IFERROR(INDEX(الزبائن!$AZ$6:$AZ$505,MATCH(B335,الزبائن!$A$6:$A$505,0)),"source key not found"))</f>
        <v/>
      </c>
      <c r="AA335" s="25" t="str">
        <f>IF(B335="","",IFERROR(INDEX(الزبائن!$BA$6:$BA$505,MATCH(B335,الزبائن!$A$6:$A$505,0)),"source key not found"))</f>
        <v/>
      </c>
      <c r="AB335" s="25" t="str">
        <f>IF(AND(A335="",C335="",D335="",H335="",K335="",L335=""),"",IF(C335="skip","SKIP",IF(OR(A335="",C335="",D335="",H335="",K335="",L335="",S335="",COUNTIF($A$6:$A$505,A335)&gt;1,AND(B335&lt;&gt;"",COUNTIF(الزبائن!$A$6:$A$505,B335)=0),(COUNTIFS('أرقام التواصل'!$A$6:$A$505,"proposed_name",'أرقام التواصل'!$B$6:$B$505,A335,'أرقام التواصل'!$I$6:$I$505,"TRUE")+COUNTIFS('أرقام التواصل'!$A$6:$A$505,"proposed_name",'أرقام التواصل'!$B$6:$B$505,A335,'أرقام التواصل'!$C$6:$C$505,1))=0,AND(U335="TRUE",V335="")),"REVIEW","READY")))</f>
        <v/>
      </c>
      <c r="AC335" s="27" t="str">
        <f>IF(AB335="","",IF(AB335="READY","",IF(AB335="SKIP","Skipped by candidate_import_action",TRIM(IF(A335="","missing proposed_name_key; ","")&amp;IF(AND(A335&lt;&gt;"",COUNTIF($A$6:$A$505,A335)&gt;1),"duplicate proposed_name_key; ","")&amp;IF(C335="","missing candidate_import_action; ","")&amp;IF(D335="","missing move_reason; ","")&amp;IF(H335="","missing branch_id; ","")&amp;IF(K335="","missing first_name; ","")&amp;IF(L335="","missing last_name; ","")&amp;IF(S335="","missing status; ","")&amp;IF(AND(B335&lt;&gt;"",COUNTIF(الزبائن!$A$6:$A$505,B335)=0),"source key not found; ","")&amp;IF((COUNTIFS('أرقام التواصل'!$A$6:$A$505,"proposed_name",'أرقام التواصل'!$B$6:$B$505,A335,'أرقام التواصل'!$I$6:$I$505,"TRUE")+COUNTIFS('أرقام التواصل'!$A$6:$A$505,"proposed_name",'أرقام التواصل'!$B$6:$B$505,A335,'أرقام التواصل'!$C$6:$C$505,1))=0,"missing primary contact in أرقام التواصل; ","")&amp;IF(AND(U335="TRUE",V335=""),"duplicate_type required when duplicate_flag TRUE; ","")))))</f>
        <v/>
      </c>
    </row>
    <row r="336" spans="1:29">
      <c r="A336" s="36"/>
      <c r="B336" s="24"/>
      <c r="C336" s="25"/>
      <c r="D336" s="25"/>
      <c r="E336" s="25"/>
      <c r="F336" s="24"/>
      <c r="G336" s="25"/>
      <c r="H336" s="25"/>
      <c r="I336" s="25"/>
      <c r="J336" s="25"/>
      <c r="K336" s="25"/>
      <c r="L336" s="25"/>
      <c r="M336" s="25"/>
      <c r="N336" s="25" t="str">
        <f t="shared" si="5"/>
        <v/>
      </c>
      <c r="O336" s="25"/>
      <c r="P336" s="25"/>
      <c r="Q336" s="25"/>
      <c r="R336" s="25"/>
      <c r="S336" s="25"/>
      <c r="T336" s="25"/>
      <c r="U336" s="25"/>
      <c r="V336" s="25"/>
      <c r="W336" s="24"/>
      <c r="X336" s="24"/>
      <c r="Y336" s="25"/>
      <c r="Z336" s="25" t="str">
        <f>IF(B336="","",IFERROR(INDEX(الزبائن!$AZ$6:$AZ$505,MATCH(B336,الزبائن!$A$6:$A$505,0)),"source key not found"))</f>
        <v/>
      </c>
      <c r="AA336" s="25" t="str">
        <f>IF(B336="","",IFERROR(INDEX(الزبائن!$BA$6:$BA$505,MATCH(B336,الزبائن!$A$6:$A$505,0)),"source key not found"))</f>
        <v/>
      </c>
      <c r="AB336" s="25" t="str">
        <f>IF(AND(A336="",C336="",D336="",H336="",K336="",L336=""),"",IF(C336="skip","SKIP",IF(OR(A336="",C336="",D336="",H336="",K336="",L336="",S336="",COUNTIF($A$6:$A$505,A336)&gt;1,AND(B336&lt;&gt;"",COUNTIF(الزبائن!$A$6:$A$505,B336)=0),(COUNTIFS('أرقام التواصل'!$A$6:$A$505,"proposed_name",'أرقام التواصل'!$B$6:$B$505,A336,'أرقام التواصل'!$I$6:$I$505,"TRUE")+COUNTIFS('أرقام التواصل'!$A$6:$A$505,"proposed_name",'أرقام التواصل'!$B$6:$B$505,A336,'أرقام التواصل'!$C$6:$C$505,1))=0,AND(U336="TRUE",V336="")),"REVIEW","READY")))</f>
        <v/>
      </c>
      <c r="AC336" s="27" t="str">
        <f>IF(AB336="","",IF(AB336="READY","",IF(AB336="SKIP","Skipped by candidate_import_action",TRIM(IF(A336="","missing proposed_name_key; ","")&amp;IF(AND(A336&lt;&gt;"",COUNTIF($A$6:$A$505,A336)&gt;1),"duplicate proposed_name_key; ","")&amp;IF(C336="","missing candidate_import_action; ","")&amp;IF(D336="","missing move_reason; ","")&amp;IF(H336="","missing branch_id; ","")&amp;IF(K336="","missing first_name; ","")&amp;IF(L336="","missing last_name; ","")&amp;IF(S336="","missing status; ","")&amp;IF(AND(B336&lt;&gt;"",COUNTIF(الزبائن!$A$6:$A$505,B336)=0),"source key not found; ","")&amp;IF((COUNTIFS('أرقام التواصل'!$A$6:$A$505,"proposed_name",'أرقام التواصل'!$B$6:$B$505,A336,'أرقام التواصل'!$I$6:$I$505,"TRUE")+COUNTIFS('أرقام التواصل'!$A$6:$A$505,"proposed_name",'أرقام التواصل'!$B$6:$B$505,A336,'أرقام التواصل'!$C$6:$C$505,1))=0,"missing primary contact in أرقام التواصل; ","")&amp;IF(AND(U336="TRUE",V336=""),"duplicate_type required when duplicate_flag TRUE; ","")))))</f>
        <v/>
      </c>
    </row>
    <row r="337" spans="1:29">
      <c r="A337" s="36"/>
      <c r="B337" s="24"/>
      <c r="C337" s="25"/>
      <c r="D337" s="25"/>
      <c r="E337" s="25"/>
      <c r="F337" s="24"/>
      <c r="G337" s="25"/>
      <c r="H337" s="25"/>
      <c r="I337" s="25"/>
      <c r="J337" s="25"/>
      <c r="K337" s="25"/>
      <c r="L337" s="25"/>
      <c r="M337" s="25"/>
      <c r="N337" s="25" t="str">
        <f t="shared" si="5"/>
        <v/>
      </c>
      <c r="O337" s="25"/>
      <c r="P337" s="25"/>
      <c r="Q337" s="25"/>
      <c r="R337" s="25"/>
      <c r="S337" s="25"/>
      <c r="T337" s="25"/>
      <c r="U337" s="25"/>
      <c r="V337" s="25"/>
      <c r="W337" s="24"/>
      <c r="X337" s="24"/>
      <c r="Y337" s="25"/>
      <c r="Z337" s="25" t="str">
        <f>IF(B337="","",IFERROR(INDEX(الزبائن!$AZ$6:$AZ$505,MATCH(B337,الزبائن!$A$6:$A$505,0)),"source key not found"))</f>
        <v/>
      </c>
      <c r="AA337" s="25" t="str">
        <f>IF(B337="","",IFERROR(INDEX(الزبائن!$BA$6:$BA$505,MATCH(B337,الزبائن!$A$6:$A$505,0)),"source key not found"))</f>
        <v/>
      </c>
      <c r="AB337" s="25" t="str">
        <f>IF(AND(A337="",C337="",D337="",H337="",K337="",L337=""),"",IF(C337="skip","SKIP",IF(OR(A337="",C337="",D337="",H337="",K337="",L337="",S337="",COUNTIF($A$6:$A$505,A337)&gt;1,AND(B337&lt;&gt;"",COUNTIF(الزبائن!$A$6:$A$505,B337)=0),(COUNTIFS('أرقام التواصل'!$A$6:$A$505,"proposed_name",'أرقام التواصل'!$B$6:$B$505,A337,'أرقام التواصل'!$I$6:$I$505,"TRUE")+COUNTIFS('أرقام التواصل'!$A$6:$A$505,"proposed_name",'أرقام التواصل'!$B$6:$B$505,A337,'أرقام التواصل'!$C$6:$C$505,1))=0,AND(U337="TRUE",V337="")),"REVIEW","READY")))</f>
        <v/>
      </c>
      <c r="AC337" s="27" t="str">
        <f>IF(AB337="","",IF(AB337="READY","",IF(AB337="SKIP","Skipped by candidate_import_action",TRIM(IF(A337="","missing proposed_name_key; ","")&amp;IF(AND(A337&lt;&gt;"",COUNTIF($A$6:$A$505,A337)&gt;1),"duplicate proposed_name_key; ","")&amp;IF(C337="","missing candidate_import_action; ","")&amp;IF(D337="","missing move_reason; ","")&amp;IF(H337="","missing branch_id; ","")&amp;IF(K337="","missing first_name; ","")&amp;IF(L337="","missing last_name; ","")&amp;IF(S337="","missing status; ","")&amp;IF(AND(B337&lt;&gt;"",COUNTIF(الزبائن!$A$6:$A$505,B337)=0),"source key not found; ","")&amp;IF((COUNTIFS('أرقام التواصل'!$A$6:$A$505,"proposed_name",'أرقام التواصل'!$B$6:$B$505,A337,'أرقام التواصل'!$I$6:$I$505,"TRUE")+COUNTIFS('أرقام التواصل'!$A$6:$A$505,"proposed_name",'أرقام التواصل'!$B$6:$B$505,A337,'أرقام التواصل'!$C$6:$C$505,1))=0,"missing primary contact in أرقام التواصل; ","")&amp;IF(AND(U337="TRUE",V337=""),"duplicate_type required when duplicate_flag TRUE; ","")))))</f>
        <v/>
      </c>
    </row>
    <row r="338" spans="1:29">
      <c r="A338" s="36"/>
      <c r="B338" s="24"/>
      <c r="C338" s="25"/>
      <c r="D338" s="25"/>
      <c r="E338" s="25"/>
      <c r="F338" s="24"/>
      <c r="G338" s="25"/>
      <c r="H338" s="25"/>
      <c r="I338" s="25"/>
      <c r="J338" s="25"/>
      <c r="K338" s="25"/>
      <c r="L338" s="25"/>
      <c r="M338" s="25"/>
      <c r="N338" s="25" t="str">
        <f t="shared" si="5"/>
        <v/>
      </c>
      <c r="O338" s="25"/>
      <c r="P338" s="25"/>
      <c r="Q338" s="25"/>
      <c r="R338" s="25"/>
      <c r="S338" s="25"/>
      <c r="T338" s="25"/>
      <c r="U338" s="25"/>
      <c r="V338" s="25"/>
      <c r="W338" s="24"/>
      <c r="X338" s="24"/>
      <c r="Y338" s="25"/>
      <c r="Z338" s="25" t="str">
        <f>IF(B338="","",IFERROR(INDEX(الزبائن!$AZ$6:$AZ$505,MATCH(B338,الزبائن!$A$6:$A$505,0)),"source key not found"))</f>
        <v/>
      </c>
      <c r="AA338" s="25" t="str">
        <f>IF(B338="","",IFERROR(INDEX(الزبائن!$BA$6:$BA$505,MATCH(B338,الزبائن!$A$6:$A$505,0)),"source key not found"))</f>
        <v/>
      </c>
      <c r="AB338" s="25" t="str">
        <f>IF(AND(A338="",C338="",D338="",H338="",K338="",L338=""),"",IF(C338="skip","SKIP",IF(OR(A338="",C338="",D338="",H338="",K338="",L338="",S338="",COUNTIF($A$6:$A$505,A338)&gt;1,AND(B338&lt;&gt;"",COUNTIF(الزبائن!$A$6:$A$505,B338)=0),(COUNTIFS('أرقام التواصل'!$A$6:$A$505,"proposed_name",'أرقام التواصل'!$B$6:$B$505,A338,'أرقام التواصل'!$I$6:$I$505,"TRUE")+COUNTIFS('أرقام التواصل'!$A$6:$A$505,"proposed_name",'أرقام التواصل'!$B$6:$B$505,A338,'أرقام التواصل'!$C$6:$C$505,1))=0,AND(U338="TRUE",V338="")),"REVIEW","READY")))</f>
        <v/>
      </c>
      <c r="AC338" s="27" t="str">
        <f>IF(AB338="","",IF(AB338="READY","",IF(AB338="SKIP","Skipped by candidate_import_action",TRIM(IF(A338="","missing proposed_name_key; ","")&amp;IF(AND(A338&lt;&gt;"",COUNTIF($A$6:$A$505,A338)&gt;1),"duplicate proposed_name_key; ","")&amp;IF(C338="","missing candidate_import_action; ","")&amp;IF(D338="","missing move_reason; ","")&amp;IF(H338="","missing branch_id; ","")&amp;IF(K338="","missing first_name; ","")&amp;IF(L338="","missing last_name; ","")&amp;IF(S338="","missing status; ","")&amp;IF(AND(B338&lt;&gt;"",COUNTIF(الزبائن!$A$6:$A$505,B338)=0),"source key not found; ","")&amp;IF((COUNTIFS('أرقام التواصل'!$A$6:$A$505,"proposed_name",'أرقام التواصل'!$B$6:$B$505,A338,'أرقام التواصل'!$I$6:$I$505,"TRUE")+COUNTIFS('أرقام التواصل'!$A$6:$A$505,"proposed_name",'أرقام التواصل'!$B$6:$B$505,A338,'أرقام التواصل'!$C$6:$C$505,1))=0,"missing primary contact in أرقام التواصل; ","")&amp;IF(AND(U338="TRUE",V338=""),"duplicate_type required when duplicate_flag TRUE; ","")))))</f>
        <v/>
      </c>
    </row>
    <row r="339" spans="1:29">
      <c r="A339" s="36"/>
      <c r="B339" s="24"/>
      <c r="C339" s="25"/>
      <c r="D339" s="25"/>
      <c r="E339" s="25"/>
      <c r="F339" s="24"/>
      <c r="G339" s="25"/>
      <c r="H339" s="25"/>
      <c r="I339" s="25"/>
      <c r="J339" s="25"/>
      <c r="K339" s="25"/>
      <c r="L339" s="25"/>
      <c r="M339" s="25"/>
      <c r="N339" s="25" t="str">
        <f t="shared" si="5"/>
        <v/>
      </c>
      <c r="O339" s="25"/>
      <c r="P339" s="25"/>
      <c r="Q339" s="25"/>
      <c r="R339" s="25"/>
      <c r="S339" s="25"/>
      <c r="T339" s="25"/>
      <c r="U339" s="25"/>
      <c r="V339" s="25"/>
      <c r="W339" s="24"/>
      <c r="X339" s="24"/>
      <c r="Y339" s="25"/>
      <c r="Z339" s="25" t="str">
        <f>IF(B339="","",IFERROR(INDEX(الزبائن!$AZ$6:$AZ$505,MATCH(B339,الزبائن!$A$6:$A$505,0)),"source key not found"))</f>
        <v/>
      </c>
      <c r="AA339" s="25" t="str">
        <f>IF(B339="","",IFERROR(INDEX(الزبائن!$BA$6:$BA$505,MATCH(B339,الزبائن!$A$6:$A$505,0)),"source key not found"))</f>
        <v/>
      </c>
      <c r="AB339" s="25" t="str">
        <f>IF(AND(A339="",C339="",D339="",H339="",K339="",L339=""),"",IF(C339="skip","SKIP",IF(OR(A339="",C339="",D339="",H339="",K339="",L339="",S339="",COUNTIF($A$6:$A$505,A339)&gt;1,AND(B339&lt;&gt;"",COUNTIF(الزبائن!$A$6:$A$505,B339)=0),(COUNTIFS('أرقام التواصل'!$A$6:$A$505,"proposed_name",'أرقام التواصل'!$B$6:$B$505,A339,'أرقام التواصل'!$I$6:$I$505,"TRUE")+COUNTIFS('أرقام التواصل'!$A$6:$A$505,"proposed_name",'أرقام التواصل'!$B$6:$B$505,A339,'أرقام التواصل'!$C$6:$C$505,1))=0,AND(U339="TRUE",V339="")),"REVIEW","READY")))</f>
        <v/>
      </c>
      <c r="AC339" s="27" t="str">
        <f>IF(AB339="","",IF(AB339="READY","",IF(AB339="SKIP","Skipped by candidate_import_action",TRIM(IF(A339="","missing proposed_name_key; ","")&amp;IF(AND(A339&lt;&gt;"",COUNTIF($A$6:$A$505,A339)&gt;1),"duplicate proposed_name_key; ","")&amp;IF(C339="","missing candidate_import_action; ","")&amp;IF(D339="","missing move_reason; ","")&amp;IF(H339="","missing branch_id; ","")&amp;IF(K339="","missing first_name; ","")&amp;IF(L339="","missing last_name; ","")&amp;IF(S339="","missing status; ","")&amp;IF(AND(B339&lt;&gt;"",COUNTIF(الزبائن!$A$6:$A$505,B339)=0),"source key not found; ","")&amp;IF((COUNTIFS('أرقام التواصل'!$A$6:$A$505,"proposed_name",'أرقام التواصل'!$B$6:$B$505,A339,'أرقام التواصل'!$I$6:$I$505,"TRUE")+COUNTIFS('أرقام التواصل'!$A$6:$A$505,"proposed_name",'أرقام التواصل'!$B$6:$B$505,A339,'أرقام التواصل'!$C$6:$C$505,1))=0,"missing primary contact in أرقام التواصل; ","")&amp;IF(AND(U339="TRUE",V339=""),"duplicate_type required when duplicate_flag TRUE; ","")))))</f>
        <v/>
      </c>
    </row>
    <row r="340" spans="1:29">
      <c r="A340" s="36"/>
      <c r="B340" s="24"/>
      <c r="C340" s="25"/>
      <c r="D340" s="25"/>
      <c r="E340" s="25"/>
      <c r="F340" s="24"/>
      <c r="G340" s="25"/>
      <c r="H340" s="25"/>
      <c r="I340" s="25"/>
      <c r="J340" s="25"/>
      <c r="K340" s="25"/>
      <c r="L340" s="25"/>
      <c r="M340" s="25"/>
      <c r="N340" s="25" t="str">
        <f t="shared" si="5"/>
        <v/>
      </c>
      <c r="O340" s="25"/>
      <c r="P340" s="25"/>
      <c r="Q340" s="25"/>
      <c r="R340" s="25"/>
      <c r="S340" s="25"/>
      <c r="T340" s="25"/>
      <c r="U340" s="25"/>
      <c r="V340" s="25"/>
      <c r="W340" s="24"/>
      <c r="X340" s="24"/>
      <c r="Y340" s="25"/>
      <c r="Z340" s="25" t="str">
        <f>IF(B340="","",IFERROR(INDEX(الزبائن!$AZ$6:$AZ$505,MATCH(B340,الزبائن!$A$6:$A$505,0)),"source key not found"))</f>
        <v/>
      </c>
      <c r="AA340" s="25" t="str">
        <f>IF(B340="","",IFERROR(INDEX(الزبائن!$BA$6:$BA$505,MATCH(B340,الزبائن!$A$6:$A$505,0)),"source key not found"))</f>
        <v/>
      </c>
      <c r="AB340" s="25" t="str">
        <f>IF(AND(A340="",C340="",D340="",H340="",K340="",L340=""),"",IF(C340="skip","SKIP",IF(OR(A340="",C340="",D340="",H340="",K340="",L340="",S340="",COUNTIF($A$6:$A$505,A340)&gt;1,AND(B340&lt;&gt;"",COUNTIF(الزبائن!$A$6:$A$505,B340)=0),(COUNTIFS('أرقام التواصل'!$A$6:$A$505,"proposed_name",'أرقام التواصل'!$B$6:$B$505,A340,'أرقام التواصل'!$I$6:$I$505,"TRUE")+COUNTIFS('أرقام التواصل'!$A$6:$A$505,"proposed_name",'أرقام التواصل'!$B$6:$B$505,A340,'أرقام التواصل'!$C$6:$C$505,1))=0,AND(U340="TRUE",V340="")),"REVIEW","READY")))</f>
        <v/>
      </c>
      <c r="AC340" s="27" t="str">
        <f>IF(AB340="","",IF(AB340="READY","",IF(AB340="SKIP","Skipped by candidate_import_action",TRIM(IF(A340="","missing proposed_name_key; ","")&amp;IF(AND(A340&lt;&gt;"",COUNTIF($A$6:$A$505,A340)&gt;1),"duplicate proposed_name_key; ","")&amp;IF(C340="","missing candidate_import_action; ","")&amp;IF(D340="","missing move_reason; ","")&amp;IF(H340="","missing branch_id; ","")&amp;IF(K340="","missing first_name; ","")&amp;IF(L340="","missing last_name; ","")&amp;IF(S340="","missing status; ","")&amp;IF(AND(B340&lt;&gt;"",COUNTIF(الزبائن!$A$6:$A$505,B340)=0),"source key not found; ","")&amp;IF((COUNTIFS('أرقام التواصل'!$A$6:$A$505,"proposed_name",'أرقام التواصل'!$B$6:$B$505,A340,'أرقام التواصل'!$I$6:$I$505,"TRUE")+COUNTIFS('أرقام التواصل'!$A$6:$A$505,"proposed_name",'أرقام التواصل'!$B$6:$B$505,A340,'أرقام التواصل'!$C$6:$C$505,1))=0,"missing primary contact in أرقام التواصل; ","")&amp;IF(AND(U340="TRUE",V340=""),"duplicate_type required when duplicate_flag TRUE; ","")))))</f>
        <v/>
      </c>
    </row>
    <row r="341" spans="1:29">
      <c r="A341" s="36"/>
      <c r="B341" s="24"/>
      <c r="C341" s="25"/>
      <c r="D341" s="25"/>
      <c r="E341" s="25"/>
      <c r="F341" s="24"/>
      <c r="G341" s="25"/>
      <c r="H341" s="25"/>
      <c r="I341" s="25"/>
      <c r="J341" s="25"/>
      <c r="K341" s="25"/>
      <c r="L341" s="25"/>
      <c r="M341" s="25"/>
      <c r="N341" s="25" t="str">
        <f t="shared" si="5"/>
        <v/>
      </c>
      <c r="O341" s="25"/>
      <c r="P341" s="25"/>
      <c r="Q341" s="25"/>
      <c r="R341" s="25"/>
      <c r="S341" s="25"/>
      <c r="T341" s="25"/>
      <c r="U341" s="25"/>
      <c r="V341" s="25"/>
      <c r="W341" s="24"/>
      <c r="X341" s="24"/>
      <c r="Y341" s="25"/>
      <c r="Z341" s="25" t="str">
        <f>IF(B341="","",IFERROR(INDEX(الزبائن!$AZ$6:$AZ$505,MATCH(B341,الزبائن!$A$6:$A$505,0)),"source key not found"))</f>
        <v/>
      </c>
      <c r="AA341" s="25" t="str">
        <f>IF(B341="","",IFERROR(INDEX(الزبائن!$BA$6:$BA$505,MATCH(B341,الزبائن!$A$6:$A$505,0)),"source key not found"))</f>
        <v/>
      </c>
      <c r="AB341" s="25" t="str">
        <f>IF(AND(A341="",C341="",D341="",H341="",K341="",L341=""),"",IF(C341="skip","SKIP",IF(OR(A341="",C341="",D341="",H341="",K341="",L341="",S341="",COUNTIF($A$6:$A$505,A341)&gt;1,AND(B341&lt;&gt;"",COUNTIF(الزبائن!$A$6:$A$505,B341)=0),(COUNTIFS('أرقام التواصل'!$A$6:$A$505,"proposed_name",'أرقام التواصل'!$B$6:$B$505,A341,'أرقام التواصل'!$I$6:$I$505,"TRUE")+COUNTIFS('أرقام التواصل'!$A$6:$A$505,"proposed_name",'أرقام التواصل'!$B$6:$B$505,A341,'أرقام التواصل'!$C$6:$C$505,1))=0,AND(U341="TRUE",V341="")),"REVIEW","READY")))</f>
        <v/>
      </c>
      <c r="AC341" s="27" t="str">
        <f>IF(AB341="","",IF(AB341="READY","",IF(AB341="SKIP","Skipped by candidate_import_action",TRIM(IF(A341="","missing proposed_name_key; ","")&amp;IF(AND(A341&lt;&gt;"",COUNTIF($A$6:$A$505,A341)&gt;1),"duplicate proposed_name_key; ","")&amp;IF(C341="","missing candidate_import_action; ","")&amp;IF(D341="","missing move_reason; ","")&amp;IF(H341="","missing branch_id; ","")&amp;IF(K341="","missing first_name; ","")&amp;IF(L341="","missing last_name; ","")&amp;IF(S341="","missing status; ","")&amp;IF(AND(B341&lt;&gt;"",COUNTIF(الزبائن!$A$6:$A$505,B341)=0),"source key not found; ","")&amp;IF((COUNTIFS('أرقام التواصل'!$A$6:$A$505,"proposed_name",'أرقام التواصل'!$B$6:$B$505,A341,'أرقام التواصل'!$I$6:$I$505,"TRUE")+COUNTIFS('أرقام التواصل'!$A$6:$A$505,"proposed_name",'أرقام التواصل'!$B$6:$B$505,A341,'أرقام التواصل'!$C$6:$C$505,1))=0,"missing primary contact in أرقام التواصل; ","")&amp;IF(AND(U341="TRUE",V341=""),"duplicate_type required when duplicate_flag TRUE; ","")))))</f>
        <v/>
      </c>
    </row>
    <row r="342" spans="1:29">
      <c r="A342" s="36"/>
      <c r="B342" s="24"/>
      <c r="C342" s="25"/>
      <c r="D342" s="25"/>
      <c r="E342" s="25"/>
      <c r="F342" s="24"/>
      <c r="G342" s="25"/>
      <c r="H342" s="25"/>
      <c r="I342" s="25"/>
      <c r="J342" s="25"/>
      <c r="K342" s="25"/>
      <c r="L342" s="25"/>
      <c r="M342" s="25"/>
      <c r="N342" s="25" t="str">
        <f t="shared" si="5"/>
        <v/>
      </c>
      <c r="O342" s="25"/>
      <c r="P342" s="25"/>
      <c r="Q342" s="25"/>
      <c r="R342" s="25"/>
      <c r="S342" s="25"/>
      <c r="T342" s="25"/>
      <c r="U342" s="25"/>
      <c r="V342" s="25"/>
      <c r="W342" s="24"/>
      <c r="X342" s="24"/>
      <c r="Y342" s="25"/>
      <c r="Z342" s="25" t="str">
        <f>IF(B342="","",IFERROR(INDEX(الزبائن!$AZ$6:$AZ$505,MATCH(B342,الزبائن!$A$6:$A$505,0)),"source key not found"))</f>
        <v/>
      </c>
      <c r="AA342" s="25" t="str">
        <f>IF(B342="","",IFERROR(INDEX(الزبائن!$BA$6:$BA$505,MATCH(B342,الزبائن!$A$6:$A$505,0)),"source key not found"))</f>
        <v/>
      </c>
      <c r="AB342" s="25" t="str">
        <f>IF(AND(A342="",C342="",D342="",H342="",K342="",L342=""),"",IF(C342="skip","SKIP",IF(OR(A342="",C342="",D342="",H342="",K342="",L342="",S342="",COUNTIF($A$6:$A$505,A342)&gt;1,AND(B342&lt;&gt;"",COUNTIF(الزبائن!$A$6:$A$505,B342)=0),(COUNTIFS('أرقام التواصل'!$A$6:$A$505,"proposed_name",'أرقام التواصل'!$B$6:$B$505,A342,'أرقام التواصل'!$I$6:$I$505,"TRUE")+COUNTIFS('أرقام التواصل'!$A$6:$A$505,"proposed_name",'أرقام التواصل'!$B$6:$B$505,A342,'أرقام التواصل'!$C$6:$C$505,1))=0,AND(U342="TRUE",V342="")),"REVIEW","READY")))</f>
        <v/>
      </c>
      <c r="AC342" s="27" t="str">
        <f>IF(AB342="","",IF(AB342="READY","",IF(AB342="SKIP","Skipped by candidate_import_action",TRIM(IF(A342="","missing proposed_name_key; ","")&amp;IF(AND(A342&lt;&gt;"",COUNTIF($A$6:$A$505,A342)&gt;1),"duplicate proposed_name_key; ","")&amp;IF(C342="","missing candidate_import_action; ","")&amp;IF(D342="","missing move_reason; ","")&amp;IF(H342="","missing branch_id; ","")&amp;IF(K342="","missing first_name; ","")&amp;IF(L342="","missing last_name; ","")&amp;IF(S342="","missing status; ","")&amp;IF(AND(B342&lt;&gt;"",COUNTIF(الزبائن!$A$6:$A$505,B342)=0),"source key not found; ","")&amp;IF((COUNTIFS('أرقام التواصل'!$A$6:$A$505,"proposed_name",'أرقام التواصل'!$B$6:$B$505,A342,'أرقام التواصل'!$I$6:$I$505,"TRUE")+COUNTIFS('أرقام التواصل'!$A$6:$A$505,"proposed_name",'أرقام التواصل'!$B$6:$B$505,A342,'أرقام التواصل'!$C$6:$C$505,1))=0,"missing primary contact in أرقام التواصل; ","")&amp;IF(AND(U342="TRUE",V342=""),"duplicate_type required when duplicate_flag TRUE; ","")))))</f>
        <v/>
      </c>
    </row>
    <row r="343" spans="1:29">
      <c r="A343" s="36"/>
      <c r="B343" s="24"/>
      <c r="C343" s="25"/>
      <c r="D343" s="25"/>
      <c r="E343" s="25"/>
      <c r="F343" s="24"/>
      <c r="G343" s="25"/>
      <c r="H343" s="25"/>
      <c r="I343" s="25"/>
      <c r="J343" s="25"/>
      <c r="K343" s="25"/>
      <c r="L343" s="25"/>
      <c r="M343" s="25"/>
      <c r="N343" s="25" t="str">
        <f t="shared" si="5"/>
        <v/>
      </c>
      <c r="O343" s="25"/>
      <c r="P343" s="25"/>
      <c r="Q343" s="25"/>
      <c r="R343" s="25"/>
      <c r="S343" s="25"/>
      <c r="T343" s="25"/>
      <c r="U343" s="25"/>
      <c r="V343" s="25"/>
      <c r="W343" s="24"/>
      <c r="X343" s="24"/>
      <c r="Y343" s="25"/>
      <c r="Z343" s="25" t="str">
        <f>IF(B343="","",IFERROR(INDEX(الزبائن!$AZ$6:$AZ$505,MATCH(B343,الزبائن!$A$6:$A$505,0)),"source key not found"))</f>
        <v/>
      </c>
      <c r="AA343" s="25" t="str">
        <f>IF(B343="","",IFERROR(INDEX(الزبائن!$BA$6:$BA$505,MATCH(B343,الزبائن!$A$6:$A$505,0)),"source key not found"))</f>
        <v/>
      </c>
      <c r="AB343" s="25" t="str">
        <f>IF(AND(A343="",C343="",D343="",H343="",K343="",L343=""),"",IF(C343="skip","SKIP",IF(OR(A343="",C343="",D343="",H343="",K343="",L343="",S343="",COUNTIF($A$6:$A$505,A343)&gt;1,AND(B343&lt;&gt;"",COUNTIF(الزبائن!$A$6:$A$505,B343)=0),(COUNTIFS('أرقام التواصل'!$A$6:$A$505,"proposed_name",'أرقام التواصل'!$B$6:$B$505,A343,'أرقام التواصل'!$I$6:$I$505,"TRUE")+COUNTIFS('أرقام التواصل'!$A$6:$A$505,"proposed_name",'أرقام التواصل'!$B$6:$B$505,A343,'أرقام التواصل'!$C$6:$C$505,1))=0,AND(U343="TRUE",V343="")),"REVIEW","READY")))</f>
        <v/>
      </c>
      <c r="AC343" s="27" t="str">
        <f>IF(AB343="","",IF(AB343="READY","",IF(AB343="SKIP","Skipped by candidate_import_action",TRIM(IF(A343="","missing proposed_name_key; ","")&amp;IF(AND(A343&lt;&gt;"",COUNTIF($A$6:$A$505,A343)&gt;1),"duplicate proposed_name_key; ","")&amp;IF(C343="","missing candidate_import_action; ","")&amp;IF(D343="","missing move_reason; ","")&amp;IF(H343="","missing branch_id; ","")&amp;IF(K343="","missing first_name; ","")&amp;IF(L343="","missing last_name; ","")&amp;IF(S343="","missing status; ","")&amp;IF(AND(B343&lt;&gt;"",COUNTIF(الزبائن!$A$6:$A$505,B343)=0),"source key not found; ","")&amp;IF((COUNTIFS('أرقام التواصل'!$A$6:$A$505,"proposed_name",'أرقام التواصل'!$B$6:$B$505,A343,'أرقام التواصل'!$I$6:$I$505,"TRUE")+COUNTIFS('أرقام التواصل'!$A$6:$A$505,"proposed_name",'أرقام التواصل'!$B$6:$B$505,A343,'أرقام التواصل'!$C$6:$C$505,1))=0,"missing primary contact in أرقام التواصل; ","")&amp;IF(AND(U343="TRUE",V343=""),"duplicate_type required when duplicate_flag TRUE; ","")))))</f>
        <v/>
      </c>
    </row>
    <row r="344" spans="1:29">
      <c r="A344" s="36"/>
      <c r="B344" s="24"/>
      <c r="C344" s="25"/>
      <c r="D344" s="25"/>
      <c r="E344" s="25"/>
      <c r="F344" s="24"/>
      <c r="G344" s="25"/>
      <c r="H344" s="25"/>
      <c r="I344" s="25"/>
      <c r="J344" s="25"/>
      <c r="K344" s="25"/>
      <c r="L344" s="25"/>
      <c r="M344" s="25"/>
      <c r="N344" s="25" t="str">
        <f t="shared" si="5"/>
        <v/>
      </c>
      <c r="O344" s="25"/>
      <c r="P344" s="25"/>
      <c r="Q344" s="25"/>
      <c r="R344" s="25"/>
      <c r="S344" s="25"/>
      <c r="T344" s="25"/>
      <c r="U344" s="25"/>
      <c r="V344" s="25"/>
      <c r="W344" s="24"/>
      <c r="X344" s="24"/>
      <c r="Y344" s="25"/>
      <c r="Z344" s="25" t="str">
        <f>IF(B344="","",IFERROR(INDEX(الزبائن!$AZ$6:$AZ$505,MATCH(B344,الزبائن!$A$6:$A$505,0)),"source key not found"))</f>
        <v/>
      </c>
      <c r="AA344" s="25" t="str">
        <f>IF(B344="","",IFERROR(INDEX(الزبائن!$BA$6:$BA$505,MATCH(B344,الزبائن!$A$6:$A$505,0)),"source key not found"))</f>
        <v/>
      </c>
      <c r="AB344" s="25" t="str">
        <f>IF(AND(A344="",C344="",D344="",H344="",K344="",L344=""),"",IF(C344="skip","SKIP",IF(OR(A344="",C344="",D344="",H344="",K344="",L344="",S344="",COUNTIF($A$6:$A$505,A344)&gt;1,AND(B344&lt;&gt;"",COUNTIF(الزبائن!$A$6:$A$505,B344)=0),(COUNTIFS('أرقام التواصل'!$A$6:$A$505,"proposed_name",'أرقام التواصل'!$B$6:$B$505,A344,'أرقام التواصل'!$I$6:$I$505,"TRUE")+COUNTIFS('أرقام التواصل'!$A$6:$A$505,"proposed_name",'أرقام التواصل'!$B$6:$B$505,A344,'أرقام التواصل'!$C$6:$C$505,1))=0,AND(U344="TRUE",V344="")),"REVIEW","READY")))</f>
        <v/>
      </c>
      <c r="AC344" s="27" t="str">
        <f>IF(AB344="","",IF(AB344="READY","",IF(AB344="SKIP","Skipped by candidate_import_action",TRIM(IF(A344="","missing proposed_name_key; ","")&amp;IF(AND(A344&lt;&gt;"",COUNTIF($A$6:$A$505,A344)&gt;1),"duplicate proposed_name_key; ","")&amp;IF(C344="","missing candidate_import_action; ","")&amp;IF(D344="","missing move_reason; ","")&amp;IF(H344="","missing branch_id; ","")&amp;IF(K344="","missing first_name; ","")&amp;IF(L344="","missing last_name; ","")&amp;IF(S344="","missing status; ","")&amp;IF(AND(B344&lt;&gt;"",COUNTIF(الزبائن!$A$6:$A$505,B344)=0),"source key not found; ","")&amp;IF((COUNTIFS('أرقام التواصل'!$A$6:$A$505,"proposed_name",'أرقام التواصل'!$B$6:$B$505,A344,'أرقام التواصل'!$I$6:$I$505,"TRUE")+COUNTIFS('أرقام التواصل'!$A$6:$A$505,"proposed_name",'أرقام التواصل'!$B$6:$B$505,A344,'أرقام التواصل'!$C$6:$C$505,1))=0,"missing primary contact in أرقام التواصل; ","")&amp;IF(AND(U344="TRUE",V344=""),"duplicate_type required when duplicate_flag TRUE; ","")))))</f>
        <v/>
      </c>
    </row>
    <row r="345" spans="1:29">
      <c r="A345" s="36"/>
      <c r="B345" s="24"/>
      <c r="C345" s="25"/>
      <c r="D345" s="25"/>
      <c r="E345" s="25"/>
      <c r="F345" s="24"/>
      <c r="G345" s="25"/>
      <c r="H345" s="25"/>
      <c r="I345" s="25"/>
      <c r="J345" s="25"/>
      <c r="K345" s="25"/>
      <c r="L345" s="25"/>
      <c r="M345" s="25"/>
      <c r="N345" s="25" t="str">
        <f t="shared" si="5"/>
        <v/>
      </c>
      <c r="O345" s="25"/>
      <c r="P345" s="25"/>
      <c r="Q345" s="25"/>
      <c r="R345" s="25"/>
      <c r="S345" s="25"/>
      <c r="T345" s="25"/>
      <c r="U345" s="25"/>
      <c r="V345" s="25"/>
      <c r="W345" s="24"/>
      <c r="X345" s="24"/>
      <c r="Y345" s="25"/>
      <c r="Z345" s="25" t="str">
        <f>IF(B345="","",IFERROR(INDEX(الزبائن!$AZ$6:$AZ$505,MATCH(B345,الزبائن!$A$6:$A$505,0)),"source key not found"))</f>
        <v/>
      </c>
      <c r="AA345" s="25" t="str">
        <f>IF(B345="","",IFERROR(INDEX(الزبائن!$BA$6:$BA$505,MATCH(B345,الزبائن!$A$6:$A$505,0)),"source key not found"))</f>
        <v/>
      </c>
      <c r="AB345" s="25" t="str">
        <f>IF(AND(A345="",C345="",D345="",H345="",K345="",L345=""),"",IF(C345="skip","SKIP",IF(OR(A345="",C345="",D345="",H345="",K345="",L345="",S345="",COUNTIF($A$6:$A$505,A345)&gt;1,AND(B345&lt;&gt;"",COUNTIF(الزبائن!$A$6:$A$505,B345)=0),(COUNTIFS('أرقام التواصل'!$A$6:$A$505,"proposed_name",'أرقام التواصل'!$B$6:$B$505,A345,'أرقام التواصل'!$I$6:$I$505,"TRUE")+COUNTIFS('أرقام التواصل'!$A$6:$A$505,"proposed_name",'أرقام التواصل'!$B$6:$B$505,A345,'أرقام التواصل'!$C$6:$C$505,1))=0,AND(U345="TRUE",V345="")),"REVIEW","READY")))</f>
        <v/>
      </c>
      <c r="AC345" s="27" t="str">
        <f>IF(AB345="","",IF(AB345="READY","",IF(AB345="SKIP","Skipped by candidate_import_action",TRIM(IF(A345="","missing proposed_name_key; ","")&amp;IF(AND(A345&lt;&gt;"",COUNTIF($A$6:$A$505,A345)&gt;1),"duplicate proposed_name_key; ","")&amp;IF(C345="","missing candidate_import_action; ","")&amp;IF(D345="","missing move_reason; ","")&amp;IF(H345="","missing branch_id; ","")&amp;IF(K345="","missing first_name; ","")&amp;IF(L345="","missing last_name; ","")&amp;IF(S345="","missing status; ","")&amp;IF(AND(B345&lt;&gt;"",COUNTIF(الزبائن!$A$6:$A$505,B345)=0),"source key not found; ","")&amp;IF((COUNTIFS('أرقام التواصل'!$A$6:$A$505,"proposed_name",'أرقام التواصل'!$B$6:$B$505,A345,'أرقام التواصل'!$I$6:$I$505,"TRUE")+COUNTIFS('أرقام التواصل'!$A$6:$A$505,"proposed_name",'أرقام التواصل'!$B$6:$B$505,A345,'أرقام التواصل'!$C$6:$C$505,1))=0,"missing primary contact in أرقام التواصل; ","")&amp;IF(AND(U345="TRUE",V345=""),"duplicate_type required when duplicate_flag TRUE; ","")))))</f>
        <v/>
      </c>
    </row>
    <row r="346" spans="1:29">
      <c r="A346" s="36"/>
      <c r="B346" s="24"/>
      <c r="C346" s="25"/>
      <c r="D346" s="25"/>
      <c r="E346" s="25"/>
      <c r="F346" s="24"/>
      <c r="G346" s="25"/>
      <c r="H346" s="25"/>
      <c r="I346" s="25"/>
      <c r="J346" s="25"/>
      <c r="K346" s="25"/>
      <c r="L346" s="25"/>
      <c r="M346" s="25"/>
      <c r="N346" s="25" t="str">
        <f t="shared" si="5"/>
        <v/>
      </c>
      <c r="O346" s="25"/>
      <c r="P346" s="25"/>
      <c r="Q346" s="25"/>
      <c r="R346" s="25"/>
      <c r="S346" s="25"/>
      <c r="T346" s="25"/>
      <c r="U346" s="25"/>
      <c r="V346" s="25"/>
      <c r="W346" s="24"/>
      <c r="X346" s="24"/>
      <c r="Y346" s="25"/>
      <c r="Z346" s="25" t="str">
        <f>IF(B346="","",IFERROR(INDEX(الزبائن!$AZ$6:$AZ$505,MATCH(B346,الزبائن!$A$6:$A$505,0)),"source key not found"))</f>
        <v/>
      </c>
      <c r="AA346" s="25" t="str">
        <f>IF(B346="","",IFERROR(INDEX(الزبائن!$BA$6:$BA$505,MATCH(B346,الزبائن!$A$6:$A$505,0)),"source key not found"))</f>
        <v/>
      </c>
      <c r="AB346" s="25" t="str">
        <f>IF(AND(A346="",C346="",D346="",H346="",K346="",L346=""),"",IF(C346="skip","SKIP",IF(OR(A346="",C346="",D346="",H346="",K346="",L346="",S346="",COUNTIF($A$6:$A$505,A346)&gt;1,AND(B346&lt;&gt;"",COUNTIF(الزبائن!$A$6:$A$505,B346)=0),(COUNTIFS('أرقام التواصل'!$A$6:$A$505,"proposed_name",'أرقام التواصل'!$B$6:$B$505,A346,'أرقام التواصل'!$I$6:$I$505,"TRUE")+COUNTIFS('أرقام التواصل'!$A$6:$A$505,"proposed_name",'أرقام التواصل'!$B$6:$B$505,A346,'أرقام التواصل'!$C$6:$C$505,1))=0,AND(U346="TRUE",V346="")),"REVIEW","READY")))</f>
        <v/>
      </c>
      <c r="AC346" s="27" t="str">
        <f>IF(AB346="","",IF(AB346="READY","",IF(AB346="SKIP","Skipped by candidate_import_action",TRIM(IF(A346="","missing proposed_name_key; ","")&amp;IF(AND(A346&lt;&gt;"",COUNTIF($A$6:$A$505,A346)&gt;1),"duplicate proposed_name_key; ","")&amp;IF(C346="","missing candidate_import_action; ","")&amp;IF(D346="","missing move_reason; ","")&amp;IF(H346="","missing branch_id; ","")&amp;IF(K346="","missing first_name; ","")&amp;IF(L346="","missing last_name; ","")&amp;IF(S346="","missing status; ","")&amp;IF(AND(B346&lt;&gt;"",COUNTIF(الزبائن!$A$6:$A$505,B346)=0),"source key not found; ","")&amp;IF((COUNTIFS('أرقام التواصل'!$A$6:$A$505,"proposed_name",'أرقام التواصل'!$B$6:$B$505,A346,'أرقام التواصل'!$I$6:$I$505,"TRUE")+COUNTIFS('أرقام التواصل'!$A$6:$A$505,"proposed_name",'أرقام التواصل'!$B$6:$B$505,A346,'أرقام التواصل'!$C$6:$C$505,1))=0,"missing primary contact in أرقام التواصل; ","")&amp;IF(AND(U346="TRUE",V346=""),"duplicate_type required when duplicate_flag TRUE; ","")))))</f>
        <v/>
      </c>
    </row>
    <row r="347" spans="1:29">
      <c r="A347" s="36"/>
      <c r="B347" s="24"/>
      <c r="C347" s="25"/>
      <c r="D347" s="25"/>
      <c r="E347" s="25"/>
      <c r="F347" s="24"/>
      <c r="G347" s="25"/>
      <c r="H347" s="25"/>
      <c r="I347" s="25"/>
      <c r="J347" s="25"/>
      <c r="K347" s="25"/>
      <c r="L347" s="25"/>
      <c r="M347" s="25"/>
      <c r="N347" s="25" t="str">
        <f t="shared" si="5"/>
        <v/>
      </c>
      <c r="O347" s="25"/>
      <c r="P347" s="25"/>
      <c r="Q347" s="25"/>
      <c r="R347" s="25"/>
      <c r="S347" s="25"/>
      <c r="T347" s="25"/>
      <c r="U347" s="25"/>
      <c r="V347" s="25"/>
      <c r="W347" s="24"/>
      <c r="X347" s="24"/>
      <c r="Y347" s="25"/>
      <c r="Z347" s="25" t="str">
        <f>IF(B347="","",IFERROR(INDEX(الزبائن!$AZ$6:$AZ$505,MATCH(B347,الزبائن!$A$6:$A$505,0)),"source key not found"))</f>
        <v/>
      </c>
      <c r="AA347" s="25" t="str">
        <f>IF(B347="","",IFERROR(INDEX(الزبائن!$BA$6:$BA$505,MATCH(B347,الزبائن!$A$6:$A$505,0)),"source key not found"))</f>
        <v/>
      </c>
      <c r="AB347" s="25" t="str">
        <f>IF(AND(A347="",C347="",D347="",H347="",K347="",L347=""),"",IF(C347="skip","SKIP",IF(OR(A347="",C347="",D347="",H347="",K347="",L347="",S347="",COUNTIF($A$6:$A$505,A347)&gt;1,AND(B347&lt;&gt;"",COUNTIF(الزبائن!$A$6:$A$505,B347)=0),(COUNTIFS('أرقام التواصل'!$A$6:$A$505,"proposed_name",'أرقام التواصل'!$B$6:$B$505,A347,'أرقام التواصل'!$I$6:$I$505,"TRUE")+COUNTIFS('أرقام التواصل'!$A$6:$A$505,"proposed_name",'أرقام التواصل'!$B$6:$B$505,A347,'أرقام التواصل'!$C$6:$C$505,1))=0,AND(U347="TRUE",V347="")),"REVIEW","READY")))</f>
        <v/>
      </c>
      <c r="AC347" s="27" t="str">
        <f>IF(AB347="","",IF(AB347="READY","",IF(AB347="SKIP","Skipped by candidate_import_action",TRIM(IF(A347="","missing proposed_name_key; ","")&amp;IF(AND(A347&lt;&gt;"",COUNTIF($A$6:$A$505,A347)&gt;1),"duplicate proposed_name_key; ","")&amp;IF(C347="","missing candidate_import_action; ","")&amp;IF(D347="","missing move_reason; ","")&amp;IF(H347="","missing branch_id; ","")&amp;IF(K347="","missing first_name; ","")&amp;IF(L347="","missing last_name; ","")&amp;IF(S347="","missing status; ","")&amp;IF(AND(B347&lt;&gt;"",COUNTIF(الزبائن!$A$6:$A$505,B347)=0),"source key not found; ","")&amp;IF((COUNTIFS('أرقام التواصل'!$A$6:$A$505,"proposed_name",'أرقام التواصل'!$B$6:$B$505,A347,'أرقام التواصل'!$I$6:$I$505,"TRUE")+COUNTIFS('أرقام التواصل'!$A$6:$A$505,"proposed_name",'أرقام التواصل'!$B$6:$B$505,A347,'أرقام التواصل'!$C$6:$C$505,1))=0,"missing primary contact in أرقام التواصل; ","")&amp;IF(AND(U347="TRUE",V347=""),"duplicate_type required when duplicate_flag TRUE; ","")))))</f>
        <v/>
      </c>
    </row>
    <row r="348" spans="1:29">
      <c r="A348" s="36"/>
      <c r="B348" s="24"/>
      <c r="C348" s="25"/>
      <c r="D348" s="25"/>
      <c r="E348" s="25"/>
      <c r="F348" s="24"/>
      <c r="G348" s="25"/>
      <c r="H348" s="25"/>
      <c r="I348" s="25"/>
      <c r="J348" s="25"/>
      <c r="K348" s="25"/>
      <c r="L348" s="25"/>
      <c r="M348" s="25"/>
      <c r="N348" s="25" t="str">
        <f t="shared" si="5"/>
        <v/>
      </c>
      <c r="O348" s="25"/>
      <c r="P348" s="25"/>
      <c r="Q348" s="25"/>
      <c r="R348" s="25"/>
      <c r="S348" s="25"/>
      <c r="T348" s="25"/>
      <c r="U348" s="25"/>
      <c r="V348" s="25"/>
      <c r="W348" s="24"/>
      <c r="X348" s="24"/>
      <c r="Y348" s="25"/>
      <c r="Z348" s="25" t="str">
        <f>IF(B348="","",IFERROR(INDEX(الزبائن!$AZ$6:$AZ$505,MATCH(B348,الزبائن!$A$6:$A$505,0)),"source key not found"))</f>
        <v/>
      </c>
      <c r="AA348" s="25" t="str">
        <f>IF(B348="","",IFERROR(INDEX(الزبائن!$BA$6:$BA$505,MATCH(B348,الزبائن!$A$6:$A$505,0)),"source key not found"))</f>
        <v/>
      </c>
      <c r="AB348" s="25" t="str">
        <f>IF(AND(A348="",C348="",D348="",H348="",K348="",L348=""),"",IF(C348="skip","SKIP",IF(OR(A348="",C348="",D348="",H348="",K348="",L348="",S348="",COUNTIF($A$6:$A$505,A348)&gt;1,AND(B348&lt;&gt;"",COUNTIF(الزبائن!$A$6:$A$505,B348)=0),(COUNTIFS('أرقام التواصل'!$A$6:$A$505,"proposed_name",'أرقام التواصل'!$B$6:$B$505,A348,'أرقام التواصل'!$I$6:$I$505,"TRUE")+COUNTIFS('أرقام التواصل'!$A$6:$A$505,"proposed_name",'أرقام التواصل'!$B$6:$B$505,A348,'أرقام التواصل'!$C$6:$C$505,1))=0,AND(U348="TRUE",V348="")),"REVIEW","READY")))</f>
        <v/>
      </c>
      <c r="AC348" s="27" t="str">
        <f>IF(AB348="","",IF(AB348="READY","",IF(AB348="SKIP","Skipped by candidate_import_action",TRIM(IF(A348="","missing proposed_name_key; ","")&amp;IF(AND(A348&lt;&gt;"",COUNTIF($A$6:$A$505,A348)&gt;1),"duplicate proposed_name_key; ","")&amp;IF(C348="","missing candidate_import_action; ","")&amp;IF(D348="","missing move_reason; ","")&amp;IF(H348="","missing branch_id; ","")&amp;IF(K348="","missing first_name; ","")&amp;IF(L348="","missing last_name; ","")&amp;IF(S348="","missing status; ","")&amp;IF(AND(B348&lt;&gt;"",COUNTIF(الزبائن!$A$6:$A$505,B348)=0),"source key not found; ","")&amp;IF((COUNTIFS('أرقام التواصل'!$A$6:$A$505,"proposed_name",'أرقام التواصل'!$B$6:$B$505,A348,'أرقام التواصل'!$I$6:$I$505,"TRUE")+COUNTIFS('أرقام التواصل'!$A$6:$A$505,"proposed_name",'أرقام التواصل'!$B$6:$B$505,A348,'أرقام التواصل'!$C$6:$C$505,1))=0,"missing primary contact in أرقام التواصل; ","")&amp;IF(AND(U348="TRUE",V348=""),"duplicate_type required when duplicate_flag TRUE; ","")))))</f>
        <v/>
      </c>
    </row>
    <row r="349" spans="1:29">
      <c r="A349" s="36"/>
      <c r="B349" s="24"/>
      <c r="C349" s="25"/>
      <c r="D349" s="25"/>
      <c r="E349" s="25"/>
      <c r="F349" s="24"/>
      <c r="G349" s="25"/>
      <c r="H349" s="25"/>
      <c r="I349" s="25"/>
      <c r="J349" s="25"/>
      <c r="K349" s="25"/>
      <c r="L349" s="25"/>
      <c r="M349" s="25"/>
      <c r="N349" s="25" t="str">
        <f t="shared" si="5"/>
        <v/>
      </c>
      <c r="O349" s="25"/>
      <c r="P349" s="25"/>
      <c r="Q349" s="25"/>
      <c r="R349" s="25"/>
      <c r="S349" s="25"/>
      <c r="T349" s="25"/>
      <c r="U349" s="25"/>
      <c r="V349" s="25"/>
      <c r="W349" s="24"/>
      <c r="X349" s="24"/>
      <c r="Y349" s="25"/>
      <c r="Z349" s="25" t="str">
        <f>IF(B349="","",IFERROR(INDEX(الزبائن!$AZ$6:$AZ$505,MATCH(B349,الزبائن!$A$6:$A$505,0)),"source key not found"))</f>
        <v/>
      </c>
      <c r="AA349" s="25" t="str">
        <f>IF(B349="","",IFERROR(INDEX(الزبائن!$BA$6:$BA$505,MATCH(B349,الزبائن!$A$6:$A$505,0)),"source key not found"))</f>
        <v/>
      </c>
      <c r="AB349" s="25" t="str">
        <f>IF(AND(A349="",C349="",D349="",H349="",K349="",L349=""),"",IF(C349="skip","SKIP",IF(OR(A349="",C349="",D349="",H349="",K349="",L349="",S349="",COUNTIF($A$6:$A$505,A349)&gt;1,AND(B349&lt;&gt;"",COUNTIF(الزبائن!$A$6:$A$505,B349)=0),(COUNTIFS('أرقام التواصل'!$A$6:$A$505,"proposed_name",'أرقام التواصل'!$B$6:$B$505,A349,'أرقام التواصل'!$I$6:$I$505,"TRUE")+COUNTIFS('أرقام التواصل'!$A$6:$A$505,"proposed_name",'أرقام التواصل'!$B$6:$B$505,A349,'أرقام التواصل'!$C$6:$C$505,1))=0,AND(U349="TRUE",V349="")),"REVIEW","READY")))</f>
        <v/>
      </c>
      <c r="AC349" s="27" t="str">
        <f>IF(AB349="","",IF(AB349="READY","",IF(AB349="SKIP","Skipped by candidate_import_action",TRIM(IF(A349="","missing proposed_name_key; ","")&amp;IF(AND(A349&lt;&gt;"",COUNTIF($A$6:$A$505,A349)&gt;1),"duplicate proposed_name_key; ","")&amp;IF(C349="","missing candidate_import_action; ","")&amp;IF(D349="","missing move_reason; ","")&amp;IF(H349="","missing branch_id; ","")&amp;IF(K349="","missing first_name; ","")&amp;IF(L349="","missing last_name; ","")&amp;IF(S349="","missing status; ","")&amp;IF(AND(B349&lt;&gt;"",COUNTIF(الزبائن!$A$6:$A$505,B349)=0),"source key not found; ","")&amp;IF((COUNTIFS('أرقام التواصل'!$A$6:$A$505,"proposed_name",'أرقام التواصل'!$B$6:$B$505,A349,'أرقام التواصل'!$I$6:$I$505,"TRUE")+COUNTIFS('أرقام التواصل'!$A$6:$A$505,"proposed_name",'أرقام التواصل'!$B$6:$B$505,A349,'أرقام التواصل'!$C$6:$C$505,1))=0,"missing primary contact in أرقام التواصل; ","")&amp;IF(AND(U349="TRUE",V349=""),"duplicate_type required when duplicate_flag TRUE; ","")))))</f>
        <v/>
      </c>
    </row>
    <row r="350" spans="1:29">
      <c r="A350" s="36"/>
      <c r="B350" s="24"/>
      <c r="C350" s="25"/>
      <c r="D350" s="25"/>
      <c r="E350" s="25"/>
      <c r="F350" s="24"/>
      <c r="G350" s="25"/>
      <c r="H350" s="25"/>
      <c r="I350" s="25"/>
      <c r="J350" s="25"/>
      <c r="K350" s="25"/>
      <c r="L350" s="25"/>
      <c r="M350" s="25"/>
      <c r="N350" s="25" t="str">
        <f t="shared" si="5"/>
        <v/>
      </c>
      <c r="O350" s="25"/>
      <c r="P350" s="25"/>
      <c r="Q350" s="25"/>
      <c r="R350" s="25"/>
      <c r="S350" s="25"/>
      <c r="T350" s="25"/>
      <c r="U350" s="25"/>
      <c r="V350" s="25"/>
      <c r="W350" s="24"/>
      <c r="X350" s="24"/>
      <c r="Y350" s="25"/>
      <c r="Z350" s="25" t="str">
        <f>IF(B350="","",IFERROR(INDEX(الزبائن!$AZ$6:$AZ$505,MATCH(B350,الزبائن!$A$6:$A$505,0)),"source key not found"))</f>
        <v/>
      </c>
      <c r="AA350" s="25" t="str">
        <f>IF(B350="","",IFERROR(INDEX(الزبائن!$BA$6:$BA$505,MATCH(B350,الزبائن!$A$6:$A$505,0)),"source key not found"))</f>
        <v/>
      </c>
      <c r="AB350" s="25" t="str">
        <f>IF(AND(A350="",C350="",D350="",H350="",K350="",L350=""),"",IF(C350="skip","SKIP",IF(OR(A350="",C350="",D350="",H350="",K350="",L350="",S350="",COUNTIF($A$6:$A$505,A350)&gt;1,AND(B350&lt;&gt;"",COUNTIF(الزبائن!$A$6:$A$505,B350)=0),(COUNTIFS('أرقام التواصل'!$A$6:$A$505,"proposed_name",'أرقام التواصل'!$B$6:$B$505,A350,'أرقام التواصل'!$I$6:$I$505,"TRUE")+COUNTIFS('أرقام التواصل'!$A$6:$A$505,"proposed_name",'أرقام التواصل'!$B$6:$B$505,A350,'أرقام التواصل'!$C$6:$C$505,1))=0,AND(U350="TRUE",V350="")),"REVIEW","READY")))</f>
        <v/>
      </c>
      <c r="AC350" s="27" t="str">
        <f>IF(AB350="","",IF(AB350="READY","",IF(AB350="SKIP","Skipped by candidate_import_action",TRIM(IF(A350="","missing proposed_name_key; ","")&amp;IF(AND(A350&lt;&gt;"",COUNTIF($A$6:$A$505,A350)&gt;1),"duplicate proposed_name_key; ","")&amp;IF(C350="","missing candidate_import_action; ","")&amp;IF(D350="","missing move_reason; ","")&amp;IF(H350="","missing branch_id; ","")&amp;IF(K350="","missing first_name; ","")&amp;IF(L350="","missing last_name; ","")&amp;IF(S350="","missing status; ","")&amp;IF(AND(B350&lt;&gt;"",COUNTIF(الزبائن!$A$6:$A$505,B350)=0),"source key not found; ","")&amp;IF((COUNTIFS('أرقام التواصل'!$A$6:$A$505,"proposed_name",'أرقام التواصل'!$B$6:$B$505,A350,'أرقام التواصل'!$I$6:$I$505,"TRUE")+COUNTIFS('أرقام التواصل'!$A$6:$A$505,"proposed_name",'أرقام التواصل'!$B$6:$B$505,A350,'أرقام التواصل'!$C$6:$C$505,1))=0,"missing primary contact in أرقام التواصل; ","")&amp;IF(AND(U350="TRUE",V350=""),"duplicate_type required when duplicate_flag TRUE; ","")))))</f>
        <v/>
      </c>
    </row>
    <row r="351" spans="1:29">
      <c r="A351" s="36"/>
      <c r="B351" s="24"/>
      <c r="C351" s="25"/>
      <c r="D351" s="25"/>
      <c r="E351" s="25"/>
      <c r="F351" s="24"/>
      <c r="G351" s="25"/>
      <c r="H351" s="25"/>
      <c r="I351" s="25"/>
      <c r="J351" s="25"/>
      <c r="K351" s="25"/>
      <c r="L351" s="25"/>
      <c r="M351" s="25"/>
      <c r="N351" s="25" t="str">
        <f t="shared" si="5"/>
        <v/>
      </c>
      <c r="O351" s="25"/>
      <c r="P351" s="25"/>
      <c r="Q351" s="25"/>
      <c r="R351" s="25"/>
      <c r="S351" s="25"/>
      <c r="T351" s="25"/>
      <c r="U351" s="25"/>
      <c r="V351" s="25"/>
      <c r="W351" s="24"/>
      <c r="X351" s="24"/>
      <c r="Y351" s="25"/>
      <c r="Z351" s="25" t="str">
        <f>IF(B351="","",IFERROR(INDEX(الزبائن!$AZ$6:$AZ$505,MATCH(B351,الزبائن!$A$6:$A$505,0)),"source key not found"))</f>
        <v/>
      </c>
      <c r="AA351" s="25" t="str">
        <f>IF(B351="","",IFERROR(INDEX(الزبائن!$BA$6:$BA$505,MATCH(B351,الزبائن!$A$6:$A$505,0)),"source key not found"))</f>
        <v/>
      </c>
      <c r="AB351" s="25" t="str">
        <f>IF(AND(A351="",C351="",D351="",H351="",K351="",L351=""),"",IF(C351="skip","SKIP",IF(OR(A351="",C351="",D351="",H351="",K351="",L351="",S351="",COUNTIF($A$6:$A$505,A351)&gt;1,AND(B351&lt;&gt;"",COUNTIF(الزبائن!$A$6:$A$505,B351)=0),(COUNTIFS('أرقام التواصل'!$A$6:$A$505,"proposed_name",'أرقام التواصل'!$B$6:$B$505,A351,'أرقام التواصل'!$I$6:$I$505,"TRUE")+COUNTIFS('أرقام التواصل'!$A$6:$A$505,"proposed_name",'أرقام التواصل'!$B$6:$B$505,A351,'أرقام التواصل'!$C$6:$C$505,1))=0,AND(U351="TRUE",V351="")),"REVIEW","READY")))</f>
        <v/>
      </c>
      <c r="AC351" s="27" t="str">
        <f>IF(AB351="","",IF(AB351="READY","",IF(AB351="SKIP","Skipped by candidate_import_action",TRIM(IF(A351="","missing proposed_name_key; ","")&amp;IF(AND(A351&lt;&gt;"",COUNTIF($A$6:$A$505,A351)&gt;1),"duplicate proposed_name_key; ","")&amp;IF(C351="","missing candidate_import_action; ","")&amp;IF(D351="","missing move_reason; ","")&amp;IF(H351="","missing branch_id; ","")&amp;IF(K351="","missing first_name; ","")&amp;IF(L351="","missing last_name; ","")&amp;IF(S351="","missing status; ","")&amp;IF(AND(B351&lt;&gt;"",COUNTIF(الزبائن!$A$6:$A$505,B351)=0),"source key not found; ","")&amp;IF((COUNTIFS('أرقام التواصل'!$A$6:$A$505,"proposed_name",'أرقام التواصل'!$B$6:$B$505,A351,'أرقام التواصل'!$I$6:$I$505,"TRUE")+COUNTIFS('أرقام التواصل'!$A$6:$A$505,"proposed_name",'أرقام التواصل'!$B$6:$B$505,A351,'أرقام التواصل'!$C$6:$C$505,1))=0,"missing primary contact in أرقام التواصل; ","")&amp;IF(AND(U351="TRUE",V351=""),"duplicate_type required when duplicate_flag TRUE; ","")))))</f>
        <v/>
      </c>
    </row>
    <row r="352" spans="1:29">
      <c r="A352" s="36"/>
      <c r="B352" s="24"/>
      <c r="C352" s="25"/>
      <c r="D352" s="25"/>
      <c r="E352" s="25"/>
      <c r="F352" s="24"/>
      <c r="G352" s="25"/>
      <c r="H352" s="25"/>
      <c r="I352" s="25"/>
      <c r="J352" s="25"/>
      <c r="K352" s="25"/>
      <c r="L352" s="25"/>
      <c r="M352" s="25"/>
      <c r="N352" s="25" t="str">
        <f t="shared" si="5"/>
        <v/>
      </c>
      <c r="O352" s="25"/>
      <c r="P352" s="25"/>
      <c r="Q352" s="25"/>
      <c r="R352" s="25"/>
      <c r="S352" s="25"/>
      <c r="T352" s="25"/>
      <c r="U352" s="25"/>
      <c r="V352" s="25"/>
      <c r="W352" s="24"/>
      <c r="X352" s="24"/>
      <c r="Y352" s="25"/>
      <c r="Z352" s="25" t="str">
        <f>IF(B352="","",IFERROR(INDEX(الزبائن!$AZ$6:$AZ$505,MATCH(B352,الزبائن!$A$6:$A$505,0)),"source key not found"))</f>
        <v/>
      </c>
      <c r="AA352" s="25" t="str">
        <f>IF(B352="","",IFERROR(INDEX(الزبائن!$BA$6:$BA$505,MATCH(B352,الزبائن!$A$6:$A$505,0)),"source key not found"))</f>
        <v/>
      </c>
      <c r="AB352" s="25" t="str">
        <f>IF(AND(A352="",C352="",D352="",H352="",K352="",L352=""),"",IF(C352="skip","SKIP",IF(OR(A352="",C352="",D352="",H352="",K352="",L352="",S352="",COUNTIF($A$6:$A$505,A352)&gt;1,AND(B352&lt;&gt;"",COUNTIF(الزبائن!$A$6:$A$505,B352)=0),(COUNTIFS('أرقام التواصل'!$A$6:$A$505,"proposed_name",'أرقام التواصل'!$B$6:$B$505,A352,'أرقام التواصل'!$I$6:$I$505,"TRUE")+COUNTIFS('أرقام التواصل'!$A$6:$A$505,"proposed_name",'أرقام التواصل'!$B$6:$B$505,A352,'أرقام التواصل'!$C$6:$C$505,1))=0,AND(U352="TRUE",V352="")),"REVIEW","READY")))</f>
        <v/>
      </c>
      <c r="AC352" s="27" t="str">
        <f>IF(AB352="","",IF(AB352="READY","",IF(AB352="SKIP","Skipped by candidate_import_action",TRIM(IF(A352="","missing proposed_name_key; ","")&amp;IF(AND(A352&lt;&gt;"",COUNTIF($A$6:$A$505,A352)&gt;1),"duplicate proposed_name_key; ","")&amp;IF(C352="","missing candidate_import_action; ","")&amp;IF(D352="","missing move_reason; ","")&amp;IF(H352="","missing branch_id; ","")&amp;IF(K352="","missing first_name; ","")&amp;IF(L352="","missing last_name; ","")&amp;IF(S352="","missing status; ","")&amp;IF(AND(B352&lt;&gt;"",COUNTIF(الزبائن!$A$6:$A$505,B352)=0),"source key not found; ","")&amp;IF((COUNTIFS('أرقام التواصل'!$A$6:$A$505,"proposed_name",'أرقام التواصل'!$B$6:$B$505,A352,'أرقام التواصل'!$I$6:$I$505,"TRUE")+COUNTIFS('أرقام التواصل'!$A$6:$A$505,"proposed_name",'أرقام التواصل'!$B$6:$B$505,A352,'أرقام التواصل'!$C$6:$C$505,1))=0,"missing primary contact in أرقام التواصل; ","")&amp;IF(AND(U352="TRUE",V352=""),"duplicate_type required when duplicate_flag TRUE; ","")))))</f>
        <v/>
      </c>
    </row>
    <row r="353" spans="1:29">
      <c r="A353" s="36"/>
      <c r="B353" s="24"/>
      <c r="C353" s="25"/>
      <c r="D353" s="25"/>
      <c r="E353" s="25"/>
      <c r="F353" s="24"/>
      <c r="G353" s="25"/>
      <c r="H353" s="25"/>
      <c r="I353" s="25"/>
      <c r="J353" s="25"/>
      <c r="K353" s="25"/>
      <c r="L353" s="25"/>
      <c r="M353" s="25"/>
      <c r="N353" s="25" t="str">
        <f t="shared" si="5"/>
        <v/>
      </c>
      <c r="O353" s="25"/>
      <c r="P353" s="25"/>
      <c r="Q353" s="25"/>
      <c r="R353" s="25"/>
      <c r="S353" s="25"/>
      <c r="T353" s="25"/>
      <c r="U353" s="25"/>
      <c r="V353" s="25"/>
      <c r="W353" s="24"/>
      <c r="X353" s="24"/>
      <c r="Y353" s="25"/>
      <c r="Z353" s="25" t="str">
        <f>IF(B353="","",IFERROR(INDEX(الزبائن!$AZ$6:$AZ$505,MATCH(B353,الزبائن!$A$6:$A$505,0)),"source key not found"))</f>
        <v/>
      </c>
      <c r="AA353" s="25" t="str">
        <f>IF(B353="","",IFERROR(INDEX(الزبائن!$BA$6:$BA$505,MATCH(B353,الزبائن!$A$6:$A$505,0)),"source key not found"))</f>
        <v/>
      </c>
      <c r="AB353" s="25" t="str">
        <f>IF(AND(A353="",C353="",D353="",H353="",K353="",L353=""),"",IF(C353="skip","SKIP",IF(OR(A353="",C353="",D353="",H353="",K353="",L353="",S353="",COUNTIF($A$6:$A$505,A353)&gt;1,AND(B353&lt;&gt;"",COUNTIF(الزبائن!$A$6:$A$505,B353)=0),(COUNTIFS('أرقام التواصل'!$A$6:$A$505,"proposed_name",'أرقام التواصل'!$B$6:$B$505,A353,'أرقام التواصل'!$I$6:$I$505,"TRUE")+COUNTIFS('أرقام التواصل'!$A$6:$A$505,"proposed_name",'أرقام التواصل'!$B$6:$B$505,A353,'أرقام التواصل'!$C$6:$C$505,1))=0,AND(U353="TRUE",V353="")),"REVIEW","READY")))</f>
        <v/>
      </c>
      <c r="AC353" s="27" t="str">
        <f>IF(AB353="","",IF(AB353="READY","",IF(AB353="SKIP","Skipped by candidate_import_action",TRIM(IF(A353="","missing proposed_name_key; ","")&amp;IF(AND(A353&lt;&gt;"",COUNTIF($A$6:$A$505,A353)&gt;1),"duplicate proposed_name_key; ","")&amp;IF(C353="","missing candidate_import_action; ","")&amp;IF(D353="","missing move_reason; ","")&amp;IF(H353="","missing branch_id; ","")&amp;IF(K353="","missing first_name; ","")&amp;IF(L353="","missing last_name; ","")&amp;IF(S353="","missing status; ","")&amp;IF(AND(B353&lt;&gt;"",COUNTIF(الزبائن!$A$6:$A$505,B353)=0),"source key not found; ","")&amp;IF((COUNTIFS('أرقام التواصل'!$A$6:$A$505,"proposed_name",'أرقام التواصل'!$B$6:$B$505,A353,'أرقام التواصل'!$I$6:$I$505,"TRUE")+COUNTIFS('أرقام التواصل'!$A$6:$A$505,"proposed_name",'أرقام التواصل'!$B$6:$B$505,A353,'أرقام التواصل'!$C$6:$C$505,1))=0,"missing primary contact in أرقام التواصل; ","")&amp;IF(AND(U353="TRUE",V353=""),"duplicate_type required when duplicate_flag TRUE; ","")))))</f>
        <v/>
      </c>
    </row>
    <row r="354" spans="1:29">
      <c r="A354" s="36"/>
      <c r="B354" s="24"/>
      <c r="C354" s="25"/>
      <c r="D354" s="25"/>
      <c r="E354" s="25"/>
      <c r="F354" s="24"/>
      <c r="G354" s="25"/>
      <c r="H354" s="25"/>
      <c r="I354" s="25"/>
      <c r="J354" s="25"/>
      <c r="K354" s="25"/>
      <c r="L354" s="25"/>
      <c r="M354" s="25"/>
      <c r="N354" s="25" t="str">
        <f t="shared" si="5"/>
        <v/>
      </c>
      <c r="O354" s="25"/>
      <c r="P354" s="25"/>
      <c r="Q354" s="25"/>
      <c r="R354" s="25"/>
      <c r="S354" s="25"/>
      <c r="T354" s="25"/>
      <c r="U354" s="25"/>
      <c r="V354" s="25"/>
      <c r="W354" s="24"/>
      <c r="X354" s="24"/>
      <c r="Y354" s="25"/>
      <c r="Z354" s="25" t="str">
        <f>IF(B354="","",IFERROR(INDEX(الزبائن!$AZ$6:$AZ$505,MATCH(B354,الزبائن!$A$6:$A$505,0)),"source key not found"))</f>
        <v/>
      </c>
      <c r="AA354" s="25" t="str">
        <f>IF(B354="","",IFERROR(INDEX(الزبائن!$BA$6:$BA$505,MATCH(B354,الزبائن!$A$6:$A$505,0)),"source key not found"))</f>
        <v/>
      </c>
      <c r="AB354" s="25" t="str">
        <f>IF(AND(A354="",C354="",D354="",H354="",K354="",L354=""),"",IF(C354="skip","SKIP",IF(OR(A354="",C354="",D354="",H354="",K354="",L354="",S354="",COUNTIF($A$6:$A$505,A354)&gt;1,AND(B354&lt;&gt;"",COUNTIF(الزبائن!$A$6:$A$505,B354)=0),(COUNTIFS('أرقام التواصل'!$A$6:$A$505,"proposed_name",'أرقام التواصل'!$B$6:$B$505,A354,'أرقام التواصل'!$I$6:$I$505,"TRUE")+COUNTIFS('أرقام التواصل'!$A$6:$A$505,"proposed_name",'أرقام التواصل'!$B$6:$B$505,A354,'أرقام التواصل'!$C$6:$C$505,1))=0,AND(U354="TRUE",V354="")),"REVIEW","READY")))</f>
        <v/>
      </c>
      <c r="AC354" s="27" t="str">
        <f>IF(AB354="","",IF(AB354="READY","",IF(AB354="SKIP","Skipped by candidate_import_action",TRIM(IF(A354="","missing proposed_name_key; ","")&amp;IF(AND(A354&lt;&gt;"",COUNTIF($A$6:$A$505,A354)&gt;1),"duplicate proposed_name_key; ","")&amp;IF(C354="","missing candidate_import_action; ","")&amp;IF(D354="","missing move_reason; ","")&amp;IF(H354="","missing branch_id; ","")&amp;IF(K354="","missing first_name; ","")&amp;IF(L354="","missing last_name; ","")&amp;IF(S354="","missing status; ","")&amp;IF(AND(B354&lt;&gt;"",COUNTIF(الزبائن!$A$6:$A$505,B354)=0),"source key not found; ","")&amp;IF((COUNTIFS('أرقام التواصل'!$A$6:$A$505,"proposed_name",'أرقام التواصل'!$B$6:$B$505,A354,'أرقام التواصل'!$I$6:$I$505,"TRUE")+COUNTIFS('أرقام التواصل'!$A$6:$A$505,"proposed_name",'أرقام التواصل'!$B$6:$B$505,A354,'أرقام التواصل'!$C$6:$C$505,1))=0,"missing primary contact in أرقام التواصل; ","")&amp;IF(AND(U354="TRUE",V354=""),"duplicate_type required when duplicate_flag TRUE; ","")))))</f>
        <v/>
      </c>
    </row>
    <row r="355" spans="1:29">
      <c r="A355" s="36"/>
      <c r="B355" s="24"/>
      <c r="C355" s="25"/>
      <c r="D355" s="25"/>
      <c r="E355" s="25"/>
      <c r="F355" s="24"/>
      <c r="G355" s="25"/>
      <c r="H355" s="25"/>
      <c r="I355" s="25"/>
      <c r="J355" s="25"/>
      <c r="K355" s="25"/>
      <c r="L355" s="25"/>
      <c r="M355" s="25"/>
      <c r="N355" s="25" t="str">
        <f t="shared" si="5"/>
        <v/>
      </c>
      <c r="O355" s="25"/>
      <c r="P355" s="25"/>
      <c r="Q355" s="25"/>
      <c r="R355" s="25"/>
      <c r="S355" s="25"/>
      <c r="T355" s="25"/>
      <c r="U355" s="25"/>
      <c r="V355" s="25"/>
      <c r="W355" s="24"/>
      <c r="X355" s="24"/>
      <c r="Y355" s="25"/>
      <c r="Z355" s="25" t="str">
        <f>IF(B355="","",IFERROR(INDEX(الزبائن!$AZ$6:$AZ$505,MATCH(B355,الزبائن!$A$6:$A$505,0)),"source key not found"))</f>
        <v/>
      </c>
      <c r="AA355" s="25" t="str">
        <f>IF(B355="","",IFERROR(INDEX(الزبائن!$BA$6:$BA$505,MATCH(B355,الزبائن!$A$6:$A$505,0)),"source key not found"))</f>
        <v/>
      </c>
      <c r="AB355" s="25" t="str">
        <f>IF(AND(A355="",C355="",D355="",H355="",K355="",L355=""),"",IF(C355="skip","SKIP",IF(OR(A355="",C355="",D355="",H355="",K355="",L355="",S355="",COUNTIF($A$6:$A$505,A355)&gt;1,AND(B355&lt;&gt;"",COUNTIF(الزبائن!$A$6:$A$505,B355)=0),(COUNTIFS('أرقام التواصل'!$A$6:$A$505,"proposed_name",'أرقام التواصل'!$B$6:$B$505,A355,'أرقام التواصل'!$I$6:$I$505,"TRUE")+COUNTIFS('أرقام التواصل'!$A$6:$A$505,"proposed_name",'أرقام التواصل'!$B$6:$B$505,A355,'أرقام التواصل'!$C$6:$C$505,1))=0,AND(U355="TRUE",V355="")),"REVIEW","READY")))</f>
        <v/>
      </c>
      <c r="AC355" s="27" t="str">
        <f>IF(AB355="","",IF(AB355="READY","",IF(AB355="SKIP","Skipped by candidate_import_action",TRIM(IF(A355="","missing proposed_name_key; ","")&amp;IF(AND(A355&lt;&gt;"",COUNTIF($A$6:$A$505,A355)&gt;1),"duplicate proposed_name_key; ","")&amp;IF(C355="","missing candidate_import_action; ","")&amp;IF(D355="","missing move_reason; ","")&amp;IF(H355="","missing branch_id; ","")&amp;IF(K355="","missing first_name; ","")&amp;IF(L355="","missing last_name; ","")&amp;IF(S355="","missing status; ","")&amp;IF(AND(B355&lt;&gt;"",COUNTIF(الزبائن!$A$6:$A$505,B355)=0),"source key not found; ","")&amp;IF((COUNTIFS('أرقام التواصل'!$A$6:$A$505,"proposed_name",'أرقام التواصل'!$B$6:$B$505,A355,'أرقام التواصل'!$I$6:$I$505,"TRUE")+COUNTIFS('أرقام التواصل'!$A$6:$A$505,"proposed_name",'أرقام التواصل'!$B$6:$B$505,A355,'أرقام التواصل'!$C$6:$C$505,1))=0,"missing primary contact in أرقام التواصل; ","")&amp;IF(AND(U355="TRUE",V355=""),"duplicate_type required when duplicate_flag TRUE; ","")))))</f>
        <v/>
      </c>
    </row>
    <row r="356" spans="1:29">
      <c r="A356" s="36"/>
      <c r="B356" s="24"/>
      <c r="C356" s="25"/>
      <c r="D356" s="25"/>
      <c r="E356" s="25"/>
      <c r="F356" s="24"/>
      <c r="G356" s="25"/>
      <c r="H356" s="25"/>
      <c r="I356" s="25"/>
      <c r="J356" s="25"/>
      <c r="K356" s="25"/>
      <c r="L356" s="25"/>
      <c r="M356" s="25"/>
      <c r="N356" s="25" t="str">
        <f t="shared" si="5"/>
        <v/>
      </c>
      <c r="O356" s="25"/>
      <c r="P356" s="25"/>
      <c r="Q356" s="25"/>
      <c r="R356" s="25"/>
      <c r="S356" s="25"/>
      <c r="T356" s="25"/>
      <c r="U356" s="25"/>
      <c r="V356" s="25"/>
      <c r="W356" s="24"/>
      <c r="X356" s="24"/>
      <c r="Y356" s="25"/>
      <c r="Z356" s="25" t="str">
        <f>IF(B356="","",IFERROR(INDEX(الزبائن!$AZ$6:$AZ$505,MATCH(B356,الزبائن!$A$6:$A$505,0)),"source key not found"))</f>
        <v/>
      </c>
      <c r="AA356" s="25" t="str">
        <f>IF(B356="","",IFERROR(INDEX(الزبائن!$BA$6:$BA$505,MATCH(B356,الزبائن!$A$6:$A$505,0)),"source key not found"))</f>
        <v/>
      </c>
      <c r="AB356" s="25" t="str">
        <f>IF(AND(A356="",C356="",D356="",H356="",K356="",L356=""),"",IF(C356="skip","SKIP",IF(OR(A356="",C356="",D356="",H356="",K356="",L356="",S356="",COUNTIF($A$6:$A$505,A356)&gt;1,AND(B356&lt;&gt;"",COUNTIF(الزبائن!$A$6:$A$505,B356)=0),(COUNTIFS('أرقام التواصل'!$A$6:$A$505,"proposed_name",'أرقام التواصل'!$B$6:$B$505,A356,'أرقام التواصل'!$I$6:$I$505,"TRUE")+COUNTIFS('أرقام التواصل'!$A$6:$A$505,"proposed_name",'أرقام التواصل'!$B$6:$B$505,A356,'أرقام التواصل'!$C$6:$C$505,1))=0,AND(U356="TRUE",V356="")),"REVIEW","READY")))</f>
        <v/>
      </c>
      <c r="AC356" s="27" t="str">
        <f>IF(AB356="","",IF(AB356="READY","",IF(AB356="SKIP","Skipped by candidate_import_action",TRIM(IF(A356="","missing proposed_name_key; ","")&amp;IF(AND(A356&lt;&gt;"",COUNTIF($A$6:$A$505,A356)&gt;1),"duplicate proposed_name_key; ","")&amp;IF(C356="","missing candidate_import_action; ","")&amp;IF(D356="","missing move_reason; ","")&amp;IF(H356="","missing branch_id; ","")&amp;IF(K356="","missing first_name; ","")&amp;IF(L356="","missing last_name; ","")&amp;IF(S356="","missing status; ","")&amp;IF(AND(B356&lt;&gt;"",COUNTIF(الزبائن!$A$6:$A$505,B356)=0),"source key not found; ","")&amp;IF((COUNTIFS('أرقام التواصل'!$A$6:$A$505,"proposed_name",'أرقام التواصل'!$B$6:$B$505,A356,'أرقام التواصل'!$I$6:$I$505,"TRUE")+COUNTIFS('أرقام التواصل'!$A$6:$A$505,"proposed_name",'أرقام التواصل'!$B$6:$B$505,A356,'أرقام التواصل'!$C$6:$C$505,1))=0,"missing primary contact in أرقام التواصل; ","")&amp;IF(AND(U356="TRUE",V356=""),"duplicate_type required when duplicate_flag TRUE; ","")))))</f>
        <v/>
      </c>
    </row>
    <row r="357" spans="1:29">
      <c r="A357" s="36"/>
      <c r="B357" s="24"/>
      <c r="C357" s="25"/>
      <c r="D357" s="25"/>
      <c r="E357" s="25"/>
      <c r="F357" s="24"/>
      <c r="G357" s="25"/>
      <c r="H357" s="25"/>
      <c r="I357" s="25"/>
      <c r="J357" s="25"/>
      <c r="K357" s="25"/>
      <c r="L357" s="25"/>
      <c r="M357" s="25"/>
      <c r="N357" s="25" t="str">
        <f t="shared" si="5"/>
        <v/>
      </c>
      <c r="O357" s="25"/>
      <c r="P357" s="25"/>
      <c r="Q357" s="25"/>
      <c r="R357" s="25"/>
      <c r="S357" s="25"/>
      <c r="T357" s="25"/>
      <c r="U357" s="25"/>
      <c r="V357" s="25"/>
      <c r="W357" s="24"/>
      <c r="X357" s="24"/>
      <c r="Y357" s="25"/>
      <c r="Z357" s="25" t="str">
        <f>IF(B357="","",IFERROR(INDEX(الزبائن!$AZ$6:$AZ$505,MATCH(B357,الزبائن!$A$6:$A$505,0)),"source key not found"))</f>
        <v/>
      </c>
      <c r="AA357" s="25" t="str">
        <f>IF(B357="","",IFERROR(INDEX(الزبائن!$BA$6:$BA$505,MATCH(B357,الزبائن!$A$6:$A$505,0)),"source key not found"))</f>
        <v/>
      </c>
      <c r="AB357" s="25" t="str">
        <f>IF(AND(A357="",C357="",D357="",H357="",K357="",L357=""),"",IF(C357="skip","SKIP",IF(OR(A357="",C357="",D357="",H357="",K357="",L357="",S357="",COUNTIF($A$6:$A$505,A357)&gt;1,AND(B357&lt;&gt;"",COUNTIF(الزبائن!$A$6:$A$505,B357)=0),(COUNTIFS('أرقام التواصل'!$A$6:$A$505,"proposed_name",'أرقام التواصل'!$B$6:$B$505,A357,'أرقام التواصل'!$I$6:$I$505,"TRUE")+COUNTIFS('أرقام التواصل'!$A$6:$A$505,"proposed_name",'أرقام التواصل'!$B$6:$B$505,A357,'أرقام التواصل'!$C$6:$C$505,1))=0,AND(U357="TRUE",V357="")),"REVIEW","READY")))</f>
        <v/>
      </c>
      <c r="AC357" s="27" t="str">
        <f>IF(AB357="","",IF(AB357="READY","",IF(AB357="SKIP","Skipped by candidate_import_action",TRIM(IF(A357="","missing proposed_name_key; ","")&amp;IF(AND(A357&lt;&gt;"",COUNTIF($A$6:$A$505,A357)&gt;1),"duplicate proposed_name_key; ","")&amp;IF(C357="","missing candidate_import_action; ","")&amp;IF(D357="","missing move_reason; ","")&amp;IF(H357="","missing branch_id; ","")&amp;IF(K357="","missing first_name; ","")&amp;IF(L357="","missing last_name; ","")&amp;IF(S357="","missing status; ","")&amp;IF(AND(B357&lt;&gt;"",COUNTIF(الزبائن!$A$6:$A$505,B357)=0),"source key not found; ","")&amp;IF((COUNTIFS('أرقام التواصل'!$A$6:$A$505,"proposed_name",'أرقام التواصل'!$B$6:$B$505,A357,'أرقام التواصل'!$I$6:$I$505,"TRUE")+COUNTIFS('أرقام التواصل'!$A$6:$A$505,"proposed_name",'أرقام التواصل'!$B$6:$B$505,A357,'أرقام التواصل'!$C$6:$C$505,1))=0,"missing primary contact in أرقام التواصل; ","")&amp;IF(AND(U357="TRUE",V357=""),"duplicate_type required when duplicate_flag TRUE; ","")))))</f>
        <v/>
      </c>
    </row>
    <row r="358" spans="1:29">
      <c r="A358" s="36"/>
      <c r="B358" s="24"/>
      <c r="C358" s="25"/>
      <c r="D358" s="25"/>
      <c r="E358" s="25"/>
      <c r="F358" s="24"/>
      <c r="G358" s="25"/>
      <c r="H358" s="25"/>
      <c r="I358" s="25"/>
      <c r="J358" s="25"/>
      <c r="K358" s="25"/>
      <c r="L358" s="25"/>
      <c r="M358" s="25"/>
      <c r="N358" s="25" t="str">
        <f t="shared" si="5"/>
        <v/>
      </c>
      <c r="O358" s="25"/>
      <c r="P358" s="25"/>
      <c r="Q358" s="25"/>
      <c r="R358" s="25"/>
      <c r="S358" s="25"/>
      <c r="T358" s="25"/>
      <c r="U358" s="25"/>
      <c r="V358" s="25"/>
      <c r="W358" s="24"/>
      <c r="X358" s="24"/>
      <c r="Y358" s="25"/>
      <c r="Z358" s="25" t="str">
        <f>IF(B358="","",IFERROR(INDEX(الزبائن!$AZ$6:$AZ$505,MATCH(B358,الزبائن!$A$6:$A$505,0)),"source key not found"))</f>
        <v/>
      </c>
      <c r="AA358" s="25" t="str">
        <f>IF(B358="","",IFERROR(INDEX(الزبائن!$BA$6:$BA$505,MATCH(B358,الزبائن!$A$6:$A$505,0)),"source key not found"))</f>
        <v/>
      </c>
      <c r="AB358" s="25" t="str">
        <f>IF(AND(A358="",C358="",D358="",H358="",K358="",L358=""),"",IF(C358="skip","SKIP",IF(OR(A358="",C358="",D358="",H358="",K358="",L358="",S358="",COUNTIF($A$6:$A$505,A358)&gt;1,AND(B358&lt;&gt;"",COUNTIF(الزبائن!$A$6:$A$505,B358)=0),(COUNTIFS('أرقام التواصل'!$A$6:$A$505,"proposed_name",'أرقام التواصل'!$B$6:$B$505,A358,'أرقام التواصل'!$I$6:$I$505,"TRUE")+COUNTIFS('أرقام التواصل'!$A$6:$A$505,"proposed_name",'أرقام التواصل'!$B$6:$B$505,A358,'أرقام التواصل'!$C$6:$C$505,1))=0,AND(U358="TRUE",V358="")),"REVIEW","READY")))</f>
        <v/>
      </c>
      <c r="AC358" s="27" t="str">
        <f>IF(AB358="","",IF(AB358="READY","",IF(AB358="SKIP","Skipped by candidate_import_action",TRIM(IF(A358="","missing proposed_name_key; ","")&amp;IF(AND(A358&lt;&gt;"",COUNTIF($A$6:$A$505,A358)&gt;1),"duplicate proposed_name_key; ","")&amp;IF(C358="","missing candidate_import_action; ","")&amp;IF(D358="","missing move_reason; ","")&amp;IF(H358="","missing branch_id; ","")&amp;IF(K358="","missing first_name; ","")&amp;IF(L358="","missing last_name; ","")&amp;IF(S358="","missing status; ","")&amp;IF(AND(B358&lt;&gt;"",COUNTIF(الزبائن!$A$6:$A$505,B358)=0),"source key not found; ","")&amp;IF((COUNTIFS('أرقام التواصل'!$A$6:$A$505,"proposed_name",'أرقام التواصل'!$B$6:$B$505,A358,'أرقام التواصل'!$I$6:$I$505,"TRUE")+COUNTIFS('أرقام التواصل'!$A$6:$A$505,"proposed_name",'أرقام التواصل'!$B$6:$B$505,A358,'أرقام التواصل'!$C$6:$C$505,1))=0,"missing primary contact in أرقام التواصل; ","")&amp;IF(AND(U358="TRUE",V358=""),"duplicate_type required when duplicate_flag TRUE; ","")))))</f>
        <v/>
      </c>
    </row>
    <row r="359" spans="1:29">
      <c r="A359" s="36"/>
      <c r="B359" s="24"/>
      <c r="C359" s="25"/>
      <c r="D359" s="25"/>
      <c r="E359" s="25"/>
      <c r="F359" s="24"/>
      <c r="G359" s="25"/>
      <c r="H359" s="25"/>
      <c r="I359" s="25"/>
      <c r="J359" s="25"/>
      <c r="K359" s="25"/>
      <c r="L359" s="25"/>
      <c r="M359" s="25"/>
      <c r="N359" s="25" t="str">
        <f t="shared" si="5"/>
        <v/>
      </c>
      <c r="O359" s="25"/>
      <c r="P359" s="25"/>
      <c r="Q359" s="25"/>
      <c r="R359" s="25"/>
      <c r="S359" s="25"/>
      <c r="T359" s="25"/>
      <c r="U359" s="25"/>
      <c r="V359" s="25"/>
      <c r="W359" s="24"/>
      <c r="X359" s="24"/>
      <c r="Y359" s="25"/>
      <c r="Z359" s="25" t="str">
        <f>IF(B359="","",IFERROR(INDEX(الزبائن!$AZ$6:$AZ$505,MATCH(B359,الزبائن!$A$6:$A$505,0)),"source key not found"))</f>
        <v/>
      </c>
      <c r="AA359" s="25" t="str">
        <f>IF(B359="","",IFERROR(INDEX(الزبائن!$BA$6:$BA$505,MATCH(B359,الزبائن!$A$6:$A$505,0)),"source key not found"))</f>
        <v/>
      </c>
      <c r="AB359" s="25" t="str">
        <f>IF(AND(A359="",C359="",D359="",H359="",K359="",L359=""),"",IF(C359="skip","SKIP",IF(OR(A359="",C359="",D359="",H359="",K359="",L359="",S359="",COUNTIF($A$6:$A$505,A359)&gt;1,AND(B359&lt;&gt;"",COUNTIF(الزبائن!$A$6:$A$505,B359)=0),(COUNTIFS('أرقام التواصل'!$A$6:$A$505,"proposed_name",'أرقام التواصل'!$B$6:$B$505,A359,'أرقام التواصل'!$I$6:$I$505,"TRUE")+COUNTIFS('أرقام التواصل'!$A$6:$A$505,"proposed_name",'أرقام التواصل'!$B$6:$B$505,A359,'أرقام التواصل'!$C$6:$C$505,1))=0,AND(U359="TRUE",V359="")),"REVIEW","READY")))</f>
        <v/>
      </c>
      <c r="AC359" s="27" t="str">
        <f>IF(AB359="","",IF(AB359="READY","",IF(AB359="SKIP","Skipped by candidate_import_action",TRIM(IF(A359="","missing proposed_name_key; ","")&amp;IF(AND(A359&lt;&gt;"",COUNTIF($A$6:$A$505,A359)&gt;1),"duplicate proposed_name_key; ","")&amp;IF(C359="","missing candidate_import_action; ","")&amp;IF(D359="","missing move_reason; ","")&amp;IF(H359="","missing branch_id; ","")&amp;IF(K359="","missing first_name; ","")&amp;IF(L359="","missing last_name; ","")&amp;IF(S359="","missing status; ","")&amp;IF(AND(B359&lt;&gt;"",COUNTIF(الزبائن!$A$6:$A$505,B359)=0),"source key not found; ","")&amp;IF((COUNTIFS('أرقام التواصل'!$A$6:$A$505,"proposed_name",'أرقام التواصل'!$B$6:$B$505,A359,'أرقام التواصل'!$I$6:$I$505,"TRUE")+COUNTIFS('أرقام التواصل'!$A$6:$A$505,"proposed_name",'أرقام التواصل'!$B$6:$B$505,A359,'أرقام التواصل'!$C$6:$C$505,1))=0,"missing primary contact in أرقام التواصل; ","")&amp;IF(AND(U359="TRUE",V359=""),"duplicate_type required when duplicate_flag TRUE; ","")))))</f>
        <v/>
      </c>
    </row>
    <row r="360" spans="1:29">
      <c r="A360" s="36"/>
      <c r="B360" s="24"/>
      <c r="C360" s="25"/>
      <c r="D360" s="25"/>
      <c r="E360" s="25"/>
      <c r="F360" s="24"/>
      <c r="G360" s="25"/>
      <c r="H360" s="25"/>
      <c r="I360" s="25"/>
      <c r="J360" s="25"/>
      <c r="K360" s="25"/>
      <c r="L360" s="25"/>
      <c r="M360" s="25"/>
      <c r="N360" s="25" t="str">
        <f t="shared" si="5"/>
        <v/>
      </c>
      <c r="O360" s="25"/>
      <c r="P360" s="25"/>
      <c r="Q360" s="25"/>
      <c r="R360" s="25"/>
      <c r="S360" s="25"/>
      <c r="T360" s="25"/>
      <c r="U360" s="25"/>
      <c r="V360" s="25"/>
      <c r="W360" s="24"/>
      <c r="X360" s="24"/>
      <c r="Y360" s="25"/>
      <c r="Z360" s="25" t="str">
        <f>IF(B360="","",IFERROR(INDEX(الزبائن!$AZ$6:$AZ$505,MATCH(B360,الزبائن!$A$6:$A$505,0)),"source key not found"))</f>
        <v/>
      </c>
      <c r="AA360" s="25" t="str">
        <f>IF(B360="","",IFERROR(INDEX(الزبائن!$BA$6:$BA$505,MATCH(B360,الزبائن!$A$6:$A$505,0)),"source key not found"))</f>
        <v/>
      </c>
      <c r="AB360" s="25" t="str">
        <f>IF(AND(A360="",C360="",D360="",H360="",K360="",L360=""),"",IF(C360="skip","SKIP",IF(OR(A360="",C360="",D360="",H360="",K360="",L360="",S360="",COUNTIF($A$6:$A$505,A360)&gt;1,AND(B360&lt;&gt;"",COUNTIF(الزبائن!$A$6:$A$505,B360)=0),(COUNTIFS('أرقام التواصل'!$A$6:$A$505,"proposed_name",'أرقام التواصل'!$B$6:$B$505,A360,'أرقام التواصل'!$I$6:$I$505,"TRUE")+COUNTIFS('أرقام التواصل'!$A$6:$A$505,"proposed_name",'أرقام التواصل'!$B$6:$B$505,A360,'أرقام التواصل'!$C$6:$C$505,1))=0,AND(U360="TRUE",V360="")),"REVIEW","READY")))</f>
        <v/>
      </c>
      <c r="AC360" s="27" t="str">
        <f>IF(AB360="","",IF(AB360="READY","",IF(AB360="SKIP","Skipped by candidate_import_action",TRIM(IF(A360="","missing proposed_name_key; ","")&amp;IF(AND(A360&lt;&gt;"",COUNTIF($A$6:$A$505,A360)&gt;1),"duplicate proposed_name_key; ","")&amp;IF(C360="","missing candidate_import_action; ","")&amp;IF(D360="","missing move_reason; ","")&amp;IF(H360="","missing branch_id; ","")&amp;IF(K360="","missing first_name; ","")&amp;IF(L360="","missing last_name; ","")&amp;IF(S360="","missing status; ","")&amp;IF(AND(B360&lt;&gt;"",COUNTIF(الزبائن!$A$6:$A$505,B360)=0),"source key not found; ","")&amp;IF((COUNTIFS('أرقام التواصل'!$A$6:$A$505,"proposed_name",'أرقام التواصل'!$B$6:$B$505,A360,'أرقام التواصل'!$I$6:$I$505,"TRUE")+COUNTIFS('أرقام التواصل'!$A$6:$A$505,"proposed_name",'أرقام التواصل'!$B$6:$B$505,A360,'أرقام التواصل'!$C$6:$C$505,1))=0,"missing primary contact in أرقام التواصل; ","")&amp;IF(AND(U360="TRUE",V360=""),"duplicate_type required when duplicate_flag TRUE; ","")))))</f>
        <v/>
      </c>
    </row>
    <row r="361" spans="1:29">
      <c r="A361" s="36"/>
      <c r="B361" s="24"/>
      <c r="C361" s="25"/>
      <c r="D361" s="25"/>
      <c r="E361" s="25"/>
      <c r="F361" s="24"/>
      <c r="G361" s="25"/>
      <c r="H361" s="25"/>
      <c r="I361" s="25"/>
      <c r="J361" s="25"/>
      <c r="K361" s="25"/>
      <c r="L361" s="25"/>
      <c r="M361" s="25"/>
      <c r="N361" s="25" t="str">
        <f t="shared" si="5"/>
        <v/>
      </c>
      <c r="O361" s="25"/>
      <c r="P361" s="25"/>
      <c r="Q361" s="25"/>
      <c r="R361" s="25"/>
      <c r="S361" s="25"/>
      <c r="T361" s="25"/>
      <c r="U361" s="25"/>
      <c r="V361" s="25"/>
      <c r="W361" s="24"/>
      <c r="X361" s="24"/>
      <c r="Y361" s="25"/>
      <c r="Z361" s="25" t="str">
        <f>IF(B361="","",IFERROR(INDEX(الزبائن!$AZ$6:$AZ$505,MATCH(B361,الزبائن!$A$6:$A$505,0)),"source key not found"))</f>
        <v/>
      </c>
      <c r="AA361" s="25" t="str">
        <f>IF(B361="","",IFERROR(INDEX(الزبائن!$BA$6:$BA$505,MATCH(B361,الزبائن!$A$6:$A$505,0)),"source key not found"))</f>
        <v/>
      </c>
      <c r="AB361" s="25" t="str">
        <f>IF(AND(A361="",C361="",D361="",H361="",K361="",L361=""),"",IF(C361="skip","SKIP",IF(OR(A361="",C361="",D361="",H361="",K361="",L361="",S361="",COUNTIF($A$6:$A$505,A361)&gt;1,AND(B361&lt;&gt;"",COUNTIF(الزبائن!$A$6:$A$505,B361)=0),(COUNTIFS('أرقام التواصل'!$A$6:$A$505,"proposed_name",'أرقام التواصل'!$B$6:$B$505,A361,'أرقام التواصل'!$I$6:$I$505,"TRUE")+COUNTIFS('أرقام التواصل'!$A$6:$A$505,"proposed_name",'أرقام التواصل'!$B$6:$B$505,A361,'أرقام التواصل'!$C$6:$C$505,1))=0,AND(U361="TRUE",V361="")),"REVIEW","READY")))</f>
        <v/>
      </c>
      <c r="AC361" s="27" t="str">
        <f>IF(AB361="","",IF(AB361="READY","",IF(AB361="SKIP","Skipped by candidate_import_action",TRIM(IF(A361="","missing proposed_name_key; ","")&amp;IF(AND(A361&lt;&gt;"",COUNTIF($A$6:$A$505,A361)&gt;1),"duplicate proposed_name_key; ","")&amp;IF(C361="","missing candidate_import_action; ","")&amp;IF(D361="","missing move_reason; ","")&amp;IF(H361="","missing branch_id; ","")&amp;IF(K361="","missing first_name; ","")&amp;IF(L361="","missing last_name; ","")&amp;IF(S361="","missing status; ","")&amp;IF(AND(B361&lt;&gt;"",COUNTIF(الزبائن!$A$6:$A$505,B361)=0),"source key not found; ","")&amp;IF((COUNTIFS('أرقام التواصل'!$A$6:$A$505,"proposed_name",'أرقام التواصل'!$B$6:$B$505,A361,'أرقام التواصل'!$I$6:$I$505,"TRUE")+COUNTIFS('أرقام التواصل'!$A$6:$A$505,"proposed_name",'أرقام التواصل'!$B$6:$B$505,A361,'أرقام التواصل'!$C$6:$C$505,1))=0,"missing primary contact in أرقام التواصل; ","")&amp;IF(AND(U361="TRUE",V361=""),"duplicate_type required when duplicate_flag TRUE; ","")))))</f>
        <v/>
      </c>
    </row>
    <row r="362" spans="1:29">
      <c r="A362" s="36"/>
      <c r="B362" s="24"/>
      <c r="C362" s="25"/>
      <c r="D362" s="25"/>
      <c r="E362" s="25"/>
      <c r="F362" s="24"/>
      <c r="G362" s="25"/>
      <c r="H362" s="25"/>
      <c r="I362" s="25"/>
      <c r="J362" s="25"/>
      <c r="K362" s="25"/>
      <c r="L362" s="25"/>
      <c r="M362" s="25"/>
      <c r="N362" s="25" t="str">
        <f t="shared" si="5"/>
        <v/>
      </c>
      <c r="O362" s="25"/>
      <c r="P362" s="25"/>
      <c r="Q362" s="25"/>
      <c r="R362" s="25"/>
      <c r="S362" s="25"/>
      <c r="T362" s="25"/>
      <c r="U362" s="25"/>
      <c r="V362" s="25"/>
      <c r="W362" s="24"/>
      <c r="X362" s="24"/>
      <c r="Y362" s="25"/>
      <c r="Z362" s="25" t="str">
        <f>IF(B362="","",IFERROR(INDEX(الزبائن!$AZ$6:$AZ$505,MATCH(B362,الزبائن!$A$6:$A$505,0)),"source key not found"))</f>
        <v/>
      </c>
      <c r="AA362" s="25" t="str">
        <f>IF(B362="","",IFERROR(INDEX(الزبائن!$BA$6:$BA$505,MATCH(B362,الزبائن!$A$6:$A$505,0)),"source key not found"))</f>
        <v/>
      </c>
      <c r="AB362" s="25" t="str">
        <f>IF(AND(A362="",C362="",D362="",H362="",K362="",L362=""),"",IF(C362="skip","SKIP",IF(OR(A362="",C362="",D362="",H362="",K362="",L362="",S362="",COUNTIF($A$6:$A$505,A362)&gt;1,AND(B362&lt;&gt;"",COUNTIF(الزبائن!$A$6:$A$505,B362)=0),(COUNTIFS('أرقام التواصل'!$A$6:$A$505,"proposed_name",'أرقام التواصل'!$B$6:$B$505,A362,'أرقام التواصل'!$I$6:$I$505,"TRUE")+COUNTIFS('أرقام التواصل'!$A$6:$A$505,"proposed_name",'أرقام التواصل'!$B$6:$B$505,A362,'أرقام التواصل'!$C$6:$C$505,1))=0,AND(U362="TRUE",V362="")),"REVIEW","READY")))</f>
        <v/>
      </c>
      <c r="AC362" s="27" t="str">
        <f>IF(AB362="","",IF(AB362="READY","",IF(AB362="SKIP","Skipped by candidate_import_action",TRIM(IF(A362="","missing proposed_name_key; ","")&amp;IF(AND(A362&lt;&gt;"",COUNTIF($A$6:$A$505,A362)&gt;1),"duplicate proposed_name_key; ","")&amp;IF(C362="","missing candidate_import_action; ","")&amp;IF(D362="","missing move_reason; ","")&amp;IF(H362="","missing branch_id; ","")&amp;IF(K362="","missing first_name; ","")&amp;IF(L362="","missing last_name; ","")&amp;IF(S362="","missing status; ","")&amp;IF(AND(B362&lt;&gt;"",COUNTIF(الزبائن!$A$6:$A$505,B362)=0),"source key not found; ","")&amp;IF((COUNTIFS('أرقام التواصل'!$A$6:$A$505,"proposed_name",'أرقام التواصل'!$B$6:$B$505,A362,'أرقام التواصل'!$I$6:$I$505,"TRUE")+COUNTIFS('أرقام التواصل'!$A$6:$A$505,"proposed_name",'أرقام التواصل'!$B$6:$B$505,A362,'أرقام التواصل'!$C$6:$C$505,1))=0,"missing primary contact in أرقام التواصل; ","")&amp;IF(AND(U362="TRUE",V362=""),"duplicate_type required when duplicate_flag TRUE; ","")))))</f>
        <v/>
      </c>
    </row>
    <row r="363" spans="1:29">
      <c r="A363" s="36"/>
      <c r="B363" s="24"/>
      <c r="C363" s="25"/>
      <c r="D363" s="25"/>
      <c r="E363" s="25"/>
      <c r="F363" s="24"/>
      <c r="G363" s="25"/>
      <c r="H363" s="25"/>
      <c r="I363" s="25"/>
      <c r="J363" s="25"/>
      <c r="K363" s="25"/>
      <c r="L363" s="25"/>
      <c r="M363" s="25"/>
      <c r="N363" s="25" t="str">
        <f t="shared" si="5"/>
        <v/>
      </c>
      <c r="O363" s="25"/>
      <c r="P363" s="25"/>
      <c r="Q363" s="25"/>
      <c r="R363" s="25"/>
      <c r="S363" s="25"/>
      <c r="T363" s="25"/>
      <c r="U363" s="25"/>
      <c r="V363" s="25"/>
      <c r="W363" s="24"/>
      <c r="X363" s="24"/>
      <c r="Y363" s="25"/>
      <c r="Z363" s="25" t="str">
        <f>IF(B363="","",IFERROR(INDEX(الزبائن!$AZ$6:$AZ$505,MATCH(B363,الزبائن!$A$6:$A$505,0)),"source key not found"))</f>
        <v/>
      </c>
      <c r="AA363" s="25" t="str">
        <f>IF(B363="","",IFERROR(INDEX(الزبائن!$BA$6:$BA$505,MATCH(B363,الزبائن!$A$6:$A$505,0)),"source key not found"))</f>
        <v/>
      </c>
      <c r="AB363" s="25" t="str">
        <f>IF(AND(A363="",C363="",D363="",H363="",K363="",L363=""),"",IF(C363="skip","SKIP",IF(OR(A363="",C363="",D363="",H363="",K363="",L363="",S363="",COUNTIF($A$6:$A$505,A363)&gt;1,AND(B363&lt;&gt;"",COUNTIF(الزبائن!$A$6:$A$505,B363)=0),(COUNTIFS('أرقام التواصل'!$A$6:$A$505,"proposed_name",'أرقام التواصل'!$B$6:$B$505,A363,'أرقام التواصل'!$I$6:$I$505,"TRUE")+COUNTIFS('أرقام التواصل'!$A$6:$A$505,"proposed_name",'أرقام التواصل'!$B$6:$B$505,A363,'أرقام التواصل'!$C$6:$C$505,1))=0,AND(U363="TRUE",V363="")),"REVIEW","READY")))</f>
        <v/>
      </c>
      <c r="AC363" s="27" t="str">
        <f>IF(AB363="","",IF(AB363="READY","",IF(AB363="SKIP","Skipped by candidate_import_action",TRIM(IF(A363="","missing proposed_name_key; ","")&amp;IF(AND(A363&lt;&gt;"",COUNTIF($A$6:$A$505,A363)&gt;1),"duplicate proposed_name_key; ","")&amp;IF(C363="","missing candidate_import_action; ","")&amp;IF(D363="","missing move_reason; ","")&amp;IF(H363="","missing branch_id; ","")&amp;IF(K363="","missing first_name; ","")&amp;IF(L363="","missing last_name; ","")&amp;IF(S363="","missing status; ","")&amp;IF(AND(B363&lt;&gt;"",COUNTIF(الزبائن!$A$6:$A$505,B363)=0),"source key not found; ","")&amp;IF((COUNTIFS('أرقام التواصل'!$A$6:$A$505,"proposed_name",'أرقام التواصل'!$B$6:$B$505,A363,'أرقام التواصل'!$I$6:$I$505,"TRUE")+COUNTIFS('أرقام التواصل'!$A$6:$A$505,"proposed_name",'أرقام التواصل'!$B$6:$B$505,A363,'أرقام التواصل'!$C$6:$C$505,1))=0,"missing primary contact in أرقام التواصل; ","")&amp;IF(AND(U363="TRUE",V363=""),"duplicate_type required when duplicate_flag TRUE; ","")))))</f>
        <v/>
      </c>
    </row>
    <row r="364" spans="1:29">
      <c r="A364" s="36"/>
      <c r="B364" s="24"/>
      <c r="C364" s="25"/>
      <c r="D364" s="25"/>
      <c r="E364" s="25"/>
      <c r="F364" s="24"/>
      <c r="G364" s="25"/>
      <c r="H364" s="25"/>
      <c r="I364" s="25"/>
      <c r="J364" s="25"/>
      <c r="K364" s="25"/>
      <c r="L364" s="25"/>
      <c r="M364" s="25"/>
      <c r="N364" s="25" t="str">
        <f t="shared" si="5"/>
        <v/>
      </c>
      <c r="O364" s="25"/>
      <c r="P364" s="25"/>
      <c r="Q364" s="25"/>
      <c r="R364" s="25"/>
      <c r="S364" s="25"/>
      <c r="T364" s="25"/>
      <c r="U364" s="25"/>
      <c r="V364" s="25"/>
      <c r="W364" s="24"/>
      <c r="X364" s="24"/>
      <c r="Y364" s="25"/>
      <c r="Z364" s="25" t="str">
        <f>IF(B364="","",IFERROR(INDEX(الزبائن!$AZ$6:$AZ$505,MATCH(B364,الزبائن!$A$6:$A$505,0)),"source key not found"))</f>
        <v/>
      </c>
      <c r="AA364" s="25" t="str">
        <f>IF(B364="","",IFERROR(INDEX(الزبائن!$BA$6:$BA$505,MATCH(B364,الزبائن!$A$6:$A$505,0)),"source key not found"))</f>
        <v/>
      </c>
      <c r="AB364" s="25" t="str">
        <f>IF(AND(A364="",C364="",D364="",H364="",K364="",L364=""),"",IF(C364="skip","SKIP",IF(OR(A364="",C364="",D364="",H364="",K364="",L364="",S364="",COUNTIF($A$6:$A$505,A364)&gt;1,AND(B364&lt;&gt;"",COUNTIF(الزبائن!$A$6:$A$505,B364)=0),(COUNTIFS('أرقام التواصل'!$A$6:$A$505,"proposed_name",'أرقام التواصل'!$B$6:$B$505,A364,'أرقام التواصل'!$I$6:$I$505,"TRUE")+COUNTIFS('أرقام التواصل'!$A$6:$A$505,"proposed_name",'أرقام التواصل'!$B$6:$B$505,A364,'أرقام التواصل'!$C$6:$C$505,1))=0,AND(U364="TRUE",V364="")),"REVIEW","READY")))</f>
        <v/>
      </c>
      <c r="AC364" s="27" t="str">
        <f>IF(AB364="","",IF(AB364="READY","",IF(AB364="SKIP","Skipped by candidate_import_action",TRIM(IF(A364="","missing proposed_name_key; ","")&amp;IF(AND(A364&lt;&gt;"",COUNTIF($A$6:$A$505,A364)&gt;1),"duplicate proposed_name_key; ","")&amp;IF(C364="","missing candidate_import_action; ","")&amp;IF(D364="","missing move_reason; ","")&amp;IF(H364="","missing branch_id; ","")&amp;IF(K364="","missing first_name; ","")&amp;IF(L364="","missing last_name; ","")&amp;IF(S364="","missing status; ","")&amp;IF(AND(B364&lt;&gt;"",COUNTIF(الزبائن!$A$6:$A$505,B364)=0),"source key not found; ","")&amp;IF((COUNTIFS('أرقام التواصل'!$A$6:$A$505,"proposed_name",'أرقام التواصل'!$B$6:$B$505,A364,'أرقام التواصل'!$I$6:$I$505,"TRUE")+COUNTIFS('أرقام التواصل'!$A$6:$A$505,"proposed_name",'أرقام التواصل'!$B$6:$B$505,A364,'أرقام التواصل'!$C$6:$C$505,1))=0,"missing primary contact in أرقام التواصل; ","")&amp;IF(AND(U364="TRUE",V364=""),"duplicate_type required when duplicate_flag TRUE; ","")))))</f>
        <v/>
      </c>
    </row>
    <row r="365" spans="1:29">
      <c r="A365" s="36"/>
      <c r="B365" s="24"/>
      <c r="C365" s="25"/>
      <c r="D365" s="25"/>
      <c r="E365" s="25"/>
      <c r="F365" s="24"/>
      <c r="G365" s="25"/>
      <c r="H365" s="25"/>
      <c r="I365" s="25"/>
      <c r="J365" s="25"/>
      <c r="K365" s="25"/>
      <c r="L365" s="25"/>
      <c r="M365" s="25"/>
      <c r="N365" s="25" t="str">
        <f t="shared" si="5"/>
        <v/>
      </c>
      <c r="O365" s="25"/>
      <c r="P365" s="25"/>
      <c r="Q365" s="25"/>
      <c r="R365" s="25"/>
      <c r="S365" s="25"/>
      <c r="T365" s="25"/>
      <c r="U365" s="25"/>
      <c r="V365" s="25"/>
      <c r="W365" s="24"/>
      <c r="X365" s="24"/>
      <c r="Y365" s="25"/>
      <c r="Z365" s="25" t="str">
        <f>IF(B365="","",IFERROR(INDEX(الزبائن!$AZ$6:$AZ$505,MATCH(B365,الزبائن!$A$6:$A$505,0)),"source key not found"))</f>
        <v/>
      </c>
      <c r="AA365" s="25" t="str">
        <f>IF(B365="","",IFERROR(INDEX(الزبائن!$BA$6:$BA$505,MATCH(B365,الزبائن!$A$6:$A$505,0)),"source key not found"))</f>
        <v/>
      </c>
      <c r="AB365" s="25" t="str">
        <f>IF(AND(A365="",C365="",D365="",H365="",K365="",L365=""),"",IF(C365="skip","SKIP",IF(OR(A365="",C365="",D365="",H365="",K365="",L365="",S365="",COUNTIF($A$6:$A$505,A365)&gt;1,AND(B365&lt;&gt;"",COUNTIF(الزبائن!$A$6:$A$505,B365)=0),(COUNTIFS('أرقام التواصل'!$A$6:$A$505,"proposed_name",'أرقام التواصل'!$B$6:$B$505,A365,'أرقام التواصل'!$I$6:$I$505,"TRUE")+COUNTIFS('أرقام التواصل'!$A$6:$A$505,"proposed_name",'أرقام التواصل'!$B$6:$B$505,A365,'أرقام التواصل'!$C$6:$C$505,1))=0,AND(U365="TRUE",V365="")),"REVIEW","READY")))</f>
        <v/>
      </c>
      <c r="AC365" s="27" t="str">
        <f>IF(AB365="","",IF(AB365="READY","",IF(AB365="SKIP","Skipped by candidate_import_action",TRIM(IF(A365="","missing proposed_name_key; ","")&amp;IF(AND(A365&lt;&gt;"",COUNTIF($A$6:$A$505,A365)&gt;1),"duplicate proposed_name_key; ","")&amp;IF(C365="","missing candidate_import_action; ","")&amp;IF(D365="","missing move_reason; ","")&amp;IF(H365="","missing branch_id; ","")&amp;IF(K365="","missing first_name; ","")&amp;IF(L365="","missing last_name; ","")&amp;IF(S365="","missing status; ","")&amp;IF(AND(B365&lt;&gt;"",COUNTIF(الزبائن!$A$6:$A$505,B365)=0),"source key not found; ","")&amp;IF((COUNTIFS('أرقام التواصل'!$A$6:$A$505,"proposed_name",'أرقام التواصل'!$B$6:$B$505,A365,'أرقام التواصل'!$I$6:$I$505,"TRUE")+COUNTIFS('أرقام التواصل'!$A$6:$A$505,"proposed_name",'أرقام التواصل'!$B$6:$B$505,A365,'أرقام التواصل'!$C$6:$C$505,1))=0,"missing primary contact in أرقام التواصل; ","")&amp;IF(AND(U365="TRUE",V365=""),"duplicate_type required when duplicate_flag TRUE; ","")))))</f>
        <v/>
      </c>
    </row>
    <row r="366" spans="1:29">
      <c r="A366" s="36"/>
      <c r="B366" s="24"/>
      <c r="C366" s="25"/>
      <c r="D366" s="25"/>
      <c r="E366" s="25"/>
      <c r="F366" s="24"/>
      <c r="G366" s="25"/>
      <c r="H366" s="25"/>
      <c r="I366" s="25"/>
      <c r="J366" s="25"/>
      <c r="K366" s="25"/>
      <c r="L366" s="25"/>
      <c r="M366" s="25"/>
      <c r="N366" s="25" t="str">
        <f t="shared" si="5"/>
        <v/>
      </c>
      <c r="O366" s="25"/>
      <c r="P366" s="25"/>
      <c r="Q366" s="25"/>
      <c r="R366" s="25"/>
      <c r="S366" s="25"/>
      <c r="T366" s="25"/>
      <c r="U366" s="25"/>
      <c r="V366" s="25"/>
      <c r="W366" s="24"/>
      <c r="X366" s="24"/>
      <c r="Y366" s="25"/>
      <c r="Z366" s="25" t="str">
        <f>IF(B366="","",IFERROR(INDEX(الزبائن!$AZ$6:$AZ$505,MATCH(B366,الزبائن!$A$6:$A$505,0)),"source key not found"))</f>
        <v/>
      </c>
      <c r="AA366" s="25" t="str">
        <f>IF(B366="","",IFERROR(INDEX(الزبائن!$BA$6:$BA$505,MATCH(B366,الزبائن!$A$6:$A$505,0)),"source key not found"))</f>
        <v/>
      </c>
      <c r="AB366" s="25" t="str">
        <f>IF(AND(A366="",C366="",D366="",H366="",K366="",L366=""),"",IF(C366="skip","SKIP",IF(OR(A366="",C366="",D366="",H366="",K366="",L366="",S366="",COUNTIF($A$6:$A$505,A366)&gt;1,AND(B366&lt;&gt;"",COUNTIF(الزبائن!$A$6:$A$505,B366)=0),(COUNTIFS('أرقام التواصل'!$A$6:$A$505,"proposed_name",'أرقام التواصل'!$B$6:$B$505,A366,'أرقام التواصل'!$I$6:$I$505,"TRUE")+COUNTIFS('أرقام التواصل'!$A$6:$A$505,"proposed_name",'أرقام التواصل'!$B$6:$B$505,A366,'أرقام التواصل'!$C$6:$C$505,1))=0,AND(U366="TRUE",V366="")),"REVIEW","READY")))</f>
        <v/>
      </c>
      <c r="AC366" s="27" t="str">
        <f>IF(AB366="","",IF(AB366="READY","",IF(AB366="SKIP","Skipped by candidate_import_action",TRIM(IF(A366="","missing proposed_name_key; ","")&amp;IF(AND(A366&lt;&gt;"",COUNTIF($A$6:$A$505,A366)&gt;1),"duplicate proposed_name_key; ","")&amp;IF(C366="","missing candidate_import_action; ","")&amp;IF(D366="","missing move_reason; ","")&amp;IF(H366="","missing branch_id; ","")&amp;IF(K366="","missing first_name; ","")&amp;IF(L366="","missing last_name; ","")&amp;IF(S366="","missing status; ","")&amp;IF(AND(B366&lt;&gt;"",COUNTIF(الزبائن!$A$6:$A$505,B366)=0),"source key not found; ","")&amp;IF((COUNTIFS('أرقام التواصل'!$A$6:$A$505,"proposed_name",'أرقام التواصل'!$B$6:$B$505,A366,'أرقام التواصل'!$I$6:$I$505,"TRUE")+COUNTIFS('أرقام التواصل'!$A$6:$A$505,"proposed_name",'أرقام التواصل'!$B$6:$B$505,A366,'أرقام التواصل'!$C$6:$C$505,1))=0,"missing primary contact in أرقام التواصل; ","")&amp;IF(AND(U366="TRUE",V366=""),"duplicate_type required when duplicate_flag TRUE; ","")))))</f>
        <v/>
      </c>
    </row>
    <row r="367" spans="1:29">
      <c r="A367" s="36"/>
      <c r="B367" s="24"/>
      <c r="C367" s="25"/>
      <c r="D367" s="25"/>
      <c r="E367" s="25"/>
      <c r="F367" s="24"/>
      <c r="G367" s="25"/>
      <c r="H367" s="25"/>
      <c r="I367" s="25"/>
      <c r="J367" s="25"/>
      <c r="K367" s="25"/>
      <c r="L367" s="25"/>
      <c r="M367" s="25"/>
      <c r="N367" s="25" t="str">
        <f t="shared" si="5"/>
        <v/>
      </c>
      <c r="O367" s="25"/>
      <c r="P367" s="25"/>
      <c r="Q367" s="25"/>
      <c r="R367" s="25"/>
      <c r="S367" s="25"/>
      <c r="T367" s="25"/>
      <c r="U367" s="25"/>
      <c r="V367" s="25"/>
      <c r="W367" s="24"/>
      <c r="X367" s="24"/>
      <c r="Y367" s="25"/>
      <c r="Z367" s="25" t="str">
        <f>IF(B367="","",IFERROR(INDEX(الزبائن!$AZ$6:$AZ$505,MATCH(B367,الزبائن!$A$6:$A$505,0)),"source key not found"))</f>
        <v/>
      </c>
      <c r="AA367" s="25" t="str">
        <f>IF(B367="","",IFERROR(INDEX(الزبائن!$BA$6:$BA$505,MATCH(B367,الزبائن!$A$6:$A$505,0)),"source key not found"))</f>
        <v/>
      </c>
      <c r="AB367" s="25" t="str">
        <f>IF(AND(A367="",C367="",D367="",H367="",K367="",L367=""),"",IF(C367="skip","SKIP",IF(OR(A367="",C367="",D367="",H367="",K367="",L367="",S367="",COUNTIF($A$6:$A$505,A367)&gt;1,AND(B367&lt;&gt;"",COUNTIF(الزبائن!$A$6:$A$505,B367)=0),(COUNTIFS('أرقام التواصل'!$A$6:$A$505,"proposed_name",'أرقام التواصل'!$B$6:$B$505,A367,'أرقام التواصل'!$I$6:$I$505,"TRUE")+COUNTIFS('أرقام التواصل'!$A$6:$A$505,"proposed_name",'أرقام التواصل'!$B$6:$B$505,A367,'أرقام التواصل'!$C$6:$C$505,1))=0,AND(U367="TRUE",V367="")),"REVIEW","READY")))</f>
        <v/>
      </c>
      <c r="AC367" s="27" t="str">
        <f>IF(AB367="","",IF(AB367="READY","",IF(AB367="SKIP","Skipped by candidate_import_action",TRIM(IF(A367="","missing proposed_name_key; ","")&amp;IF(AND(A367&lt;&gt;"",COUNTIF($A$6:$A$505,A367)&gt;1),"duplicate proposed_name_key; ","")&amp;IF(C367="","missing candidate_import_action; ","")&amp;IF(D367="","missing move_reason; ","")&amp;IF(H367="","missing branch_id; ","")&amp;IF(K367="","missing first_name; ","")&amp;IF(L367="","missing last_name; ","")&amp;IF(S367="","missing status; ","")&amp;IF(AND(B367&lt;&gt;"",COUNTIF(الزبائن!$A$6:$A$505,B367)=0),"source key not found; ","")&amp;IF((COUNTIFS('أرقام التواصل'!$A$6:$A$505,"proposed_name",'أرقام التواصل'!$B$6:$B$505,A367,'أرقام التواصل'!$I$6:$I$505,"TRUE")+COUNTIFS('أرقام التواصل'!$A$6:$A$505,"proposed_name",'أرقام التواصل'!$B$6:$B$505,A367,'أرقام التواصل'!$C$6:$C$505,1))=0,"missing primary contact in أرقام التواصل; ","")&amp;IF(AND(U367="TRUE",V367=""),"duplicate_type required when duplicate_flag TRUE; ","")))))</f>
        <v/>
      </c>
    </row>
    <row r="368" spans="1:29">
      <c r="A368" s="36"/>
      <c r="B368" s="24"/>
      <c r="C368" s="25"/>
      <c r="D368" s="25"/>
      <c r="E368" s="25"/>
      <c r="F368" s="24"/>
      <c r="G368" s="25"/>
      <c r="H368" s="25"/>
      <c r="I368" s="25"/>
      <c r="J368" s="25"/>
      <c r="K368" s="25"/>
      <c r="L368" s="25"/>
      <c r="M368" s="25"/>
      <c r="N368" s="25" t="str">
        <f t="shared" si="5"/>
        <v/>
      </c>
      <c r="O368" s="25"/>
      <c r="P368" s="25"/>
      <c r="Q368" s="25"/>
      <c r="R368" s="25"/>
      <c r="S368" s="25"/>
      <c r="T368" s="25"/>
      <c r="U368" s="25"/>
      <c r="V368" s="25"/>
      <c r="W368" s="24"/>
      <c r="X368" s="24"/>
      <c r="Y368" s="25"/>
      <c r="Z368" s="25" t="str">
        <f>IF(B368="","",IFERROR(INDEX(الزبائن!$AZ$6:$AZ$505,MATCH(B368,الزبائن!$A$6:$A$505,0)),"source key not found"))</f>
        <v/>
      </c>
      <c r="AA368" s="25" t="str">
        <f>IF(B368="","",IFERROR(INDEX(الزبائن!$BA$6:$BA$505,MATCH(B368,الزبائن!$A$6:$A$505,0)),"source key not found"))</f>
        <v/>
      </c>
      <c r="AB368" s="25" t="str">
        <f>IF(AND(A368="",C368="",D368="",H368="",K368="",L368=""),"",IF(C368="skip","SKIP",IF(OR(A368="",C368="",D368="",H368="",K368="",L368="",S368="",COUNTIF($A$6:$A$505,A368)&gt;1,AND(B368&lt;&gt;"",COUNTIF(الزبائن!$A$6:$A$505,B368)=0),(COUNTIFS('أرقام التواصل'!$A$6:$A$505,"proposed_name",'أرقام التواصل'!$B$6:$B$505,A368,'أرقام التواصل'!$I$6:$I$505,"TRUE")+COUNTIFS('أرقام التواصل'!$A$6:$A$505,"proposed_name",'أرقام التواصل'!$B$6:$B$505,A368,'أرقام التواصل'!$C$6:$C$505,1))=0,AND(U368="TRUE",V368="")),"REVIEW","READY")))</f>
        <v/>
      </c>
      <c r="AC368" s="27" t="str">
        <f>IF(AB368="","",IF(AB368="READY","",IF(AB368="SKIP","Skipped by candidate_import_action",TRIM(IF(A368="","missing proposed_name_key; ","")&amp;IF(AND(A368&lt;&gt;"",COUNTIF($A$6:$A$505,A368)&gt;1),"duplicate proposed_name_key; ","")&amp;IF(C368="","missing candidate_import_action; ","")&amp;IF(D368="","missing move_reason; ","")&amp;IF(H368="","missing branch_id; ","")&amp;IF(K368="","missing first_name; ","")&amp;IF(L368="","missing last_name; ","")&amp;IF(S368="","missing status; ","")&amp;IF(AND(B368&lt;&gt;"",COUNTIF(الزبائن!$A$6:$A$505,B368)=0),"source key not found; ","")&amp;IF((COUNTIFS('أرقام التواصل'!$A$6:$A$505,"proposed_name",'أرقام التواصل'!$B$6:$B$505,A368,'أرقام التواصل'!$I$6:$I$505,"TRUE")+COUNTIFS('أرقام التواصل'!$A$6:$A$505,"proposed_name",'أرقام التواصل'!$B$6:$B$505,A368,'أرقام التواصل'!$C$6:$C$505,1))=0,"missing primary contact in أرقام التواصل; ","")&amp;IF(AND(U368="TRUE",V368=""),"duplicate_type required when duplicate_flag TRUE; ","")))))</f>
        <v/>
      </c>
    </row>
    <row r="369" spans="1:29">
      <c r="A369" s="36"/>
      <c r="B369" s="24"/>
      <c r="C369" s="25"/>
      <c r="D369" s="25"/>
      <c r="E369" s="25"/>
      <c r="F369" s="24"/>
      <c r="G369" s="25"/>
      <c r="H369" s="25"/>
      <c r="I369" s="25"/>
      <c r="J369" s="25"/>
      <c r="K369" s="25"/>
      <c r="L369" s="25"/>
      <c r="M369" s="25"/>
      <c r="N369" s="25" t="str">
        <f t="shared" si="5"/>
        <v/>
      </c>
      <c r="O369" s="25"/>
      <c r="P369" s="25"/>
      <c r="Q369" s="25"/>
      <c r="R369" s="25"/>
      <c r="S369" s="25"/>
      <c r="T369" s="25"/>
      <c r="U369" s="25"/>
      <c r="V369" s="25"/>
      <c r="W369" s="24"/>
      <c r="X369" s="24"/>
      <c r="Y369" s="25"/>
      <c r="Z369" s="25" t="str">
        <f>IF(B369="","",IFERROR(INDEX(الزبائن!$AZ$6:$AZ$505,MATCH(B369,الزبائن!$A$6:$A$505,0)),"source key not found"))</f>
        <v/>
      </c>
      <c r="AA369" s="25" t="str">
        <f>IF(B369="","",IFERROR(INDEX(الزبائن!$BA$6:$BA$505,MATCH(B369,الزبائن!$A$6:$A$505,0)),"source key not found"))</f>
        <v/>
      </c>
      <c r="AB369" s="25" t="str">
        <f>IF(AND(A369="",C369="",D369="",H369="",K369="",L369=""),"",IF(C369="skip","SKIP",IF(OR(A369="",C369="",D369="",H369="",K369="",L369="",S369="",COUNTIF($A$6:$A$505,A369)&gt;1,AND(B369&lt;&gt;"",COUNTIF(الزبائن!$A$6:$A$505,B369)=0),(COUNTIFS('أرقام التواصل'!$A$6:$A$505,"proposed_name",'أرقام التواصل'!$B$6:$B$505,A369,'أرقام التواصل'!$I$6:$I$505,"TRUE")+COUNTIFS('أرقام التواصل'!$A$6:$A$505,"proposed_name",'أرقام التواصل'!$B$6:$B$505,A369,'أرقام التواصل'!$C$6:$C$505,1))=0,AND(U369="TRUE",V369="")),"REVIEW","READY")))</f>
        <v/>
      </c>
      <c r="AC369" s="27" t="str">
        <f>IF(AB369="","",IF(AB369="READY","",IF(AB369="SKIP","Skipped by candidate_import_action",TRIM(IF(A369="","missing proposed_name_key; ","")&amp;IF(AND(A369&lt;&gt;"",COUNTIF($A$6:$A$505,A369)&gt;1),"duplicate proposed_name_key; ","")&amp;IF(C369="","missing candidate_import_action; ","")&amp;IF(D369="","missing move_reason; ","")&amp;IF(H369="","missing branch_id; ","")&amp;IF(K369="","missing first_name; ","")&amp;IF(L369="","missing last_name; ","")&amp;IF(S369="","missing status; ","")&amp;IF(AND(B369&lt;&gt;"",COUNTIF(الزبائن!$A$6:$A$505,B369)=0),"source key not found; ","")&amp;IF((COUNTIFS('أرقام التواصل'!$A$6:$A$505,"proposed_name",'أرقام التواصل'!$B$6:$B$505,A369,'أرقام التواصل'!$I$6:$I$505,"TRUE")+COUNTIFS('أرقام التواصل'!$A$6:$A$505,"proposed_name",'أرقام التواصل'!$B$6:$B$505,A369,'أرقام التواصل'!$C$6:$C$505,1))=0,"missing primary contact in أرقام التواصل; ","")&amp;IF(AND(U369="TRUE",V369=""),"duplicate_type required when duplicate_flag TRUE; ","")))))</f>
        <v/>
      </c>
    </row>
    <row r="370" spans="1:29">
      <c r="A370" s="36"/>
      <c r="B370" s="24"/>
      <c r="C370" s="25"/>
      <c r="D370" s="25"/>
      <c r="E370" s="25"/>
      <c r="F370" s="24"/>
      <c r="G370" s="25"/>
      <c r="H370" s="25"/>
      <c r="I370" s="25"/>
      <c r="J370" s="25"/>
      <c r="K370" s="25"/>
      <c r="L370" s="25"/>
      <c r="M370" s="25"/>
      <c r="N370" s="25" t="str">
        <f t="shared" si="5"/>
        <v/>
      </c>
      <c r="O370" s="25"/>
      <c r="P370" s="25"/>
      <c r="Q370" s="25"/>
      <c r="R370" s="25"/>
      <c r="S370" s="25"/>
      <c r="T370" s="25"/>
      <c r="U370" s="25"/>
      <c r="V370" s="25"/>
      <c r="W370" s="24"/>
      <c r="X370" s="24"/>
      <c r="Y370" s="25"/>
      <c r="Z370" s="25" t="str">
        <f>IF(B370="","",IFERROR(INDEX(الزبائن!$AZ$6:$AZ$505,MATCH(B370,الزبائن!$A$6:$A$505,0)),"source key not found"))</f>
        <v/>
      </c>
      <c r="AA370" s="25" t="str">
        <f>IF(B370="","",IFERROR(INDEX(الزبائن!$BA$6:$BA$505,MATCH(B370,الزبائن!$A$6:$A$505,0)),"source key not found"))</f>
        <v/>
      </c>
      <c r="AB370" s="25" t="str">
        <f>IF(AND(A370="",C370="",D370="",H370="",K370="",L370=""),"",IF(C370="skip","SKIP",IF(OR(A370="",C370="",D370="",H370="",K370="",L370="",S370="",COUNTIF($A$6:$A$505,A370)&gt;1,AND(B370&lt;&gt;"",COUNTIF(الزبائن!$A$6:$A$505,B370)=0),(COUNTIFS('أرقام التواصل'!$A$6:$A$505,"proposed_name",'أرقام التواصل'!$B$6:$B$505,A370,'أرقام التواصل'!$I$6:$I$505,"TRUE")+COUNTIFS('أرقام التواصل'!$A$6:$A$505,"proposed_name",'أرقام التواصل'!$B$6:$B$505,A370,'أرقام التواصل'!$C$6:$C$505,1))=0,AND(U370="TRUE",V370="")),"REVIEW","READY")))</f>
        <v/>
      </c>
      <c r="AC370" s="27" t="str">
        <f>IF(AB370="","",IF(AB370="READY","",IF(AB370="SKIP","Skipped by candidate_import_action",TRIM(IF(A370="","missing proposed_name_key; ","")&amp;IF(AND(A370&lt;&gt;"",COUNTIF($A$6:$A$505,A370)&gt;1),"duplicate proposed_name_key; ","")&amp;IF(C370="","missing candidate_import_action; ","")&amp;IF(D370="","missing move_reason; ","")&amp;IF(H370="","missing branch_id; ","")&amp;IF(K370="","missing first_name; ","")&amp;IF(L370="","missing last_name; ","")&amp;IF(S370="","missing status; ","")&amp;IF(AND(B370&lt;&gt;"",COUNTIF(الزبائن!$A$6:$A$505,B370)=0),"source key not found; ","")&amp;IF((COUNTIFS('أرقام التواصل'!$A$6:$A$505,"proposed_name",'أرقام التواصل'!$B$6:$B$505,A370,'أرقام التواصل'!$I$6:$I$505,"TRUE")+COUNTIFS('أرقام التواصل'!$A$6:$A$505,"proposed_name",'أرقام التواصل'!$B$6:$B$505,A370,'أرقام التواصل'!$C$6:$C$505,1))=0,"missing primary contact in أرقام التواصل; ","")&amp;IF(AND(U370="TRUE",V370=""),"duplicate_type required when duplicate_flag TRUE; ","")))))</f>
        <v/>
      </c>
    </row>
    <row r="371" spans="1:29">
      <c r="A371" s="36"/>
      <c r="B371" s="24"/>
      <c r="C371" s="25"/>
      <c r="D371" s="25"/>
      <c r="E371" s="25"/>
      <c r="F371" s="24"/>
      <c r="G371" s="25"/>
      <c r="H371" s="25"/>
      <c r="I371" s="25"/>
      <c r="J371" s="25"/>
      <c r="K371" s="25"/>
      <c r="L371" s="25"/>
      <c r="M371" s="25"/>
      <c r="N371" s="25" t="str">
        <f t="shared" si="5"/>
        <v/>
      </c>
      <c r="O371" s="25"/>
      <c r="P371" s="25"/>
      <c r="Q371" s="25"/>
      <c r="R371" s="25"/>
      <c r="S371" s="25"/>
      <c r="T371" s="25"/>
      <c r="U371" s="25"/>
      <c r="V371" s="25"/>
      <c r="W371" s="24"/>
      <c r="X371" s="24"/>
      <c r="Y371" s="25"/>
      <c r="Z371" s="25" t="str">
        <f>IF(B371="","",IFERROR(INDEX(الزبائن!$AZ$6:$AZ$505,MATCH(B371,الزبائن!$A$6:$A$505,0)),"source key not found"))</f>
        <v/>
      </c>
      <c r="AA371" s="25" t="str">
        <f>IF(B371="","",IFERROR(INDEX(الزبائن!$BA$6:$BA$505,MATCH(B371,الزبائن!$A$6:$A$505,0)),"source key not found"))</f>
        <v/>
      </c>
      <c r="AB371" s="25" t="str">
        <f>IF(AND(A371="",C371="",D371="",H371="",K371="",L371=""),"",IF(C371="skip","SKIP",IF(OR(A371="",C371="",D371="",H371="",K371="",L371="",S371="",COUNTIF($A$6:$A$505,A371)&gt;1,AND(B371&lt;&gt;"",COUNTIF(الزبائن!$A$6:$A$505,B371)=0),(COUNTIFS('أرقام التواصل'!$A$6:$A$505,"proposed_name",'أرقام التواصل'!$B$6:$B$505,A371,'أرقام التواصل'!$I$6:$I$505,"TRUE")+COUNTIFS('أرقام التواصل'!$A$6:$A$505,"proposed_name",'أرقام التواصل'!$B$6:$B$505,A371,'أرقام التواصل'!$C$6:$C$505,1))=0,AND(U371="TRUE",V371="")),"REVIEW","READY")))</f>
        <v/>
      </c>
      <c r="AC371" s="27" t="str">
        <f>IF(AB371="","",IF(AB371="READY","",IF(AB371="SKIP","Skipped by candidate_import_action",TRIM(IF(A371="","missing proposed_name_key; ","")&amp;IF(AND(A371&lt;&gt;"",COUNTIF($A$6:$A$505,A371)&gt;1),"duplicate proposed_name_key; ","")&amp;IF(C371="","missing candidate_import_action; ","")&amp;IF(D371="","missing move_reason; ","")&amp;IF(H371="","missing branch_id; ","")&amp;IF(K371="","missing first_name; ","")&amp;IF(L371="","missing last_name; ","")&amp;IF(S371="","missing status; ","")&amp;IF(AND(B371&lt;&gt;"",COUNTIF(الزبائن!$A$6:$A$505,B371)=0),"source key not found; ","")&amp;IF((COUNTIFS('أرقام التواصل'!$A$6:$A$505,"proposed_name",'أرقام التواصل'!$B$6:$B$505,A371,'أرقام التواصل'!$I$6:$I$505,"TRUE")+COUNTIFS('أرقام التواصل'!$A$6:$A$505,"proposed_name",'أرقام التواصل'!$B$6:$B$505,A371,'أرقام التواصل'!$C$6:$C$505,1))=0,"missing primary contact in أرقام التواصل; ","")&amp;IF(AND(U371="TRUE",V371=""),"duplicate_type required when duplicate_flag TRUE; ","")))))</f>
        <v/>
      </c>
    </row>
    <row r="372" spans="1:29">
      <c r="A372" s="36"/>
      <c r="B372" s="24"/>
      <c r="C372" s="25"/>
      <c r="D372" s="25"/>
      <c r="E372" s="25"/>
      <c r="F372" s="24"/>
      <c r="G372" s="25"/>
      <c r="H372" s="25"/>
      <c r="I372" s="25"/>
      <c r="J372" s="25"/>
      <c r="K372" s="25"/>
      <c r="L372" s="25"/>
      <c r="M372" s="25"/>
      <c r="N372" s="25" t="str">
        <f t="shared" si="5"/>
        <v/>
      </c>
      <c r="O372" s="25"/>
      <c r="P372" s="25"/>
      <c r="Q372" s="25"/>
      <c r="R372" s="25"/>
      <c r="S372" s="25"/>
      <c r="T372" s="25"/>
      <c r="U372" s="25"/>
      <c r="V372" s="25"/>
      <c r="W372" s="24"/>
      <c r="X372" s="24"/>
      <c r="Y372" s="25"/>
      <c r="Z372" s="25" t="str">
        <f>IF(B372="","",IFERROR(INDEX(الزبائن!$AZ$6:$AZ$505,MATCH(B372,الزبائن!$A$6:$A$505,0)),"source key not found"))</f>
        <v/>
      </c>
      <c r="AA372" s="25" t="str">
        <f>IF(B372="","",IFERROR(INDEX(الزبائن!$BA$6:$BA$505,MATCH(B372,الزبائن!$A$6:$A$505,0)),"source key not found"))</f>
        <v/>
      </c>
      <c r="AB372" s="25" t="str">
        <f>IF(AND(A372="",C372="",D372="",H372="",K372="",L372=""),"",IF(C372="skip","SKIP",IF(OR(A372="",C372="",D372="",H372="",K372="",L372="",S372="",COUNTIF($A$6:$A$505,A372)&gt;1,AND(B372&lt;&gt;"",COUNTIF(الزبائن!$A$6:$A$505,B372)=0),(COUNTIFS('أرقام التواصل'!$A$6:$A$505,"proposed_name",'أرقام التواصل'!$B$6:$B$505,A372,'أرقام التواصل'!$I$6:$I$505,"TRUE")+COUNTIFS('أرقام التواصل'!$A$6:$A$505,"proposed_name",'أرقام التواصل'!$B$6:$B$505,A372,'أرقام التواصل'!$C$6:$C$505,1))=0,AND(U372="TRUE",V372="")),"REVIEW","READY")))</f>
        <v/>
      </c>
      <c r="AC372" s="27" t="str">
        <f>IF(AB372="","",IF(AB372="READY","",IF(AB372="SKIP","Skipped by candidate_import_action",TRIM(IF(A372="","missing proposed_name_key; ","")&amp;IF(AND(A372&lt;&gt;"",COUNTIF($A$6:$A$505,A372)&gt;1),"duplicate proposed_name_key; ","")&amp;IF(C372="","missing candidate_import_action; ","")&amp;IF(D372="","missing move_reason; ","")&amp;IF(H372="","missing branch_id; ","")&amp;IF(K372="","missing first_name; ","")&amp;IF(L372="","missing last_name; ","")&amp;IF(S372="","missing status; ","")&amp;IF(AND(B372&lt;&gt;"",COUNTIF(الزبائن!$A$6:$A$505,B372)=0),"source key not found; ","")&amp;IF((COUNTIFS('أرقام التواصل'!$A$6:$A$505,"proposed_name",'أرقام التواصل'!$B$6:$B$505,A372,'أرقام التواصل'!$I$6:$I$505,"TRUE")+COUNTIFS('أرقام التواصل'!$A$6:$A$505,"proposed_name",'أرقام التواصل'!$B$6:$B$505,A372,'أرقام التواصل'!$C$6:$C$505,1))=0,"missing primary contact in أرقام التواصل; ","")&amp;IF(AND(U372="TRUE",V372=""),"duplicate_type required when duplicate_flag TRUE; ","")))))</f>
        <v/>
      </c>
    </row>
    <row r="373" spans="1:29">
      <c r="A373" s="36"/>
      <c r="B373" s="24"/>
      <c r="C373" s="25"/>
      <c r="D373" s="25"/>
      <c r="E373" s="25"/>
      <c r="F373" s="24"/>
      <c r="G373" s="25"/>
      <c r="H373" s="25"/>
      <c r="I373" s="25"/>
      <c r="J373" s="25"/>
      <c r="K373" s="25"/>
      <c r="L373" s="25"/>
      <c r="M373" s="25"/>
      <c r="N373" s="25" t="str">
        <f t="shared" si="5"/>
        <v/>
      </c>
      <c r="O373" s="25"/>
      <c r="P373" s="25"/>
      <c r="Q373" s="25"/>
      <c r="R373" s="25"/>
      <c r="S373" s="25"/>
      <c r="T373" s="25"/>
      <c r="U373" s="25"/>
      <c r="V373" s="25"/>
      <c r="W373" s="24"/>
      <c r="X373" s="24"/>
      <c r="Y373" s="25"/>
      <c r="Z373" s="25" t="str">
        <f>IF(B373="","",IFERROR(INDEX(الزبائن!$AZ$6:$AZ$505,MATCH(B373,الزبائن!$A$6:$A$505,0)),"source key not found"))</f>
        <v/>
      </c>
      <c r="AA373" s="25" t="str">
        <f>IF(B373="","",IFERROR(INDEX(الزبائن!$BA$6:$BA$505,MATCH(B373,الزبائن!$A$6:$A$505,0)),"source key not found"))</f>
        <v/>
      </c>
      <c r="AB373" s="25" t="str">
        <f>IF(AND(A373="",C373="",D373="",H373="",K373="",L373=""),"",IF(C373="skip","SKIP",IF(OR(A373="",C373="",D373="",H373="",K373="",L373="",S373="",COUNTIF($A$6:$A$505,A373)&gt;1,AND(B373&lt;&gt;"",COUNTIF(الزبائن!$A$6:$A$505,B373)=0),(COUNTIFS('أرقام التواصل'!$A$6:$A$505,"proposed_name",'أرقام التواصل'!$B$6:$B$505,A373,'أرقام التواصل'!$I$6:$I$505,"TRUE")+COUNTIFS('أرقام التواصل'!$A$6:$A$505,"proposed_name",'أرقام التواصل'!$B$6:$B$505,A373,'أرقام التواصل'!$C$6:$C$505,1))=0,AND(U373="TRUE",V373="")),"REVIEW","READY")))</f>
        <v/>
      </c>
      <c r="AC373" s="27" t="str">
        <f>IF(AB373="","",IF(AB373="READY","",IF(AB373="SKIP","Skipped by candidate_import_action",TRIM(IF(A373="","missing proposed_name_key; ","")&amp;IF(AND(A373&lt;&gt;"",COUNTIF($A$6:$A$505,A373)&gt;1),"duplicate proposed_name_key; ","")&amp;IF(C373="","missing candidate_import_action; ","")&amp;IF(D373="","missing move_reason; ","")&amp;IF(H373="","missing branch_id; ","")&amp;IF(K373="","missing first_name; ","")&amp;IF(L373="","missing last_name; ","")&amp;IF(S373="","missing status; ","")&amp;IF(AND(B373&lt;&gt;"",COUNTIF(الزبائن!$A$6:$A$505,B373)=0),"source key not found; ","")&amp;IF((COUNTIFS('أرقام التواصل'!$A$6:$A$505,"proposed_name",'أرقام التواصل'!$B$6:$B$505,A373,'أرقام التواصل'!$I$6:$I$505,"TRUE")+COUNTIFS('أرقام التواصل'!$A$6:$A$505,"proposed_name",'أرقام التواصل'!$B$6:$B$505,A373,'أرقام التواصل'!$C$6:$C$505,1))=0,"missing primary contact in أرقام التواصل; ","")&amp;IF(AND(U373="TRUE",V373=""),"duplicate_type required when duplicate_flag TRUE; ","")))))</f>
        <v/>
      </c>
    </row>
    <row r="374" spans="1:29">
      <c r="A374" s="36"/>
      <c r="B374" s="24"/>
      <c r="C374" s="25"/>
      <c r="D374" s="25"/>
      <c r="E374" s="25"/>
      <c r="F374" s="24"/>
      <c r="G374" s="25"/>
      <c r="H374" s="25"/>
      <c r="I374" s="25"/>
      <c r="J374" s="25"/>
      <c r="K374" s="25"/>
      <c r="L374" s="25"/>
      <c r="M374" s="25"/>
      <c r="N374" s="25" t="str">
        <f t="shared" si="5"/>
        <v/>
      </c>
      <c r="O374" s="25"/>
      <c r="P374" s="25"/>
      <c r="Q374" s="25"/>
      <c r="R374" s="25"/>
      <c r="S374" s="25"/>
      <c r="T374" s="25"/>
      <c r="U374" s="25"/>
      <c r="V374" s="25"/>
      <c r="W374" s="24"/>
      <c r="X374" s="24"/>
      <c r="Y374" s="25"/>
      <c r="Z374" s="25" t="str">
        <f>IF(B374="","",IFERROR(INDEX(الزبائن!$AZ$6:$AZ$505,MATCH(B374,الزبائن!$A$6:$A$505,0)),"source key not found"))</f>
        <v/>
      </c>
      <c r="AA374" s="25" t="str">
        <f>IF(B374="","",IFERROR(INDEX(الزبائن!$BA$6:$BA$505,MATCH(B374,الزبائن!$A$6:$A$505,0)),"source key not found"))</f>
        <v/>
      </c>
      <c r="AB374" s="25" t="str">
        <f>IF(AND(A374="",C374="",D374="",H374="",K374="",L374=""),"",IF(C374="skip","SKIP",IF(OR(A374="",C374="",D374="",H374="",K374="",L374="",S374="",COUNTIF($A$6:$A$505,A374)&gt;1,AND(B374&lt;&gt;"",COUNTIF(الزبائن!$A$6:$A$505,B374)=0),(COUNTIFS('أرقام التواصل'!$A$6:$A$505,"proposed_name",'أرقام التواصل'!$B$6:$B$505,A374,'أرقام التواصل'!$I$6:$I$505,"TRUE")+COUNTIFS('أرقام التواصل'!$A$6:$A$505,"proposed_name",'أرقام التواصل'!$B$6:$B$505,A374,'أرقام التواصل'!$C$6:$C$505,1))=0,AND(U374="TRUE",V374="")),"REVIEW","READY")))</f>
        <v/>
      </c>
      <c r="AC374" s="27" t="str">
        <f>IF(AB374="","",IF(AB374="READY","",IF(AB374="SKIP","Skipped by candidate_import_action",TRIM(IF(A374="","missing proposed_name_key; ","")&amp;IF(AND(A374&lt;&gt;"",COUNTIF($A$6:$A$505,A374)&gt;1),"duplicate proposed_name_key; ","")&amp;IF(C374="","missing candidate_import_action; ","")&amp;IF(D374="","missing move_reason; ","")&amp;IF(H374="","missing branch_id; ","")&amp;IF(K374="","missing first_name; ","")&amp;IF(L374="","missing last_name; ","")&amp;IF(S374="","missing status; ","")&amp;IF(AND(B374&lt;&gt;"",COUNTIF(الزبائن!$A$6:$A$505,B374)=0),"source key not found; ","")&amp;IF((COUNTIFS('أرقام التواصل'!$A$6:$A$505,"proposed_name",'أرقام التواصل'!$B$6:$B$505,A374,'أرقام التواصل'!$I$6:$I$505,"TRUE")+COUNTIFS('أرقام التواصل'!$A$6:$A$505,"proposed_name",'أرقام التواصل'!$B$6:$B$505,A374,'أرقام التواصل'!$C$6:$C$505,1))=0,"missing primary contact in أرقام التواصل; ","")&amp;IF(AND(U374="TRUE",V374=""),"duplicate_type required when duplicate_flag TRUE; ","")))))</f>
        <v/>
      </c>
    </row>
    <row r="375" spans="1:29">
      <c r="A375" s="36"/>
      <c r="B375" s="24"/>
      <c r="C375" s="25"/>
      <c r="D375" s="25"/>
      <c r="E375" s="25"/>
      <c r="F375" s="24"/>
      <c r="G375" s="25"/>
      <c r="H375" s="25"/>
      <c r="I375" s="25"/>
      <c r="J375" s="25"/>
      <c r="K375" s="25"/>
      <c r="L375" s="25"/>
      <c r="M375" s="25"/>
      <c r="N375" s="25" t="str">
        <f t="shared" si="5"/>
        <v/>
      </c>
      <c r="O375" s="25"/>
      <c r="P375" s="25"/>
      <c r="Q375" s="25"/>
      <c r="R375" s="25"/>
      <c r="S375" s="25"/>
      <c r="T375" s="25"/>
      <c r="U375" s="25"/>
      <c r="V375" s="25"/>
      <c r="W375" s="24"/>
      <c r="X375" s="24"/>
      <c r="Y375" s="25"/>
      <c r="Z375" s="25" t="str">
        <f>IF(B375="","",IFERROR(INDEX(الزبائن!$AZ$6:$AZ$505,MATCH(B375,الزبائن!$A$6:$A$505,0)),"source key not found"))</f>
        <v/>
      </c>
      <c r="AA375" s="25" t="str">
        <f>IF(B375="","",IFERROR(INDEX(الزبائن!$BA$6:$BA$505,MATCH(B375,الزبائن!$A$6:$A$505,0)),"source key not found"))</f>
        <v/>
      </c>
      <c r="AB375" s="25" t="str">
        <f>IF(AND(A375="",C375="",D375="",H375="",K375="",L375=""),"",IF(C375="skip","SKIP",IF(OR(A375="",C375="",D375="",H375="",K375="",L375="",S375="",COUNTIF($A$6:$A$505,A375)&gt;1,AND(B375&lt;&gt;"",COUNTIF(الزبائن!$A$6:$A$505,B375)=0),(COUNTIFS('أرقام التواصل'!$A$6:$A$505,"proposed_name",'أرقام التواصل'!$B$6:$B$505,A375,'أرقام التواصل'!$I$6:$I$505,"TRUE")+COUNTIFS('أرقام التواصل'!$A$6:$A$505,"proposed_name",'أرقام التواصل'!$B$6:$B$505,A375,'أرقام التواصل'!$C$6:$C$505,1))=0,AND(U375="TRUE",V375="")),"REVIEW","READY")))</f>
        <v/>
      </c>
      <c r="AC375" s="27" t="str">
        <f>IF(AB375="","",IF(AB375="READY","",IF(AB375="SKIP","Skipped by candidate_import_action",TRIM(IF(A375="","missing proposed_name_key; ","")&amp;IF(AND(A375&lt;&gt;"",COUNTIF($A$6:$A$505,A375)&gt;1),"duplicate proposed_name_key; ","")&amp;IF(C375="","missing candidate_import_action; ","")&amp;IF(D375="","missing move_reason; ","")&amp;IF(H375="","missing branch_id; ","")&amp;IF(K375="","missing first_name; ","")&amp;IF(L375="","missing last_name; ","")&amp;IF(S375="","missing status; ","")&amp;IF(AND(B375&lt;&gt;"",COUNTIF(الزبائن!$A$6:$A$505,B375)=0),"source key not found; ","")&amp;IF((COUNTIFS('أرقام التواصل'!$A$6:$A$505,"proposed_name",'أرقام التواصل'!$B$6:$B$505,A375,'أرقام التواصل'!$I$6:$I$505,"TRUE")+COUNTIFS('أرقام التواصل'!$A$6:$A$505,"proposed_name",'أرقام التواصل'!$B$6:$B$505,A375,'أرقام التواصل'!$C$6:$C$505,1))=0,"missing primary contact in أرقام التواصل; ","")&amp;IF(AND(U375="TRUE",V375=""),"duplicate_type required when duplicate_flag TRUE; ","")))))</f>
        <v/>
      </c>
    </row>
    <row r="376" spans="1:29">
      <c r="A376" s="36"/>
      <c r="B376" s="24"/>
      <c r="C376" s="25"/>
      <c r="D376" s="25"/>
      <c r="E376" s="25"/>
      <c r="F376" s="24"/>
      <c r="G376" s="25"/>
      <c r="H376" s="25"/>
      <c r="I376" s="25"/>
      <c r="J376" s="25"/>
      <c r="K376" s="25"/>
      <c r="L376" s="25"/>
      <c r="M376" s="25"/>
      <c r="N376" s="25" t="str">
        <f t="shared" si="5"/>
        <v/>
      </c>
      <c r="O376" s="25"/>
      <c r="P376" s="25"/>
      <c r="Q376" s="25"/>
      <c r="R376" s="25"/>
      <c r="S376" s="25"/>
      <c r="T376" s="25"/>
      <c r="U376" s="25"/>
      <c r="V376" s="25"/>
      <c r="W376" s="24"/>
      <c r="X376" s="24"/>
      <c r="Y376" s="25"/>
      <c r="Z376" s="25" t="str">
        <f>IF(B376="","",IFERROR(INDEX(الزبائن!$AZ$6:$AZ$505,MATCH(B376,الزبائن!$A$6:$A$505,0)),"source key not found"))</f>
        <v/>
      </c>
      <c r="AA376" s="25" t="str">
        <f>IF(B376="","",IFERROR(INDEX(الزبائن!$BA$6:$BA$505,MATCH(B376,الزبائن!$A$6:$A$505,0)),"source key not found"))</f>
        <v/>
      </c>
      <c r="AB376" s="25" t="str">
        <f>IF(AND(A376="",C376="",D376="",H376="",K376="",L376=""),"",IF(C376="skip","SKIP",IF(OR(A376="",C376="",D376="",H376="",K376="",L376="",S376="",COUNTIF($A$6:$A$505,A376)&gt;1,AND(B376&lt;&gt;"",COUNTIF(الزبائن!$A$6:$A$505,B376)=0),(COUNTIFS('أرقام التواصل'!$A$6:$A$505,"proposed_name",'أرقام التواصل'!$B$6:$B$505,A376,'أرقام التواصل'!$I$6:$I$505,"TRUE")+COUNTIFS('أرقام التواصل'!$A$6:$A$505,"proposed_name",'أرقام التواصل'!$B$6:$B$505,A376,'أرقام التواصل'!$C$6:$C$505,1))=0,AND(U376="TRUE",V376="")),"REVIEW","READY")))</f>
        <v/>
      </c>
      <c r="AC376" s="27" t="str">
        <f>IF(AB376="","",IF(AB376="READY","",IF(AB376="SKIP","Skipped by candidate_import_action",TRIM(IF(A376="","missing proposed_name_key; ","")&amp;IF(AND(A376&lt;&gt;"",COUNTIF($A$6:$A$505,A376)&gt;1),"duplicate proposed_name_key; ","")&amp;IF(C376="","missing candidate_import_action; ","")&amp;IF(D376="","missing move_reason; ","")&amp;IF(H376="","missing branch_id; ","")&amp;IF(K376="","missing first_name; ","")&amp;IF(L376="","missing last_name; ","")&amp;IF(S376="","missing status; ","")&amp;IF(AND(B376&lt;&gt;"",COUNTIF(الزبائن!$A$6:$A$505,B376)=0),"source key not found; ","")&amp;IF((COUNTIFS('أرقام التواصل'!$A$6:$A$505,"proposed_name",'أرقام التواصل'!$B$6:$B$505,A376,'أرقام التواصل'!$I$6:$I$505,"TRUE")+COUNTIFS('أرقام التواصل'!$A$6:$A$505,"proposed_name",'أرقام التواصل'!$B$6:$B$505,A376,'أرقام التواصل'!$C$6:$C$505,1))=0,"missing primary contact in أرقام التواصل; ","")&amp;IF(AND(U376="TRUE",V376=""),"duplicate_type required when duplicate_flag TRUE; ","")))))</f>
        <v/>
      </c>
    </row>
    <row r="377" spans="1:29">
      <c r="A377" s="36"/>
      <c r="B377" s="24"/>
      <c r="C377" s="25"/>
      <c r="D377" s="25"/>
      <c r="E377" s="25"/>
      <c r="F377" s="24"/>
      <c r="G377" s="25"/>
      <c r="H377" s="25"/>
      <c r="I377" s="25"/>
      <c r="J377" s="25"/>
      <c r="K377" s="25"/>
      <c r="L377" s="25"/>
      <c r="M377" s="25"/>
      <c r="N377" s="25" t="str">
        <f t="shared" si="5"/>
        <v/>
      </c>
      <c r="O377" s="25"/>
      <c r="P377" s="25"/>
      <c r="Q377" s="25"/>
      <c r="R377" s="25"/>
      <c r="S377" s="25"/>
      <c r="T377" s="25"/>
      <c r="U377" s="25"/>
      <c r="V377" s="25"/>
      <c r="W377" s="24"/>
      <c r="X377" s="24"/>
      <c r="Y377" s="25"/>
      <c r="Z377" s="25" t="str">
        <f>IF(B377="","",IFERROR(INDEX(الزبائن!$AZ$6:$AZ$505,MATCH(B377,الزبائن!$A$6:$A$505,0)),"source key not found"))</f>
        <v/>
      </c>
      <c r="AA377" s="25" t="str">
        <f>IF(B377="","",IFERROR(INDEX(الزبائن!$BA$6:$BA$505,MATCH(B377,الزبائن!$A$6:$A$505,0)),"source key not found"))</f>
        <v/>
      </c>
      <c r="AB377" s="25" t="str">
        <f>IF(AND(A377="",C377="",D377="",H377="",K377="",L377=""),"",IF(C377="skip","SKIP",IF(OR(A377="",C377="",D377="",H377="",K377="",L377="",S377="",COUNTIF($A$6:$A$505,A377)&gt;1,AND(B377&lt;&gt;"",COUNTIF(الزبائن!$A$6:$A$505,B377)=0),(COUNTIFS('أرقام التواصل'!$A$6:$A$505,"proposed_name",'أرقام التواصل'!$B$6:$B$505,A377,'أرقام التواصل'!$I$6:$I$505,"TRUE")+COUNTIFS('أرقام التواصل'!$A$6:$A$505,"proposed_name",'أرقام التواصل'!$B$6:$B$505,A377,'أرقام التواصل'!$C$6:$C$505,1))=0,AND(U377="TRUE",V377="")),"REVIEW","READY")))</f>
        <v/>
      </c>
      <c r="AC377" s="27" t="str">
        <f>IF(AB377="","",IF(AB377="READY","",IF(AB377="SKIP","Skipped by candidate_import_action",TRIM(IF(A377="","missing proposed_name_key; ","")&amp;IF(AND(A377&lt;&gt;"",COUNTIF($A$6:$A$505,A377)&gt;1),"duplicate proposed_name_key; ","")&amp;IF(C377="","missing candidate_import_action; ","")&amp;IF(D377="","missing move_reason; ","")&amp;IF(H377="","missing branch_id; ","")&amp;IF(K377="","missing first_name; ","")&amp;IF(L377="","missing last_name; ","")&amp;IF(S377="","missing status; ","")&amp;IF(AND(B377&lt;&gt;"",COUNTIF(الزبائن!$A$6:$A$505,B377)=0),"source key not found; ","")&amp;IF((COUNTIFS('أرقام التواصل'!$A$6:$A$505,"proposed_name",'أرقام التواصل'!$B$6:$B$505,A377,'أرقام التواصل'!$I$6:$I$505,"TRUE")+COUNTIFS('أرقام التواصل'!$A$6:$A$505,"proposed_name",'أرقام التواصل'!$B$6:$B$505,A377,'أرقام التواصل'!$C$6:$C$505,1))=0,"missing primary contact in أرقام التواصل; ","")&amp;IF(AND(U377="TRUE",V377=""),"duplicate_type required when duplicate_flag TRUE; ","")))))</f>
        <v/>
      </c>
    </row>
    <row r="378" spans="1:29">
      <c r="A378" s="36"/>
      <c r="B378" s="24"/>
      <c r="C378" s="25"/>
      <c r="D378" s="25"/>
      <c r="E378" s="25"/>
      <c r="F378" s="24"/>
      <c r="G378" s="25"/>
      <c r="H378" s="25"/>
      <c r="I378" s="25"/>
      <c r="J378" s="25"/>
      <c r="K378" s="25"/>
      <c r="L378" s="25"/>
      <c r="M378" s="25"/>
      <c r="N378" s="25" t="str">
        <f t="shared" si="5"/>
        <v/>
      </c>
      <c r="O378" s="25"/>
      <c r="P378" s="25"/>
      <c r="Q378" s="25"/>
      <c r="R378" s="25"/>
      <c r="S378" s="25"/>
      <c r="T378" s="25"/>
      <c r="U378" s="25"/>
      <c r="V378" s="25"/>
      <c r="W378" s="24"/>
      <c r="X378" s="24"/>
      <c r="Y378" s="25"/>
      <c r="Z378" s="25" t="str">
        <f>IF(B378="","",IFERROR(INDEX(الزبائن!$AZ$6:$AZ$505,MATCH(B378,الزبائن!$A$6:$A$505,0)),"source key not found"))</f>
        <v/>
      </c>
      <c r="AA378" s="25" t="str">
        <f>IF(B378="","",IFERROR(INDEX(الزبائن!$BA$6:$BA$505,MATCH(B378,الزبائن!$A$6:$A$505,0)),"source key not found"))</f>
        <v/>
      </c>
      <c r="AB378" s="25" t="str">
        <f>IF(AND(A378="",C378="",D378="",H378="",K378="",L378=""),"",IF(C378="skip","SKIP",IF(OR(A378="",C378="",D378="",H378="",K378="",L378="",S378="",COUNTIF($A$6:$A$505,A378)&gt;1,AND(B378&lt;&gt;"",COUNTIF(الزبائن!$A$6:$A$505,B378)=0),(COUNTIFS('أرقام التواصل'!$A$6:$A$505,"proposed_name",'أرقام التواصل'!$B$6:$B$505,A378,'أرقام التواصل'!$I$6:$I$505,"TRUE")+COUNTIFS('أرقام التواصل'!$A$6:$A$505,"proposed_name",'أرقام التواصل'!$B$6:$B$505,A378,'أرقام التواصل'!$C$6:$C$505,1))=0,AND(U378="TRUE",V378="")),"REVIEW","READY")))</f>
        <v/>
      </c>
      <c r="AC378" s="27" t="str">
        <f>IF(AB378="","",IF(AB378="READY","",IF(AB378="SKIP","Skipped by candidate_import_action",TRIM(IF(A378="","missing proposed_name_key; ","")&amp;IF(AND(A378&lt;&gt;"",COUNTIF($A$6:$A$505,A378)&gt;1),"duplicate proposed_name_key; ","")&amp;IF(C378="","missing candidate_import_action; ","")&amp;IF(D378="","missing move_reason; ","")&amp;IF(H378="","missing branch_id; ","")&amp;IF(K378="","missing first_name; ","")&amp;IF(L378="","missing last_name; ","")&amp;IF(S378="","missing status; ","")&amp;IF(AND(B378&lt;&gt;"",COUNTIF(الزبائن!$A$6:$A$505,B378)=0),"source key not found; ","")&amp;IF((COUNTIFS('أرقام التواصل'!$A$6:$A$505,"proposed_name",'أرقام التواصل'!$B$6:$B$505,A378,'أرقام التواصل'!$I$6:$I$505,"TRUE")+COUNTIFS('أرقام التواصل'!$A$6:$A$505,"proposed_name",'أرقام التواصل'!$B$6:$B$505,A378,'أرقام التواصل'!$C$6:$C$505,1))=0,"missing primary contact in أرقام التواصل; ","")&amp;IF(AND(U378="TRUE",V378=""),"duplicate_type required when duplicate_flag TRUE; ","")))))</f>
        <v/>
      </c>
    </row>
    <row r="379" spans="1:29">
      <c r="A379" s="36"/>
      <c r="B379" s="24"/>
      <c r="C379" s="25"/>
      <c r="D379" s="25"/>
      <c r="E379" s="25"/>
      <c r="F379" s="24"/>
      <c r="G379" s="25"/>
      <c r="H379" s="25"/>
      <c r="I379" s="25"/>
      <c r="J379" s="25"/>
      <c r="K379" s="25"/>
      <c r="L379" s="25"/>
      <c r="M379" s="25"/>
      <c r="N379" s="25" t="str">
        <f t="shared" si="5"/>
        <v/>
      </c>
      <c r="O379" s="25"/>
      <c r="P379" s="25"/>
      <c r="Q379" s="25"/>
      <c r="R379" s="25"/>
      <c r="S379" s="25"/>
      <c r="T379" s="25"/>
      <c r="U379" s="25"/>
      <c r="V379" s="25"/>
      <c r="W379" s="24"/>
      <c r="X379" s="24"/>
      <c r="Y379" s="25"/>
      <c r="Z379" s="25" t="str">
        <f>IF(B379="","",IFERROR(INDEX(الزبائن!$AZ$6:$AZ$505,MATCH(B379,الزبائن!$A$6:$A$505,0)),"source key not found"))</f>
        <v/>
      </c>
      <c r="AA379" s="25" t="str">
        <f>IF(B379="","",IFERROR(INDEX(الزبائن!$BA$6:$BA$505,MATCH(B379,الزبائن!$A$6:$A$505,0)),"source key not found"))</f>
        <v/>
      </c>
      <c r="AB379" s="25" t="str">
        <f>IF(AND(A379="",C379="",D379="",H379="",K379="",L379=""),"",IF(C379="skip","SKIP",IF(OR(A379="",C379="",D379="",H379="",K379="",L379="",S379="",COUNTIF($A$6:$A$505,A379)&gt;1,AND(B379&lt;&gt;"",COUNTIF(الزبائن!$A$6:$A$505,B379)=0),(COUNTIFS('أرقام التواصل'!$A$6:$A$505,"proposed_name",'أرقام التواصل'!$B$6:$B$505,A379,'أرقام التواصل'!$I$6:$I$505,"TRUE")+COUNTIFS('أرقام التواصل'!$A$6:$A$505,"proposed_name",'أرقام التواصل'!$B$6:$B$505,A379,'أرقام التواصل'!$C$6:$C$505,1))=0,AND(U379="TRUE",V379="")),"REVIEW","READY")))</f>
        <v/>
      </c>
      <c r="AC379" s="27" t="str">
        <f>IF(AB379="","",IF(AB379="READY","",IF(AB379="SKIP","Skipped by candidate_import_action",TRIM(IF(A379="","missing proposed_name_key; ","")&amp;IF(AND(A379&lt;&gt;"",COUNTIF($A$6:$A$505,A379)&gt;1),"duplicate proposed_name_key; ","")&amp;IF(C379="","missing candidate_import_action; ","")&amp;IF(D379="","missing move_reason; ","")&amp;IF(H379="","missing branch_id; ","")&amp;IF(K379="","missing first_name; ","")&amp;IF(L379="","missing last_name; ","")&amp;IF(S379="","missing status; ","")&amp;IF(AND(B379&lt;&gt;"",COUNTIF(الزبائن!$A$6:$A$505,B379)=0),"source key not found; ","")&amp;IF((COUNTIFS('أرقام التواصل'!$A$6:$A$505,"proposed_name",'أرقام التواصل'!$B$6:$B$505,A379,'أرقام التواصل'!$I$6:$I$505,"TRUE")+COUNTIFS('أرقام التواصل'!$A$6:$A$505,"proposed_name",'أرقام التواصل'!$B$6:$B$505,A379,'أرقام التواصل'!$C$6:$C$505,1))=0,"missing primary contact in أرقام التواصل; ","")&amp;IF(AND(U379="TRUE",V379=""),"duplicate_type required when duplicate_flag TRUE; ","")))))</f>
        <v/>
      </c>
    </row>
    <row r="380" spans="1:29">
      <c r="A380" s="36"/>
      <c r="B380" s="24"/>
      <c r="C380" s="25"/>
      <c r="D380" s="25"/>
      <c r="E380" s="25"/>
      <c r="F380" s="24"/>
      <c r="G380" s="25"/>
      <c r="H380" s="25"/>
      <c r="I380" s="25"/>
      <c r="J380" s="25"/>
      <c r="K380" s="25"/>
      <c r="L380" s="25"/>
      <c r="M380" s="25"/>
      <c r="N380" s="25" t="str">
        <f t="shared" si="5"/>
        <v/>
      </c>
      <c r="O380" s="25"/>
      <c r="P380" s="25"/>
      <c r="Q380" s="25"/>
      <c r="R380" s="25"/>
      <c r="S380" s="25"/>
      <c r="T380" s="25"/>
      <c r="U380" s="25"/>
      <c r="V380" s="25"/>
      <c r="W380" s="24"/>
      <c r="X380" s="24"/>
      <c r="Y380" s="25"/>
      <c r="Z380" s="25" t="str">
        <f>IF(B380="","",IFERROR(INDEX(الزبائن!$AZ$6:$AZ$505,MATCH(B380,الزبائن!$A$6:$A$505,0)),"source key not found"))</f>
        <v/>
      </c>
      <c r="AA380" s="25" t="str">
        <f>IF(B380="","",IFERROR(INDEX(الزبائن!$BA$6:$BA$505,MATCH(B380,الزبائن!$A$6:$A$505,0)),"source key not found"))</f>
        <v/>
      </c>
      <c r="AB380" s="25" t="str">
        <f>IF(AND(A380="",C380="",D380="",H380="",K380="",L380=""),"",IF(C380="skip","SKIP",IF(OR(A380="",C380="",D380="",H380="",K380="",L380="",S380="",COUNTIF($A$6:$A$505,A380)&gt;1,AND(B380&lt;&gt;"",COUNTIF(الزبائن!$A$6:$A$505,B380)=0),(COUNTIFS('أرقام التواصل'!$A$6:$A$505,"proposed_name",'أرقام التواصل'!$B$6:$B$505,A380,'أرقام التواصل'!$I$6:$I$505,"TRUE")+COUNTIFS('أرقام التواصل'!$A$6:$A$505,"proposed_name",'أرقام التواصل'!$B$6:$B$505,A380,'أرقام التواصل'!$C$6:$C$505,1))=0,AND(U380="TRUE",V380="")),"REVIEW","READY")))</f>
        <v/>
      </c>
      <c r="AC380" s="27" t="str">
        <f>IF(AB380="","",IF(AB380="READY","",IF(AB380="SKIP","Skipped by candidate_import_action",TRIM(IF(A380="","missing proposed_name_key; ","")&amp;IF(AND(A380&lt;&gt;"",COUNTIF($A$6:$A$505,A380)&gt;1),"duplicate proposed_name_key; ","")&amp;IF(C380="","missing candidate_import_action; ","")&amp;IF(D380="","missing move_reason; ","")&amp;IF(H380="","missing branch_id; ","")&amp;IF(K380="","missing first_name; ","")&amp;IF(L380="","missing last_name; ","")&amp;IF(S380="","missing status; ","")&amp;IF(AND(B380&lt;&gt;"",COUNTIF(الزبائن!$A$6:$A$505,B380)=0),"source key not found; ","")&amp;IF((COUNTIFS('أرقام التواصل'!$A$6:$A$505,"proposed_name",'أرقام التواصل'!$B$6:$B$505,A380,'أرقام التواصل'!$I$6:$I$505,"TRUE")+COUNTIFS('أرقام التواصل'!$A$6:$A$505,"proposed_name",'أرقام التواصل'!$B$6:$B$505,A380,'أرقام التواصل'!$C$6:$C$505,1))=0,"missing primary contact in أرقام التواصل; ","")&amp;IF(AND(U380="TRUE",V380=""),"duplicate_type required when duplicate_flag TRUE; ","")))))</f>
        <v/>
      </c>
    </row>
    <row r="381" spans="1:29">
      <c r="A381" s="36"/>
      <c r="B381" s="24"/>
      <c r="C381" s="25"/>
      <c r="D381" s="25"/>
      <c r="E381" s="25"/>
      <c r="F381" s="24"/>
      <c r="G381" s="25"/>
      <c r="H381" s="25"/>
      <c r="I381" s="25"/>
      <c r="J381" s="25"/>
      <c r="K381" s="25"/>
      <c r="L381" s="25"/>
      <c r="M381" s="25"/>
      <c r="N381" s="25" t="str">
        <f t="shared" si="5"/>
        <v/>
      </c>
      <c r="O381" s="25"/>
      <c r="P381" s="25"/>
      <c r="Q381" s="25"/>
      <c r="R381" s="25"/>
      <c r="S381" s="25"/>
      <c r="T381" s="25"/>
      <c r="U381" s="25"/>
      <c r="V381" s="25"/>
      <c r="W381" s="24"/>
      <c r="X381" s="24"/>
      <c r="Y381" s="25"/>
      <c r="Z381" s="25" t="str">
        <f>IF(B381="","",IFERROR(INDEX(الزبائن!$AZ$6:$AZ$505,MATCH(B381,الزبائن!$A$6:$A$505,0)),"source key not found"))</f>
        <v/>
      </c>
      <c r="AA381" s="25" t="str">
        <f>IF(B381="","",IFERROR(INDEX(الزبائن!$BA$6:$BA$505,MATCH(B381,الزبائن!$A$6:$A$505,0)),"source key not found"))</f>
        <v/>
      </c>
      <c r="AB381" s="25" t="str">
        <f>IF(AND(A381="",C381="",D381="",H381="",K381="",L381=""),"",IF(C381="skip","SKIP",IF(OR(A381="",C381="",D381="",H381="",K381="",L381="",S381="",COUNTIF($A$6:$A$505,A381)&gt;1,AND(B381&lt;&gt;"",COUNTIF(الزبائن!$A$6:$A$505,B381)=0),(COUNTIFS('أرقام التواصل'!$A$6:$A$505,"proposed_name",'أرقام التواصل'!$B$6:$B$505,A381,'أرقام التواصل'!$I$6:$I$505,"TRUE")+COUNTIFS('أرقام التواصل'!$A$6:$A$505,"proposed_name",'أرقام التواصل'!$B$6:$B$505,A381,'أرقام التواصل'!$C$6:$C$505,1))=0,AND(U381="TRUE",V381="")),"REVIEW","READY")))</f>
        <v/>
      </c>
      <c r="AC381" s="27" t="str">
        <f>IF(AB381="","",IF(AB381="READY","",IF(AB381="SKIP","Skipped by candidate_import_action",TRIM(IF(A381="","missing proposed_name_key; ","")&amp;IF(AND(A381&lt;&gt;"",COUNTIF($A$6:$A$505,A381)&gt;1),"duplicate proposed_name_key; ","")&amp;IF(C381="","missing candidate_import_action; ","")&amp;IF(D381="","missing move_reason; ","")&amp;IF(H381="","missing branch_id; ","")&amp;IF(K381="","missing first_name; ","")&amp;IF(L381="","missing last_name; ","")&amp;IF(S381="","missing status; ","")&amp;IF(AND(B381&lt;&gt;"",COUNTIF(الزبائن!$A$6:$A$505,B381)=0),"source key not found; ","")&amp;IF((COUNTIFS('أرقام التواصل'!$A$6:$A$505,"proposed_name",'أرقام التواصل'!$B$6:$B$505,A381,'أرقام التواصل'!$I$6:$I$505,"TRUE")+COUNTIFS('أرقام التواصل'!$A$6:$A$505,"proposed_name",'أرقام التواصل'!$B$6:$B$505,A381,'أرقام التواصل'!$C$6:$C$505,1))=0,"missing primary contact in أرقام التواصل; ","")&amp;IF(AND(U381="TRUE",V381=""),"duplicate_type required when duplicate_flag TRUE; ","")))))</f>
        <v/>
      </c>
    </row>
    <row r="382" spans="1:29">
      <c r="A382" s="36"/>
      <c r="B382" s="24"/>
      <c r="C382" s="25"/>
      <c r="D382" s="25"/>
      <c r="E382" s="25"/>
      <c r="F382" s="24"/>
      <c r="G382" s="25"/>
      <c r="H382" s="25"/>
      <c r="I382" s="25"/>
      <c r="J382" s="25"/>
      <c r="K382" s="25"/>
      <c r="L382" s="25"/>
      <c r="M382" s="25"/>
      <c r="N382" s="25" t="str">
        <f t="shared" si="5"/>
        <v/>
      </c>
      <c r="O382" s="25"/>
      <c r="P382" s="25"/>
      <c r="Q382" s="25"/>
      <c r="R382" s="25"/>
      <c r="S382" s="25"/>
      <c r="T382" s="25"/>
      <c r="U382" s="25"/>
      <c r="V382" s="25"/>
      <c r="W382" s="24"/>
      <c r="X382" s="24"/>
      <c r="Y382" s="25"/>
      <c r="Z382" s="25" t="str">
        <f>IF(B382="","",IFERROR(INDEX(الزبائن!$AZ$6:$AZ$505,MATCH(B382,الزبائن!$A$6:$A$505,0)),"source key not found"))</f>
        <v/>
      </c>
      <c r="AA382" s="25" t="str">
        <f>IF(B382="","",IFERROR(INDEX(الزبائن!$BA$6:$BA$505,MATCH(B382,الزبائن!$A$6:$A$505,0)),"source key not found"))</f>
        <v/>
      </c>
      <c r="AB382" s="25" t="str">
        <f>IF(AND(A382="",C382="",D382="",H382="",K382="",L382=""),"",IF(C382="skip","SKIP",IF(OR(A382="",C382="",D382="",H382="",K382="",L382="",S382="",COUNTIF($A$6:$A$505,A382)&gt;1,AND(B382&lt;&gt;"",COUNTIF(الزبائن!$A$6:$A$505,B382)=0),(COUNTIFS('أرقام التواصل'!$A$6:$A$505,"proposed_name",'أرقام التواصل'!$B$6:$B$505,A382,'أرقام التواصل'!$I$6:$I$505,"TRUE")+COUNTIFS('أرقام التواصل'!$A$6:$A$505,"proposed_name",'أرقام التواصل'!$B$6:$B$505,A382,'أرقام التواصل'!$C$6:$C$505,1))=0,AND(U382="TRUE",V382="")),"REVIEW","READY")))</f>
        <v/>
      </c>
      <c r="AC382" s="27" t="str">
        <f>IF(AB382="","",IF(AB382="READY","",IF(AB382="SKIP","Skipped by candidate_import_action",TRIM(IF(A382="","missing proposed_name_key; ","")&amp;IF(AND(A382&lt;&gt;"",COUNTIF($A$6:$A$505,A382)&gt;1),"duplicate proposed_name_key; ","")&amp;IF(C382="","missing candidate_import_action; ","")&amp;IF(D382="","missing move_reason; ","")&amp;IF(H382="","missing branch_id; ","")&amp;IF(K382="","missing first_name; ","")&amp;IF(L382="","missing last_name; ","")&amp;IF(S382="","missing status; ","")&amp;IF(AND(B382&lt;&gt;"",COUNTIF(الزبائن!$A$6:$A$505,B382)=0),"source key not found; ","")&amp;IF((COUNTIFS('أرقام التواصل'!$A$6:$A$505,"proposed_name",'أرقام التواصل'!$B$6:$B$505,A382,'أرقام التواصل'!$I$6:$I$505,"TRUE")+COUNTIFS('أرقام التواصل'!$A$6:$A$505,"proposed_name",'أرقام التواصل'!$B$6:$B$505,A382,'أرقام التواصل'!$C$6:$C$505,1))=0,"missing primary contact in أرقام التواصل; ","")&amp;IF(AND(U382="TRUE",V382=""),"duplicate_type required when duplicate_flag TRUE; ","")))))</f>
        <v/>
      </c>
    </row>
    <row r="383" spans="1:29">
      <c r="A383" s="36"/>
      <c r="B383" s="24"/>
      <c r="C383" s="25"/>
      <c r="D383" s="25"/>
      <c r="E383" s="25"/>
      <c r="F383" s="24"/>
      <c r="G383" s="25"/>
      <c r="H383" s="25"/>
      <c r="I383" s="25"/>
      <c r="J383" s="25"/>
      <c r="K383" s="25"/>
      <c r="L383" s="25"/>
      <c r="M383" s="25"/>
      <c r="N383" s="25" t="str">
        <f t="shared" si="5"/>
        <v/>
      </c>
      <c r="O383" s="25"/>
      <c r="P383" s="25"/>
      <c r="Q383" s="25"/>
      <c r="R383" s="25"/>
      <c r="S383" s="25"/>
      <c r="T383" s="25"/>
      <c r="U383" s="25"/>
      <c r="V383" s="25"/>
      <c r="W383" s="24"/>
      <c r="X383" s="24"/>
      <c r="Y383" s="25"/>
      <c r="Z383" s="25" t="str">
        <f>IF(B383="","",IFERROR(INDEX(الزبائن!$AZ$6:$AZ$505,MATCH(B383,الزبائن!$A$6:$A$505,0)),"source key not found"))</f>
        <v/>
      </c>
      <c r="AA383" s="25" t="str">
        <f>IF(B383="","",IFERROR(INDEX(الزبائن!$BA$6:$BA$505,MATCH(B383,الزبائن!$A$6:$A$505,0)),"source key not found"))</f>
        <v/>
      </c>
      <c r="AB383" s="25" t="str">
        <f>IF(AND(A383="",C383="",D383="",H383="",K383="",L383=""),"",IF(C383="skip","SKIP",IF(OR(A383="",C383="",D383="",H383="",K383="",L383="",S383="",COUNTIF($A$6:$A$505,A383)&gt;1,AND(B383&lt;&gt;"",COUNTIF(الزبائن!$A$6:$A$505,B383)=0),(COUNTIFS('أرقام التواصل'!$A$6:$A$505,"proposed_name",'أرقام التواصل'!$B$6:$B$505,A383,'أرقام التواصل'!$I$6:$I$505,"TRUE")+COUNTIFS('أرقام التواصل'!$A$6:$A$505,"proposed_name",'أرقام التواصل'!$B$6:$B$505,A383,'أرقام التواصل'!$C$6:$C$505,1))=0,AND(U383="TRUE",V383="")),"REVIEW","READY")))</f>
        <v/>
      </c>
      <c r="AC383" s="27" t="str">
        <f>IF(AB383="","",IF(AB383="READY","",IF(AB383="SKIP","Skipped by candidate_import_action",TRIM(IF(A383="","missing proposed_name_key; ","")&amp;IF(AND(A383&lt;&gt;"",COUNTIF($A$6:$A$505,A383)&gt;1),"duplicate proposed_name_key; ","")&amp;IF(C383="","missing candidate_import_action; ","")&amp;IF(D383="","missing move_reason; ","")&amp;IF(H383="","missing branch_id; ","")&amp;IF(K383="","missing first_name; ","")&amp;IF(L383="","missing last_name; ","")&amp;IF(S383="","missing status; ","")&amp;IF(AND(B383&lt;&gt;"",COUNTIF(الزبائن!$A$6:$A$505,B383)=0),"source key not found; ","")&amp;IF((COUNTIFS('أرقام التواصل'!$A$6:$A$505,"proposed_name",'أرقام التواصل'!$B$6:$B$505,A383,'أرقام التواصل'!$I$6:$I$505,"TRUE")+COUNTIFS('أرقام التواصل'!$A$6:$A$505,"proposed_name",'أرقام التواصل'!$B$6:$B$505,A383,'أرقام التواصل'!$C$6:$C$505,1))=0,"missing primary contact in أرقام التواصل; ","")&amp;IF(AND(U383="TRUE",V383=""),"duplicate_type required when duplicate_flag TRUE; ","")))))</f>
        <v/>
      </c>
    </row>
    <row r="384" spans="1:29">
      <c r="A384" s="36"/>
      <c r="B384" s="24"/>
      <c r="C384" s="25"/>
      <c r="D384" s="25"/>
      <c r="E384" s="25"/>
      <c r="F384" s="24"/>
      <c r="G384" s="25"/>
      <c r="H384" s="25"/>
      <c r="I384" s="25"/>
      <c r="J384" s="25"/>
      <c r="K384" s="25"/>
      <c r="L384" s="25"/>
      <c r="M384" s="25"/>
      <c r="N384" s="25" t="str">
        <f t="shared" si="5"/>
        <v/>
      </c>
      <c r="O384" s="25"/>
      <c r="P384" s="25"/>
      <c r="Q384" s="25"/>
      <c r="R384" s="25"/>
      <c r="S384" s="25"/>
      <c r="T384" s="25"/>
      <c r="U384" s="25"/>
      <c r="V384" s="25"/>
      <c r="W384" s="24"/>
      <c r="X384" s="24"/>
      <c r="Y384" s="25"/>
      <c r="Z384" s="25" t="str">
        <f>IF(B384="","",IFERROR(INDEX(الزبائن!$AZ$6:$AZ$505,MATCH(B384,الزبائن!$A$6:$A$505,0)),"source key not found"))</f>
        <v/>
      </c>
      <c r="AA384" s="25" t="str">
        <f>IF(B384="","",IFERROR(INDEX(الزبائن!$BA$6:$BA$505,MATCH(B384,الزبائن!$A$6:$A$505,0)),"source key not found"))</f>
        <v/>
      </c>
      <c r="AB384" s="25" t="str">
        <f>IF(AND(A384="",C384="",D384="",H384="",K384="",L384=""),"",IF(C384="skip","SKIP",IF(OR(A384="",C384="",D384="",H384="",K384="",L384="",S384="",COUNTIF($A$6:$A$505,A384)&gt;1,AND(B384&lt;&gt;"",COUNTIF(الزبائن!$A$6:$A$505,B384)=0),(COUNTIFS('أرقام التواصل'!$A$6:$A$505,"proposed_name",'أرقام التواصل'!$B$6:$B$505,A384,'أرقام التواصل'!$I$6:$I$505,"TRUE")+COUNTIFS('أرقام التواصل'!$A$6:$A$505,"proposed_name",'أرقام التواصل'!$B$6:$B$505,A384,'أرقام التواصل'!$C$6:$C$505,1))=0,AND(U384="TRUE",V384="")),"REVIEW","READY")))</f>
        <v/>
      </c>
      <c r="AC384" s="27" t="str">
        <f>IF(AB384="","",IF(AB384="READY","",IF(AB384="SKIP","Skipped by candidate_import_action",TRIM(IF(A384="","missing proposed_name_key; ","")&amp;IF(AND(A384&lt;&gt;"",COUNTIF($A$6:$A$505,A384)&gt;1),"duplicate proposed_name_key; ","")&amp;IF(C384="","missing candidate_import_action; ","")&amp;IF(D384="","missing move_reason; ","")&amp;IF(H384="","missing branch_id; ","")&amp;IF(K384="","missing first_name; ","")&amp;IF(L384="","missing last_name; ","")&amp;IF(S384="","missing status; ","")&amp;IF(AND(B384&lt;&gt;"",COUNTIF(الزبائن!$A$6:$A$505,B384)=0),"source key not found; ","")&amp;IF((COUNTIFS('أرقام التواصل'!$A$6:$A$505,"proposed_name",'أرقام التواصل'!$B$6:$B$505,A384,'أرقام التواصل'!$I$6:$I$505,"TRUE")+COUNTIFS('أرقام التواصل'!$A$6:$A$505,"proposed_name",'أرقام التواصل'!$B$6:$B$505,A384,'أرقام التواصل'!$C$6:$C$505,1))=0,"missing primary contact in أرقام التواصل; ","")&amp;IF(AND(U384="TRUE",V384=""),"duplicate_type required when duplicate_flag TRUE; ","")))))</f>
        <v/>
      </c>
    </row>
    <row r="385" spans="1:29">
      <c r="A385" s="36"/>
      <c r="B385" s="24"/>
      <c r="C385" s="25"/>
      <c r="D385" s="25"/>
      <c r="E385" s="25"/>
      <c r="F385" s="24"/>
      <c r="G385" s="25"/>
      <c r="H385" s="25"/>
      <c r="I385" s="25"/>
      <c r="J385" s="25"/>
      <c r="K385" s="25"/>
      <c r="L385" s="25"/>
      <c r="M385" s="25"/>
      <c r="N385" s="25" t="str">
        <f t="shared" si="5"/>
        <v/>
      </c>
      <c r="O385" s="25"/>
      <c r="P385" s="25"/>
      <c r="Q385" s="25"/>
      <c r="R385" s="25"/>
      <c r="S385" s="25"/>
      <c r="T385" s="25"/>
      <c r="U385" s="25"/>
      <c r="V385" s="25"/>
      <c r="W385" s="24"/>
      <c r="X385" s="24"/>
      <c r="Y385" s="25"/>
      <c r="Z385" s="25" t="str">
        <f>IF(B385="","",IFERROR(INDEX(الزبائن!$AZ$6:$AZ$505,MATCH(B385,الزبائن!$A$6:$A$505,0)),"source key not found"))</f>
        <v/>
      </c>
      <c r="AA385" s="25" t="str">
        <f>IF(B385="","",IFERROR(INDEX(الزبائن!$BA$6:$BA$505,MATCH(B385,الزبائن!$A$6:$A$505,0)),"source key not found"))</f>
        <v/>
      </c>
      <c r="AB385" s="25" t="str">
        <f>IF(AND(A385="",C385="",D385="",H385="",K385="",L385=""),"",IF(C385="skip","SKIP",IF(OR(A385="",C385="",D385="",H385="",K385="",L385="",S385="",COUNTIF($A$6:$A$505,A385)&gt;1,AND(B385&lt;&gt;"",COUNTIF(الزبائن!$A$6:$A$505,B385)=0),(COUNTIFS('أرقام التواصل'!$A$6:$A$505,"proposed_name",'أرقام التواصل'!$B$6:$B$505,A385,'أرقام التواصل'!$I$6:$I$505,"TRUE")+COUNTIFS('أرقام التواصل'!$A$6:$A$505,"proposed_name",'أرقام التواصل'!$B$6:$B$505,A385,'أرقام التواصل'!$C$6:$C$505,1))=0,AND(U385="TRUE",V385="")),"REVIEW","READY")))</f>
        <v/>
      </c>
      <c r="AC385" s="27" t="str">
        <f>IF(AB385="","",IF(AB385="READY","",IF(AB385="SKIP","Skipped by candidate_import_action",TRIM(IF(A385="","missing proposed_name_key; ","")&amp;IF(AND(A385&lt;&gt;"",COUNTIF($A$6:$A$505,A385)&gt;1),"duplicate proposed_name_key; ","")&amp;IF(C385="","missing candidate_import_action; ","")&amp;IF(D385="","missing move_reason; ","")&amp;IF(H385="","missing branch_id; ","")&amp;IF(K385="","missing first_name; ","")&amp;IF(L385="","missing last_name; ","")&amp;IF(S385="","missing status; ","")&amp;IF(AND(B385&lt;&gt;"",COUNTIF(الزبائن!$A$6:$A$505,B385)=0),"source key not found; ","")&amp;IF((COUNTIFS('أرقام التواصل'!$A$6:$A$505,"proposed_name",'أرقام التواصل'!$B$6:$B$505,A385,'أرقام التواصل'!$I$6:$I$505,"TRUE")+COUNTIFS('أرقام التواصل'!$A$6:$A$505,"proposed_name",'أرقام التواصل'!$B$6:$B$505,A385,'أرقام التواصل'!$C$6:$C$505,1))=0,"missing primary contact in أرقام التواصل; ","")&amp;IF(AND(U385="TRUE",V385=""),"duplicate_type required when duplicate_flag TRUE; ","")))))</f>
        <v/>
      </c>
    </row>
    <row r="386" spans="1:29">
      <c r="A386" s="36"/>
      <c r="B386" s="24"/>
      <c r="C386" s="25"/>
      <c r="D386" s="25"/>
      <c r="E386" s="25"/>
      <c r="F386" s="24"/>
      <c r="G386" s="25"/>
      <c r="H386" s="25"/>
      <c r="I386" s="25"/>
      <c r="J386" s="25"/>
      <c r="K386" s="25"/>
      <c r="L386" s="25"/>
      <c r="M386" s="25"/>
      <c r="N386" s="25" t="str">
        <f t="shared" si="5"/>
        <v/>
      </c>
      <c r="O386" s="25"/>
      <c r="P386" s="25"/>
      <c r="Q386" s="25"/>
      <c r="R386" s="25"/>
      <c r="S386" s="25"/>
      <c r="T386" s="25"/>
      <c r="U386" s="25"/>
      <c r="V386" s="25"/>
      <c r="W386" s="24"/>
      <c r="X386" s="24"/>
      <c r="Y386" s="25"/>
      <c r="Z386" s="25" t="str">
        <f>IF(B386="","",IFERROR(INDEX(الزبائن!$AZ$6:$AZ$505,MATCH(B386,الزبائن!$A$6:$A$505,0)),"source key not found"))</f>
        <v/>
      </c>
      <c r="AA386" s="25" t="str">
        <f>IF(B386="","",IFERROR(INDEX(الزبائن!$BA$6:$BA$505,MATCH(B386,الزبائن!$A$6:$A$505,0)),"source key not found"))</f>
        <v/>
      </c>
      <c r="AB386" s="25" t="str">
        <f>IF(AND(A386="",C386="",D386="",H386="",K386="",L386=""),"",IF(C386="skip","SKIP",IF(OR(A386="",C386="",D386="",H386="",K386="",L386="",S386="",COUNTIF($A$6:$A$505,A386)&gt;1,AND(B386&lt;&gt;"",COUNTIF(الزبائن!$A$6:$A$505,B386)=0),(COUNTIFS('أرقام التواصل'!$A$6:$A$505,"proposed_name",'أرقام التواصل'!$B$6:$B$505,A386,'أرقام التواصل'!$I$6:$I$505,"TRUE")+COUNTIFS('أرقام التواصل'!$A$6:$A$505,"proposed_name",'أرقام التواصل'!$B$6:$B$505,A386,'أرقام التواصل'!$C$6:$C$505,1))=0,AND(U386="TRUE",V386="")),"REVIEW","READY")))</f>
        <v/>
      </c>
      <c r="AC386" s="27" t="str">
        <f>IF(AB386="","",IF(AB386="READY","",IF(AB386="SKIP","Skipped by candidate_import_action",TRIM(IF(A386="","missing proposed_name_key; ","")&amp;IF(AND(A386&lt;&gt;"",COUNTIF($A$6:$A$505,A386)&gt;1),"duplicate proposed_name_key; ","")&amp;IF(C386="","missing candidate_import_action; ","")&amp;IF(D386="","missing move_reason; ","")&amp;IF(H386="","missing branch_id; ","")&amp;IF(K386="","missing first_name; ","")&amp;IF(L386="","missing last_name; ","")&amp;IF(S386="","missing status; ","")&amp;IF(AND(B386&lt;&gt;"",COUNTIF(الزبائن!$A$6:$A$505,B386)=0),"source key not found; ","")&amp;IF((COUNTIFS('أرقام التواصل'!$A$6:$A$505,"proposed_name",'أرقام التواصل'!$B$6:$B$505,A386,'أرقام التواصل'!$I$6:$I$505,"TRUE")+COUNTIFS('أرقام التواصل'!$A$6:$A$505,"proposed_name",'أرقام التواصل'!$B$6:$B$505,A386,'أرقام التواصل'!$C$6:$C$505,1))=0,"missing primary contact in أرقام التواصل; ","")&amp;IF(AND(U386="TRUE",V386=""),"duplicate_type required when duplicate_flag TRUE; ","")))))</f>
        <v/>
      </c>
    </row>
    <row r="387" spans="1:29">
      <c r="A387" s="36"/>
      <c r="B387" s="24"/>
      <c r="C387" s="25"/>
      <c r="D387" s="25"/>
      <c r="E387" s="25"/>
      <c r="F387" s="24"/>
      <c r="G387" s="25"/>
      <c r="H387" s="25"/>
      <c r="I387" s="25"/>
      <c r="J387" s="25"/>
      <c r="K387" s="25"/>
      <c r="L387" s="25"/>
      <c r="M387" s="25"/>
      <c r="N387" s="25" t="str">
        <f t="shared" si="5"/>
        <v/>
      </c>
      <c r="O387" s="25"/>
      <c r="P387" s="25"/>
      <c r="Q387" s="25"/>
      <c r="R387" s="25"/>
      <c r="S387" s="25"/>
      <c r="T387" s="25"/>
      <c r="U387" s="25"/>
      <c r="V387" s="25"/>
      <c r="W387" s="24"/>
      <c r="X387" s="24"/>
      <c r="Y387" s="25"/>
      <c r="Z387" s="25" t="str">
        <f>IF(B387="","",IFERROR(INDEX(الزبائن!$AZ$6:$AZ$505,MATCH(B387,الزبائن!$A$6:$A$505,0)),"source key not found"))</f>
        <v/>
      </c>
      <c r="AA387" s="25" t="str">
        <f>IF(B387="","",IFERROR(INDEX(الزبائن!$BA$6:$BA$505,MATCH(B387,الزبائن!$A$6:$A$505,0)),"source key not found"))</f>
        <v/>
      </c>
      <c r="AB387" s="25" t="str">
        <f>IF(AND(A387="",C387="",D387="",H387="",K387="",L387=""),"",IF(C387="skip","SKIP",IF(OR(A387="",C387="",D387="",H387="",K387="",L387="",S387="",COUNTIF($A$6:$A$505,A387)&gt;1,AND(B387&lt;&gt;"",COUNTIF(الزبائن!$A$6:$A$505,B387)=0),(COUNTIFS('أرقام التواصل'!$A$6:$A$505,"proposed_name",'أرقام التواصل'!$B$6:$B$505,A387,'أرقام التواصل'!$I$6:$I$505,"TRUE")+COUNTIFS('أرقام التواصل'!$A$6:$A$505,"proposed_name",'أرقام التواصل'!$B$6:$B$505,A387,'أرقام التواصل'!$C$6:$C$505,1))=0,AND(U387="TRUE",V387="")),"REVIEW","READY")))</f>
        <v/>
      </c>
      <c r="AC387" s="27" t="str">
        <f>IF(AB387="","",IF(AB387="READY","",IF(AB387="SKIP","Skipped by candidate_import_action",TRIM(IF(A387="","missing proposed_name_key; ","")&amp;IF(AND(A387&lt;&gt;"",COUNTIF($A$6:$A$505,A387)&gt;1),"duplicate proposed_name_key; ","")&amp;IF(C387="","missing candidate_import_action; ","")&amp;IF(D387="","missing move_reason; ","")&amp;IF(H387="","missing branch_id; ","")&amp;IF(K387="","missing first_name; ","")&amp;IF(L387="","missing last_name; ","")&amp;IF(S387="","missing status; ","")&amp;IF(AND(B387&lt;&gt;"",COUNTIF(الزبائن!$A$6:$A$505,B387)=0),"source key not found; ","")&amp;IF((COUNTIFS('أرقام التواصل'!$A$6:$A$505,"proposed_name",'أرقام التواصل'!$B$6:$B$505,A387,'أرقام التواصل'!$I$6:$I$505,"TRUE")+COUNTIFS('أرقام التواصل'!$A$6:$A$505,"proposed_name",'أرقام التواصل'!$B$6:$B$505,A387,'أرقام التواصل'!$C$6:$C$505,1))=0,"missing primary contact in أرقام التواصل; ","")&amp;IF(AND(U387="TRUE",V387=""),"duplicate_type required when duplicate_flag TRUE; ","")))))</f>
        <v/>
      </c>
    </row>
    <row r="388" spans="1:29">
      <c r="A388" s="36"/>
      <c r="B388" s="24"/>
      <c r="C388" s="25"/>
      <c r="D388" s="25"/>
      <c r="E388" s="25"/>
      <c r="F388" s="24"/>
      <c r="G388" s="25"/>
      <c r="H388" s="25"/>
      <c r="I388" s="25"/>
      <c r="J388" s="25"/>
      <c r="K388" s="25"/>
      <c r="L388" s="25"/>
      <c r="M388" s="25"/>
      <c r="N388" s="25" t="str">
        <f t="shared" si="5"/>
        <v/>
      </c>
      <c r="O388" s="25"/>
      <c r="P388" s="25"/>
      <c r="Q388" s="25"/>
      <c r="R388" s="25"/>
      <c r="S388" s="25"/>
      <c r="T388" s="25"/>
      <c r="U388" s="25"/>
      <c r="V388" s="25"/>
      <c r="W388" s="24"/>
      <c r="X388" s="24"/>
      <c r="Y388" s="25"/>
      <c r="Z388" s="25" t="str">
        <f>IF(B388="","",IFERROR(INDEX(الزبائن!$AZ$6:$AZ$505,MATCH(B388,الزبائن!$A$6:$A$505,0)),"source key not found"))</f>
        <v/>
      </c>
      <c r="AA388" s="25" t="str">
        <f>IF(B388="","",IFERROR(INDEX(الزبائن!$BA$6:$BA$505,MATCH(B388,الزبائن!$A$6:$A$505,0)),"source key not found"))</f>
        <v/>
      </c>
      <c r="AB388" s="25" t="str">
        <f>IF(AND(A388="",C388="",D388="",H388="",K388="",L388=""),"",IF(C388="skip","SKIP",IF(OR(A388="",C388="",D388="",H388="",K388="",L388="",S388="",COUNTIF($A$6:$A$505,A388)&gt;1,AND(B388&lt;&gt;"",COUNTIF(الزبائن!$A$6:$A$505,B388)=0),(COUNTIFS('أرقام التواصل'!$A$6:$A$505,"proposed_name",'أرقام التواصل'!$B$6:$B$505,A388,'أرقام التواصل'!$I$6:$I$505,"TRUE")+COUNTIFS('أرقام التواصل'!$A$6:$A$505,"proposed_name",'أرقام التواصل'!$B$6:$B$505,A388,'أرقام التواصل'!$C$6:$C$505,1))=0,AND(U388="TRUE",V388="")),"REVIEW","READY")))</f>
        <v/>
      </c>
      <c r="AC388" s="27" t="str">
        <f>IF(AB388="","",IF(AB388="READY","",IF(AB388="SKIP","Skipped by candidate_import_action",TRIM(IF(A388="","missing proposed_name_key; ","")&amp;IF(AND(A388&lt;&gt;"",COUNTIF($A$6:$A$505,A388)&gt;1),"duplicate proposed_name_key; ","")&amp;IF(C388="","missing candidate_import_action; ","")&amp;IF(D388="","missing move_reason; ","")&amp;IF(H388="","missing branch_id; ","")&amp;IF(K388="","missing first_name; ","")&amp;IF(L388="","missing last_name; ","")&amp;IF(S388="","missing status; ","")&amp;IF(AND(B388&lt;&gt;"",COUNTIF(الزبائن!$A$6:$A$505,B388)=0),"source key not found; ","")&amp;IF((COUNTIFS('أرقام التواصل'!$A$6:$A$505,"proposed_name",'أرقام التواصل'!$B$6:$B$505,A388,'أرقام التواصل'!$I$6:$I$505,"TRUE")+COUNTIFS('أرقام التواصل'!$A$6:$A$505,"proposed_name",'أرقام التواصل'!$B$6:$B$505,A388,'أرقام التواصل'!$C$6:$C$505,1))=0,"missing primary contact in أرقام التواصل; ","")&amp;IF(AND(U388="TRUE",V388=""),"duplicate_type required when duplicate_flag TRUE; ","")))))</f>
        <v/>
      </c>
    </row>
    <row r="389" spans="1:29">
      <c r="A389" s="36"/>
      <c r="B389" s="24"/>
      <c r="C389" s="25"/>
      <c r="D389" s="25"/>
      <c r="E389" s="25"/>
      <c r="F389" s="24"/>
      <c r="G389" s="25"/>
      <c r="H389" s="25"/>
      <c r="I389" s="25"/>
      <c r="J389" s="25"/>
      <c r="K389" s="25"/>
      <c r="L389" s="25"/>
      <c r="M389" s="25"/>
      <c r="N389" s="25" t="str">
        <f t="shared" si="5"/>
        <v/>
      </c>
      <c r="O389" s="25"/>
      <c r="P389" s="25"/>
      <c r="Q389" s="25"/>
      <c r="R389" s="25"/>
      <c r="S389" s="25"/>
      <c r="T389" s="25"/>
      <c r="U389" s="25"/>
      <c r="V389" s="25"/>
      <c r="W389" s="24"/>
      <c r="X389" s="24"/>
      <c r="Y389" s="25"/>
      <c r="Z389" s="25" t="str">
        <f>IF(B389="","",IFERROR(INDEX(الزبائن!$AZ$6:$AZ$505,MATCH(B389,الزبائن!$A$6:$A$505,0)),"source key not found"))</f>
        <v/>
      </c>
      <c r="AA389" s="25" t="str">
        <f>IF(B389="","",IFERROR(INDEX(الزبائن!$BA$6:$BA$505,MATCH(B389,الزبائن!$A$6:$A$505,0)),"source key not found"))</f>
        <v/>
      </c>
      <c r="AB389" s="25" t="str">
        <f>IF(AND(A389="",C389="",D389="",H389="",K389="",L389=""),"",IF(C389="skip","SKIP",IF(OR(A389="",C389="",D389="",H389="",K389="",L389="",S389="",COUNTIF($A$6:$A$505,A389)&gt;1,AND(B389&lt;&gt;"",COUNTIF(الزبائن!$A$6:$A$505,B389)=0),(COUNTIFS('أرقام التواصل'!$A$6:$A$505,"proposed_name",'أرقام التواصل'!$B$6:$B$505,A389,'أرقام التواصل'!$I$6:$I$505,"TRUE")+COUNTIFS('أرقام التواصل'!$A$6:$A$505,"proposed_name",'أرقام التواصل'!$B$6:$B$505,A389,'أرقام التواصل'!$C$6:$C$505,1))=0,AND(U389="TRUE",V389="")),"REVIEW","READY")))</f>
        <v/>
      </c>
      <c r="AC389" s="27" t="str">
        <f>IF(AB389="","",IF(AB389="READY","",IF(AB389="SKIP","Skipped by candidate_import_action",TRIM(IF(A389="","missing proposed_name_key; ","")&amp;IF(AND(A389&lt;&gt;"",COUNTIF($A$6:$A$505,A389)&gt;1),"duplicate proposed_name_key; ","")&amp;IF(C389="","missing candidate_import_action; ","")&amp;IF(D389="","missing move_reason; ","")&amp;IF(H389="","missing branch_id; ","")&amp;IF(K389="","missing first_name; ","")&amp;IF(L389="","missing last_name; ","")&amp;IF(S389="","missing status; ","")&amp;IF(AND(B389&lt;&gt;"",COUNTIF(الزبائن!$A$6:$A$505,B389)=0),"source key not found; ","")&amp;IF((COUNTIFS('أرقام التواصل'!$A$6:$A$505,"proposed_name",'أرقام التواصل'!$B$6:$B$505,A389,'أرقام التواصل'!$I$6:$I$505,"TRUE")+COUNTIFS('أرقام التواصل'!$A$6:$A$505,"proposed_name",'أرقام التواصل'!$B$6:$B$505,A389,'أرقام التواصل'!$C$6:$C$505,1))=0,"missing primary contact in أرقام التواصل; ","")&amp;IF(AND(U389="TRUE",V389=""),"duplicate_type required when duplicate_flag TRUE; ","")))))</f>
        <v/>
      </c>
    </row>
    <row r="390" spans="1:29">
      <c r="A390" s="36"/>
      <c r="B390" s="24"/>
      <c r="C390" s="25"/>
      <c r="D390" s="25"/>
      <c r="E390" s="25"/>
      <c r="F390" s="24"/>
      <c r="G390" s="25"/>
      <c r="H390" s="25"/>
      <c r="I390" s="25"/>
      <c r="J390" s="25"/>
      <c r="K390" s="25"/>
      <c r="L390" s="25"/>
      <c r="M390" s="25"/>
      <c r="N390" s="25" t="str">
        <f t="shared" ref="N390:N453" si="6">IF(TRIM(K390&amp;" "&amp;L390&amp;IF(M390&lt;&gt;""," ("&amp;M390&amp;")",""))="","",TRIM(K390&amp;" "&amp;L390&amp;IF(M390&lt;&gt;""," ("&amp;M390&amp;")","")))</f>
        <v/>
      </c>
      <c r="O390" s="25"/>
      <c r="P390" s="25"/>
      <c r="Q390" s="25"/>
      <c r="R390" s="25"/>
      <c r="S390" s="25"/>
      <c r="T390" s="25"/>
      <c r="U390" s="25"/>
      <c r="V390" s="25"/>
      <c r="W390" s="24"/>
      <c r="X390" s="24"/>
      <c r="Y390" s="25"/>
      <c r="Z390" s="25" t="str">
        <f>IF(B390="","",IFERROR(INDEX(الزبائن!$AZ$6:$AZ$505,MATCH(B390,الزبائن!$A$6:$A$505,0)),"source key not found"))</f>
        <v/>
      </c>
      <c r="AA390" s="25" t="str">
        <f>IF(B390="","",IFERROR(INDEX(الزبائن!$BA$6:$BA$505,MATCH(B390,الزبائن!$A$6:$A$505,0)),"source key not found"))</f>
        <v/>
      </c>
      <c r="AB390" s="25" t="str">
        <f>IF(AND(A390="",C390="",D390="",H390="",K390="",L390=""),"",IF(C390="skip","SKIP",IF(OR(A390="",C390="",D390="",H390="",K390="",L390="",S390="",COUNTIF($A$6:$A$505,A390)&gt;1,AND(B390&lt;&gt;"",COUNTIF(الزبائن!$A$6:$A$505,B390)=0),(COUNTIFS('أرقام التواصل'!$A$6:$A$505,"proposed_name",'أرقام التواصل'!$B$6:$B$505,A390,'أرقام التواصل'!$I$6:$I$505,"TRUE")+COUNTIFS('أرقام التواصل'!$A$6:$A$505,"proposed_name",'أرقام التواصل'!$B$6:$B$505,A390,'أرقام التواصل'!$C$6:$C$505,1))=0,AND(U390="TRUE",V390="")),"REVIEW","READY")))</f>
        <v/>
      </c>
      <c r="AC390" s="27" t="str">
        <f>IF(AB390="","",IF(AB390="READY","",IF(AB390="SKIP","Skipped by candidate_import_action",TRIM(IF(A390="","missing proposed_name_key; ","")&amp;IF(AND(A390&lt;&gt;"",COUNTIF($A$6:$A$505,A390)&gt;1),"duplicate proposed_name_key; ","")&amp;IF(C390="","missing candidate_import_action; ","")&amp;IF(D390="","missing move_reason; ","")&amp;IF(H390="","missing branch_id; ","")&amp;IF(K390="","missing first_name; ","")&amp;IF(L390="","missing last_name; ","")&amp;IF(S390="","missing status; ","")&amp;IF(AND(B390&lt;&gt;"",COUNTIF(الزبائن!$A$6:$A$505,B390)=0),"source key not found; ","")&amp;IF((COUNTIFS('أرقام التواصل'!$A$6:$A$505,"proposed_name",'أرقام التواصل'!$B$6:$B$505,A390,'أرقام التواصل'!$I$6:$I$505,"TRUE")+COUNTIFS('أرقام التواصل'!$A$6:$A$505,"proposed_name",'أرقام التواصل'!$B$6:$B$505,A390,'أرقام التواصل'!$C$6:$C$505,1))=0,"missing primary contact in أرقام التواصل; ","")&amp;IF(AND(U390="TRUE",V390=""),"duplicate_type required when duplicate_flag TRUE; ","")))))</f>
        <v/>
      </c>
    </row>
    <row r="391" spans="1:29">
      <c r="A391" s="36"/>
      <c r="B391" s="24"/>
      <c r="C391" s="25"/>
      <c r="D391" s="25"/>
      <c r="E391" s="25"/>
      <c r="F391" s="24"/>
      <c r="G391" s="25"/>
      <c r="H391" s="25"/>
      <c r="I391" s="25"/>
      <c r="J391" s="25"/>
      <c r="K391" s="25"/>
      <c r="L391" s="25"/>
      <c r="M391" s="25"/>
      <c r="N391" s="25" t="str">
        <f t="shared" si="6"/>
        <v/>
      </c>
      <c r="O391" s="25"/>
      <c r="P391" s="25"/>
      <c r="Q391" s="25"/>
      <c r="R391" s="25"/>
      <c r="S391" s="25"/>
      <c r="T391" s="25"/>
      <c r="U391" s="25"/>
      <c r="V391" s="25"/>
      <c r="W391" s="24"/>
      <c r="X391" s="24"/>
      <c r="Y391" s="25"/>
      <c r="Z391" s="25" t="str">
        <f>IF(B391="","",IFERROR(INDEX(الزبائن!$AZ$6:$AZ$505,MATCH(B391,الزبائن!$A$6:$A$505,0)),"source key not found"))</f>
        <v/>
      </c>
      <c r="AA391" s="25" t="str">
        <f>IF(B391="","",IFERROR(INDEX(الزبائن!$BA$6:$BA$505,MATCH(B391,الزبائن!$A$6:$A$505,0)),"source key not found"))</f>
        <v/>
      </c>
      <c r="AB391" s="25" t="str">
        <f>IF(AND(A391="",C391="",D391="",H391="",K391="",L391=""),"",IF(C391="skip","SKIP",IF(OR(A391="",C391="",D391="",H391="",K391="",L391="",S391="",COUNTIF($A$6:$A$505,A391)&gt;1,AND(B391&lt;&gt;"",COUNTIF(الزبائن!$A$6:$A$505,B391)=0),(COUNTIFS('أرقام التواصل'!$A$6:$A$505,"proposed_name",'أرقام التواصل'!$B$6:$B$505,A391,'أرقام التواصل'!$I$6:$I$505,"TRUE")+COUNTIFS('أرقام التواصل'!$A$6:$A$505,"proposed_name",'أرقام التواصل'!$B$6:$B$505,A391,'أرقام التواصل'!$C$6:$C$505,1))=0,AND(U391="TRUE",V391="")),"REVIEW","READY")))</f>
        <v/>
      </c>
      <c r="AC391" s="27" t="str">
        <f>IF(AB391="","",IF(AB391="READY","",IF(AB391="SKIP","Skipped by candidate_import_action",TRIM(IF(A391="","missing proposed_name_key; ","")&amp;IF(AND(A391&lt;&gt;"",COUNTIF($A$6:$A$505,A391)&gt;1),"duplicate proposed_name_key; ","")&amp;IF(C391="","missing candidate_import_action; ","")&amp;IF(D391="","missing move_reason; ","")&amp;IF(H391="","missing branch_id; ","")&amp;IF(K391="","missing first_name; ","")&amp;IF(L391="","missing last_name; ","")&amp;IF(S391="","missing status; ","")&amp;IF(AND(B391&lt;&gt;"",COUNTIF(الزبائن!$A$6:$A$505,B391)=0),"source key not found; ","")&amp;IF((COUNTIFS('أرقام التواصل'!$A$6:$A$505,"proposed_name",'أرقام التواصل'!$B$6:$B$505,A391,'أرقام التواصل'!$I$6:$I$505,"TRUE")+COUNTIFS('أرقام التواصل'!$A$6:$A$505,"proposed_name",'أرقام التواصل'!$B$6:$B$505,A391,'أرقام التواصل'!$C$6:$C$505,1))=0,"missing primary contact in أرقام التواصل; ","")&amp;IF(AND(U391="TRUE",V391=""),"duplicate_type required when duplicate_flag TRUE; ","")))))</f>
        <v/>
      </c>
    </row>
    <row r="392" spans="1:29">
      <c r="A392" s="36"/>
      <c r="B392" s="24"/>
      <c r="C392" s="25"/>
      <c r="D392" s="25"/>
      <c r="E392" s="25"/>
      <c r="F392" s="24"/>
      <c r="G392" s="25"/>
      <c r="H392" s="25"/>
      <c r="I392" s="25"/>
      <c r="J392" s="25"/>
      <c r="K392" s="25"/>
      <c r="L392" s="25"/>
      <c r="M392" s="25"/>
      <c r="N392" s="25" t="str">
        <f t="shared" si="6"/>
        <v/>
      </c>
      <c r="O392" s="25"/>
      <c r="P392" s="25"/>
      <c r="Q392" s="25"/>
      <c r="R392" s="25"/>
      <c r="S392" s="25"/>
      <c r="T392" s="25"/>
      <c r="U392" s="25"/>
      <c r="V392" s="25"/>
      <c r="W392" s="24"/>
      <c r="X392" s="24"/>
      <c r="Y392" s="25"/>
      <c r="Z392" s="25" t="str">
        <f>IF(B392="","",IFERROR(INDEX(الزبائن!$AZ$6:$AZ$505,MATCH(B392,الزبائن!$A$6:$A$505,0)),"source key not found"))</f>
        <v/>
      </c>
      <c r="AA392" s="25" t="str">
        <f>IF(B392="","",IFERROR(INDEX(الزبائن!$BA$6:$BA$505,MATCH(B392,الزبائن!$A$6:$A$505,0)),"source key not found"))</f>
        <v/>
      </c>
      <c r="AB392" s="25" t="str">
        <f>IF(AND(A392="",C392="",D392="",H392="",K392="",L392=""),"",IF(C392="skip","SKIP",IF(OR(A392="",C392="",D392="",H392="",K392="",L392="",S392="",COUNTIF($A$6:$A$505,A392)&gt;1,AND(B392&lt;&gt;"",COUNTIF(الزبائن!$A$6:$A$505,B392)=0),(COUNTIFS('أرقام التواصل'!$A$6:$A$505,"proposed_name",'أرقام التواصل'!$B$6:$B$505,A392,'أرقام التواصل'!$I$6:$I$505,"TRUE")+COUNTIFS('أرقام التواصل'!$A$6:$A$505,"proposed_name",'أرقام التواصل'!$B$6:$B$505,A392,'أرقام التواصل'!$C$6:$C$505,1))=0,AND(U392="TRUE",V392="")),"REVIEW","READY")))</f>
        <v/>
      </c>
      <c r="AC392" s="27" t="str">
        <f>IF(AB392="","",IF(AB392="READY","",IF(AB392="SKIP","Skipped by candidate_import_action",TRIM(IF(A392="","missing proposed_name_key; ","")&amp;IF(AND(A392&lt;&gt;"",COUNTIF($A$6:$A$505,A392)&gt;1),"duplicate proposed_name_key; ","")&amp;IF(C392="","missing candidate_import_action; ","")&amp;IF(D392="","missing move_reason; ","")&amp;IF(H392="","missing branch_id; ","")&amp;IF(K392="","missing first_name; ","")&amp;IF(L392="","missing last_name; ","")&amp;IF(S392="","missing status; ","")&amp;IF(AND(B392&lt;&gt;"",COUNTIF(الزبائن!$A$6:$A$505,B392)=0),"source key not found; ","")&amp;IF((COUNTIFS('أرقام التواصل'!$A$6:$A$505,"proposed_name",'أرقام التواصل'!$B$6:$B$505,A392,'أرقام التواصل'!$I$6:$I$505,"TRUE")+COUNTIFS('أرقام التواصل'!$A$6:$A$505,"proposed_name",'أرقام التواصل'!$B$6:$B$505,A392,'أرقام التواصل'!$C$6:$C$505,1))=0,"missing primary contact in أرقام التواصل; ","")&amp;IF(AND(U392="TRUE",V392=""),"duplicate_type required when duplicate_flag TRUE; ","")))))</f>
        <v/>
      </c>
    </row>
    <row r="393" spans="1:29">
      <c r="A393" s="36"/>
      <c r="B393" s="24"/>
      <c r="C393" s="25"/>
      <c r="D393" s="25"/>
      <c r="E393" s="25"/>
      <c r="F393" s="24"/>
      <c r="G393" s="25"/>
      <c r="H393" s="25"/>
      <c r="I393" s="25"/>
      <c r="J393" s="25"/>
      <c r="K393" s="25"/>
      <c r="L393" s="25"/>
      <c r="M393" s="25"/>
      <c r="N393" s="25" t="str">
        <f t="shared" si="6"/>
        <v/>
      </c>
      <c r="O393" s="25"/>
      <c r="P393" s="25"/>
      <c r="Q393" s="25"/>
      <c r="R393" s="25"/>
      <c r="S393" s="25"/>
      <c r="T393" s="25"/>
      <c r="U393" s="25"/>
      <c r="V393" s="25"/>
      <c r="W393" s="24"/>
      <c r="X393" s="24"/>
      <c r="Y393" s="25"/>
      <c r="Z393" s="25" t="str">
        <f>IF(B393="","",IFERROR(INDEX(الزبائن!$AZ$6:$AZ$505,MATCH(B393,الزبائن!$A$6:$A$505,0)),"source key not found"))</f>
        <v/>
      </c>
      <c r="AA393" s="25" t="str">
        <f>IF(B393="","",IFERROR(INDEX(الزبائن!$BA$6:$BA$505,MATCH(B393,الزبائن!$A$6:$A$505,0)),"source key not found"))</f>
        <v/>
      </c>
      <c r="AB393" s="25" t="str">
        <f>IF(AND(A393="",C393="",D393="",H393="",K393="",L393=""),"",IF(C393="skip","SKIP",IF(OR(A393="",C393="",D393="",H393="",K393="",L393="",S393="",COUNTIF($A$6:$A$505,A393)&gt;1,AND(B393&lt;&gt;"",COUNTIF(الزبائن!$A$6:$A$505,B393)=0),(COUNTIFS('أرقام التواصل'!$A$6:$A$505,"proposed_name",'أرقام التواصل'!$B$6:$B$505,A393,'أرقام التواصل'!$I$6:$I$505,"TRUE")+COUNTIFS('أرقام التواصل'!$A$6:$A$505,"proposed_name",'أرقام التواصل'!$B$6:$B$505,A393,'أرقام التواصل'!$C$6:$C$505,1))=0,AND(U393="TRUE",V393="")),"REVIEW","READY")))</f>
        <v/>
      </c>
      <c r="AC393" s="27" t="str">
        <f>IF(AB393="","",IF(AB393="READY","",IF(AB393="SKIP","Skipped by candidate_import_action",TRIM(IF(A393="","missing proposed_name_key; ","")&amp;IF(AND(A393&lt;&gt;"",COUNTIF($A$6:$A$505,A393)&gt;1),"duplicate proposed_name_key; ","")&amp;IF(C393="","missing candidate_import_action; ","")&amp;IF(D393="","missing move_reason; ","")&amp;IF(H393="","missing branch_id; ","")&amp;IF(K393="","missing first_name; ","")&amp;IF(L393="","missing last_name; ","")&amp;IF(S393="","missing status; ","")&amp;IF(AND(B393&lt;&gt;"",COUNTIF(الزبائن!$A$6:$A$505,B393)=0),"source key not found; ","")&amp;IF((COUNTIFS('أرقام التواصل'!$A$6:$A$505,"proposed_name",'أرقام التواصل'!$B$6:$B$505,A393,'أرقام التواصل'!$I$6:$I$505,"TRUE")+COUNTIFS('أرقام التواصل'!$A$6:$A$505,"proposed_name",'أرقام التواصل'!$B$6:$B$505,A393,'أرقام التواصل'!$C$6:$C$505,1))=0,"missing primary contact in أرقام التواصل; ","")&amp;IF(AND(U393="TRUE",V393=""),"duplicate_type required when duplicate_flag TRUE; ","")))))</f>
        <v/>
      </c>
    </row>
    <row r="394" spans="1:29">
      <c r="A394" s="36"/>
      <c r="B394" s="24"/>
      <c r="C394" s="25"/>
      <c r="D394" s="25"/>
      <c r="E394" s="25"/>
      <c r="F394" s="24"/>
      <c r="G394" s="25"/>
      <c r="H394" s="25"/>
      <c r="I394" s="25"/>
      <c r="J394" s="25"/>
      <c r="K394" s="25"/>
      <c r="L394" s="25"/>
      <c r="M394" s="25"/>
      <c r="N394" s="25" t="str">
        <f t="shared" si="6"/>
        <v/>
      </c>
      <c r="O394" s="25"/>
      <c r="P394" s="25"/>
      <c r="Q394" s="25"/>
      <c r="R394" s="25"/>
      <c r="S394" s="25"/>
      <c r="T394" s="25"/>
      <c r="U394" s="25"/>
      <c r="V394" s="25"/>
      <c r="W394" s="24"/>
      <c r="X394" s="24"/>
      <c r="Y394" s="25"/>
      <c r="Z394" s="25" t="str">
        <f>IF(B394="","",IFERROR(INDEX(الزبائن!$AZ$6:$AZ$505,MATCH(B394,الزبائن!$A$6:$A$505,0)),"source key not found"))</f>
        <v/>
      </c>
      <c r="AA394" s="25" t="str">
        <f>IF(B394="","",IFERROR(INDEX(الزبائن!$BA$6:$BA$505,MATCH(B394,الزبائن!$A$6:$A$505,0)),"source key not found"))</f>
        <v/>
      </c>
      <c r="AB394" s="25" t="str">
        <f>IF(AND(A394="",C394="",D394="",H394="",K394="",L394=""),"",IF(C394="skip","SKIP",IF(OR(A394="",C394="",D394="",H394="",K394="",L394="",S394="",COUNTIF($A$6:$A$505,A394)&gt;1,AND(B394&lt;&gt;"",COUNTIF(الزبائن!$A$6:$A$505,B394)=0),(COUNTIFS('أرقام التواصل'!$A$6:$A$505,"proposed_name",'أرقام التواصل'!$B$6:$B$505,A394,'أرقام التواصل'!$I$6:$I$505,"TRUE")+COUNTIFS('أرقام التواصل'!$A$6:$A$505,"proposed_name",'أرقام التواصل'!$B$6:$B$505,A394,'أرقام التواصل'!$C$6:$C$505,1))=0,AND(U394="TRUE",V394="")),"REVIEW","READY")))</f>
        <v/>
      </c>
      <c r="AC394" s="27" t="str">
        <f>IF(AB394="","",IF(AB394="READY","",IF(AB394="SKIP","Skipped by candidate_import_action",TRIM(IF(A394="","missing proposed_name_key; ","")&amp;IF(AND(A394&lt;&gt;"",COUNTIF($A$6:$A$505,A394)&gt;1),"duplicate proposed_name_key; ","")&amp;IF(C394="","missing candidate_import_action; ","")&amp;IF(D394="","missing move_reason; ","")&amp;IF(H394="","missing branch_id; ","")&amp;IF(K394="","missing first_name; ","")&amp;IF(L394="","missing last_name; ","")&amp;IF(S394="","missing status; ","")&amp;IF(AND(B394&lt;&gt;"",COUNTIF(الزبائن!$A$6:$A$505,B394)=0),"source key not found; ","")&amp;IF((COUNTIFS('أرقام التواصل'!$A$6:$A$505,"proposed_name",'أرقام التواصل'!$B$6:$B$505,A394,'أرقام التواصل'!$I$6:$I$505,"TRUE")+COUNTIFS('أرقام التواصل'!$A$6:$A$505,"proposed_name",'أرقام التواصل'!$B$6:$B$505,A394,'أرقام التواصل'!$C$6:$C$505,1))=0,"missing primary contact in أرقام التواصل; ","")&amp;IF(AND(U394="TRUE",V394=""),"duplicate_type required when duplicate_flag TRUE; ","")))))</f>
        <v/>
      </c>
    </row>
    <row r="395" spans="1:29">
      <c r="A395" s="36"/>
      <c r="B395" s="24"/>
      <c r="C395" s="25"/>
      <c r="D395" s="25"/>
      <c r="E395" s="25"/>
      <c r="F395" s="24"/>
      <c r="G395" s="25"/>
      <c r="H395" s="25"/>
      <c r="I395" s="25"/>
      <c r="J395" s="25"/>
      <c r="K395" s="25"/>
      <c r="L395" s="25"/>
      <c r="M395" s="25"/>
      <c r="N395" s="25" t="str">
        <f t="shared" si="6"/>
        <v/>
      </c>
      <c r="O395" s="25"/>
      <c r="P395" s="25"/>
      <c r="Q395" s="25"/>
      <c r="R395" s="25"/>
      <c r="S395" s="25"/>
      <c r="T395" s="25"/>
      <c r="U395" s="25"/>
      <c r="V395" s="25"/>
      <c r="W395" s="24"/>
      <c r="X395" s="24"/>
      <c r="Y395" s="25"/>
      <c r="Z395" s="25" t="str">
        <f>IF(B395="","",IFERROR(INDEX(الزبائن!$AZ$6:$AZ$505,MATCH(B395,الزبائن!$A$6:$A$505,0)),"source key not found"))</f>
        <v/>
      </c>
      <c r="AA395" s="25" t="str">
        <f>IF(B395="","",IFERROR(INDEX(الزبائن!$BA$6:$BA$505,MATCH(B395,الزبائن!$A$6:$A$505,0)),"source key not found"))</f>
        <v/>
      </c>
      <c r="AB395" s="25" t="str">
        <f>IF(AND(A395="",C395="",D395="",H395="",K395="",L395=""),"",IF(C395="skip","SKIP",IF(OR(A395="",C395="",D395="",H395="",K395="",L395="",S395="",COUNTIF($A$6:$A$505,A395)&gt;1,AND(B395&lt;&gt;"",COUNTIF(الزبائن!$A$6:$A$505,B395)=0),(COUNTIFS('أرقام التواصل'!$A$6:$A$505,"proposed_name",'أرقام التواصل'!$B$6:$B$505,A395,'أرقام التواصل'!$I$6:$I$505,"TRUE")+COUNTIFS('أرقام التواصل'!$A$6:$A$505,"proposed_name",'أرقام التواصل'!$B$6:$B$505,A395,'أرقام التواصل'!$C$6:$C$505,1))=0,AND(U395="TRUE",V395="")),"REVIEW","READY")))</f>
        <v/>
      </c>
      <c r="AC395" s="27" t="str">
        <f>IF(AB395="","",IF(AB395="READY","",IF(AB395="SKIP","Skipped by candidate_import_action",TRIM(IF(A395="","missing proposed_name_key; ","")&amp;IF(AND(A395&lt;&gt;"",COUNTIF($A$6:$A$505,A395)&gt;1),"duplicate proposed_name_key; ","")&amp;IF(C395="","missing candidate_import_action; ","")&amp;IF(D395="","missing move_reason; ","")&amp;IF(H395="","missing branch_id; ","")&amp;IF(K395="","missing first_name; ","")&amp;IF(L395="","missing last_name; ","")&amp;IF(S395="","missing status; ","")&amp;IF(AND(B395&lt;&gt;"",COUNTIF(الزبائن!$A$6:$A$505,B395)=0),"source key not found; ","")&amp;IF((COUNTIFS('أرقام التواصل'!$A$6:$A$505,"proposed_name",'أرقام التواصل'!$B$6:$B$505,A395,'أرقام التواصل'!$I$6:$I$505,"TRUE")+COUNTIFS('أرقام التواصل'!$A$6:$A$505,"proposed_name",'أرقام التواصل'!$B$6:$B$505,A395,'أرقام التواصل'!$C$6:$C$505,1))=0,"missing primary contact in أرقام التواصل; ","")&amp;IF(AND(U395="TRUE",V395=""),"duplicate_type required when duplicate_flag TRUE; ","")))))</f>
        <v/>
      </c>
    </row>
    <row r="396" spans="1:29">
      <c r="A396" s="36"/>
      <c r="B396" s="24"/>
      <c r="C396" s="25"/>
      <c r="D396" s="25"/>
      <c r="E396" s="25"/>
      <c r="F396" s="24"/>
      <c r="G396" s="25"/>
      <c r="H396" s="25"/>
      <c r="I396" s="25"/>
      <c r="J396" s="25"/>
      <c r="K396" s="25"/>
      <c r="L396" s="25"/>
      <c r="M396" s="25"/>
      <c r="N396" s="25" t="str">
        <f t="shared" si="6"/>
        <v/>
      </c>
      <c r="O396" s="25"/>
      <c r="P396" s="25"/>
      <c r="Q396" s="25"/>
      <c r="R396" s="25"/>
      <c r="S396" s="25"/>
      <c r="T396" s="25"/>
      <c r="U396" s="25"/>
      <c r="V396" s="25"/>
      <c r="W396" s="24"/>
      <c r="X396" s="24"/>
      <c r="Y396" s="25"/>
      <c r="Z396" s="25" t="str">
        <f>IF(B396="","",IFERROR(INDEX(الزبائن!$AZ$6:$AZ$505,MATCH(B396,الزبائن!$A$6:$A$505,0)),"source key not found"))</f>
        <v/>
      </c>
      <c r="AA396" s="25" t="str">
        <f>IF(B396="","",IFERROR(INDEX(الزبائن!$BA$6:$BA$505,MATCH(B396,الزبائن!$A$6:$A$505,0)),"source key not found"))</f>
        <v/>
      </c>
      <c r="AB396" s="25" t="str">
        <f>IF(AND(A396="",C396="",D396="",H396="",K396="",L396=""),"",IF(C396="skip","SKIP",IF(OR(A396="",C396="",D396="",H396="",K396="",L396="",S396="",COUNTIF($A$6:$A$505,A396)&gt;1,AND(B396&lt;&gt;"",COUNTIF(الزبائن!$A$6:$A$505,B396)=0),(COUNTIFS('أرقام التواصل'!$A$6:$A$505,"proposed_name",'أرقام التواصل'!$B$6:$B$505,A396,'أرقام التواصل'!$I$6:$I$505,"TRUE")+COUNTIFS('أرقام التواصل'!$A$6:$A$505,"proposed_name",'أرقام التواصل'!$B$6:$B$505,A396,'أرقام التواصل'!$C$6:$C$505,1))=0,AND(U396="TRUE",V396="")),"REVIEW","READY")))</f>
        <v/>
      </c>
      <c r="AC396" s="27" t="str">
        <f>IF(AB396="","",IF(AB396="READY","",IF(AB396="SKIP","Skipped by candidate_import_action",TRIM(IF(A396="","missing proposed_name_key; ","")&amp;IF(AND(A396&lt;&gt;"",COUNTIF($A$6:$A$505,A396)&gt;1),"duplicate proposed_name_key; ","")&amp;IF(C396="","missing candidate_import_action; ","")&amp;IF(D396="","missing move_reason; ","")&amp;IF(H396="","missing branch_id; ","")&amp;IF(K396="","missing first_name; ","")&amp;IF(L396="","missing last_name; ","")&amp;IF(S396="","missing status; ","")&amp;IF(AND(B396&lt;&gt;"",COUNTIF(الزبائن!$A$6:$A$505,B396)=0),"source key not found; ","")&amp;IF((COUNTIFS('أرقام التواصل'!$A$6:$A$505,"proposed_name",'أرقام التواصل'!$B$6:$B$505,A396,'أرقام التواصل'!$I$6:$I$505,"TRUE")+COUNTIFS('أرقام التواصل'!$A$6:$A$505,"proposed_name",'أرقام التواصل'!$B$6:$B$505,A396,'أرقام التواصل'!$C$6:$C$505,1))=0,"missing primary contact in أرقام التواصل; ","")&amp;IF(AND(U396="TRUE",V396=""),"duplicate_type required when duplicate_flag TRUE; ","")))))</f>
        <v/>
      </c>
    </row>
    <row r="397" spans="1:29">
      <c r="A397" s="36"/>
      <c r="B397" s="24"/>
      <c r="C397" s="25"/>
      <c r="D397" s="25"/>
      <c r="E397" s="25"/>
      <c r="F397" s="24"/>
      <c r="G397" s="25"/>
      <c r="H397" s="25"/>
      <c r="I397" s="25"/>
      <c r="J397" s="25"/>
      <c r="K397" s="25"/>
      <c r="L397" s="25"/>
      <c r="M397" s="25"/>
      <c r="N397" s="25" t="str">
        <f t="shared" si="6"/>
        <v/>
      </c>
      <c r="O397" s="25"/>
      <c r="P397" s="25"/>
      <c r="Q397" s="25"/>
      <c r="R397" s="25"/>
      <c r="S397" s="25"/>
      <c r="T397" s="25"/>
      <c r="U397" s="25"/>
      <c r="V397" s="25"/>
      <c r="W397" s="24"/>
      <c r="X397" s="24"/>
      <c r="Y397" s="25"/>
      <c r="Z397" s="25" t="str">
        <f>IF(B397="","",IFERROR(INDEX(الزبائن!$AZ$6:$AZ$505,MATCH(B397,الزبائن!$A$6:$A$505,0)),"source key not found"))</f>
        <v/>
      </c>
      <c r="AA397" s="25" t="str">
        <f>IF(B397="","",IFERROR(INDEX(الزبائن!$BA$6:$BA$505,MATCH(B397,الزبائن!$A$6:$A$505,0)),"source key not found"))</f>
        <v/>
      </c>
      <c r="AB397" s="25" t="str">
        <f>IF(AND(A397="",C397="",D397="",H397="",K397="",L397=""),"",IF(C397="skip","SKIP",IF(OR(A397="",C397="",D397="",H397="",K397="",L397="",S397="",COUNTIF($A$6:$A$505,A397)&gt;1,AND(B397&lt;&gt;"",COUNTIF(الزبائن!$A$6:$A$505,B397)=0),(COUNTIFS('أرقام التواصل'!$A$6:$A$505,"proposed_name",'أرقام التواصل'!$B$6:$B$505,A397,'أرقام التواصل'!$I$6:$I$505,"TRUE")+COUNTIFS('أرقام التواصل'!$A$6:$A$505,"proposed_name",'أرقام التواصل'!$B$6:$B$505,A397,'أرقام التواصل'!$C$6:$C$505,1))=0,AND(U397="TRUE",V397="")),"REVIEW","READY")))</f>
        <v/>
      </c>
      <c r="AC397" s="27" t="str">
        <f>IF(AB397="","",IF(AB397="READY","",IF(AB397="SKIP","Skipped by candidate_import_action",TRIM(IF(A397="","missing proposed_name_key; ","")&amp;IF(AND(A397&lt;&gt;"",COUNTIF($A$6:$A$505,A397)&gt;1),"duplicate proposed_name_key; ","")&amp;IF(C397="","missing candidate_import_action; ","")&amp;IF(D397="","missing move_reason; ","")&amp;IF(H397="","missing branch_id; ","")&amp;IF(K397="","missing first_name; ","")&amp;IF(L397="","missing last_name; ","")&amp;IF(S397="","missing status; ","")&amp;IF(AND(B397&lt;&gt;"",COUNTIF(الزبائن!$A$6:$A$505,B397)=0),"source key not found; ","")&amp;IF((COUNTIFS('أرقام التواصل'!$A$6:$A$505,"proposed_name",'أرقام التواصل'!$B$6:$B$505,A397,'أرقام التواصل'!$I$6:$I$505,"TRUE")+COUNTIFS('أرقام التواصل'!$A$6:$A$505,"proposed_name",'أرقام التواصل'!$B$6:$B$505,A397,'أرقام التواصل'!$C$6:$C$505,1))=0,"missing primary contact in أرقام التواصل; ","")&amp;IF(AND(U397="TRUE",V397=""),"duplicate_type required when duplicate_flag TRUE; ","")))))</f>
        <v/>
      </c>
    </row>
    <row r="398" spans="1:29">
      <c r="A398" s="36"/>
      <c r="B398" s="24"/>
      <c r="C398" s="25"/>
      <c r="D398" s="25"/>
      <c r="E398" s="25"/>
      <c r="F398" s="24"/>
      <c r="G398" s="25"/>
      <c r="H398" s="25"/>
      <c r="I398" s="25"/>
      <c r="J398" s="25"/>
      <c r="K398" s="25"/>
      <c r="L398" s="25"/>
      <c r="M398" s="25"/>
      <c r="N398" s="25" t="str">
        <f t="shared" si="6"/>
        <v/>
      </c>
      <c r="O398" s="25"/>
      <c r="P398" s="25"/>
      <c r="Q398" s="25"/>
      <c r="R398" s="25"/>
      <c r="S398" s="25"/>
      <c r="T398" s="25"/>
      <c r="U398" s="25"/>
      <c r="V398" s="25"/>
      <c r="W398" s="24"/>
      <c r="X398" s="24"/>
      <c r="Y398" s="25"/>
      <c r="Z398" s="25" t="str">
        <f>IF(B398="","",IFERROR(INDEX(الزبائن!$AZ$6:$AZ$505,MATCH(B398,الزبائن!$A$6:$A$505,0)),"source key not found"))</f>
        <v/>
      </c>
      <c r="AA398" s="25" t="str">
        <f>IF(B398="","",IFERROR(INDEX(الزبائن!$BA$6:$BA$505,MATCH(B398,الزبائن!$A$6:$A$505,0)),"source key not found"))</f>
        <v/>
      </c>
      <c r="AB398" s="25" t="str">
        <f>IF(AND(A398="",C398="",D398="",H398="",K398="",L398=""),"",IF(C398="skip","SKIP",IF(OR(A398="",C398="",D398="",H398="",K398="",L398="",S398="",COUNTIF($A$6:$A$505,A398)&gt;1,AND(B398&lt;&gt;"",COUNTIF(الزبائن!$A$6:$A$505,B398)=0),(COUNTIFS('أرقام التواصل'!$A$6:$A$505,"proposed_name",'أرقام التواصل'!$B$6:$B$505,A398,'أرقام التواصل'!$I$6:$I$505,"TRUE")+COUNTIFS('أرقام التواصل'!$A$6:$A$505,"proposed_name",'أرقام التواصل'!$B$6:$B$505,A398,'أرقام التواصل'!$C$6:$C$505,1))=0,AND(U398="TRUE",V398="")),"REVIEW","READY")))</f>
        <v/>
      </c>
      <c r="AC398" s="27" t="str">
        <f>IF(AB398="","",IF(AB398="READY","",IF(AB398="SKIP","Skipped by candidate_import_action",TRIM(IF(A398="","missing proposed_name_key; ","")&amp;IF(AND(A398&lt;&gt;"",COUNTIF($A$6:$A$505,A398)&gt;1),"duplicate proposed_name_key; ","")&amp;IF(C398="","missing candidate_import_action; ","")&amp;IF(D398="","missing move_reason; ","")&amp;IF(H398="","missing branch_id; ","")&amp;IF(K398="","missing first_name; ","")&amp;IF(L398="","missing last_name; ","")&amp;IF(S398="","missing status; ","")&amp;IF(AND(B398&lt;&gt;"",COUNTIF(الزبائن!$A$6:$A$505,B398)=0),"source key not found; ","")&amp;IF((COUNTIFS('أرقام التواصل'!$A$6:$A$505,"proposed_name",'أرقام التواصل'!$B$6:$B$505,A398,'أرقام التواصل'!$I$6:$I$505,"TRUE")+COUNTIFS('أرقام التواصل'!$A$6:$A$505,"proposed_name",'أرقام التواصل'!$B$6:$B$505,A398,'أرقام التواصل'!$C$6:$C$505,1))=0,"missing primary contact in أرقام التواصل; ","")&amp;IF(AND(U398="TRUE",V398=""),"duplicate_type required when duplicate_flag TRUE; ","")))))</f>
        <v/>
      </c>
    </row>
    <row r="399" spans="1:29">
      <c r="A399" s="36"/>
      <c r="B399" s="24"/>
      <c r="C399" s="25"/>
      <c r="D399" s="25"/>
      <c r="E399" s="25"/>
      <c r="F399" s="24"/>
      <c r="G399" s="25"/>
      <c r="H399" s="25"/>
      <c r="I399" s="25"/>
      <c r="J399" s="25"/>
      <c r="K399" s="25"/>
      <c r="L399" s="25"/>
      <c r="M399" s="25"/>
      <c r="N399" s="25" t="str">
        <f t="shared" si="6"/>
        <v/>
      </c>
      <c r="O399" s="25"/>
      <c r="P399" s="25"/>
      <c r="Q399" s="25"/>
      <c r="R399" s="25"/>
      <c r="S399" s="25"/>
      <c r="T399" s="25"/>
      <c r="U399" s="25"/>
      <c r="V399" s="25"/>
      <c r="W399" s="24"/>
      <c r="X399" s="24"/>
      <c r="Y399" s="25"/>
      <c r="Z399" s="25" t="str">
        <f>IF(B399="","",IFERROR(INDEX(الزبائن!$AZ$6:$AZ$505,MATCH(B399,الزبائن!$A$6:$A$505,0)),"source key not found"))</f>
        <v/>
      </c>
      <c r="AA399" s="25" t="str">
        <f>IF(B399="","",IFERROR(INDEX(الزبائن!$BA$6:$BA$505,MATCH(B399,الزبائن!$A$6:$A$505,0)),"source key not found"))</f>
        <v/>
      </c>
      <c r="AB399" s="25" t="str">
        <f>IF(AND(A399="",C399="",D399="",H399="",K399="",L399=""),"",IF(C399="skip","SKIP",IF(OR(A399="",C399="",D399="",H399="",K399="",L399="",S399="",COUNTIF($A$6:$A$505,A399)&gt;1,AND(B399&lt;&gt;"",COUNTIF(الزبائن!$A$6:$A$505,B399)=0),(COUNTIFS('أرقام التواصل'!$A$6:$A$505,"proposed_name",'أرقام التواصل'!$B$6:$B$505,A399,'أرقام التواصل'!$I$6:$I$505,"TRUE")+COUNTIFS('أرقام التواصل'!$A$6:$A$505,"proposed_name",'أرقام التواصل'!$B$6:$B$505,A399,'أرقام التواصل'!$C$6:$C$505,1))=0,AND(U399="TRUE",V399="")),"REVIEW","READY")))</f>
        <v/>
      </c>
      <c r="AC399" s="27" t="str">
        <f>IF(AB399="","",IF(AB399="READY","",IF(AB399="SKIP","Skipped by candidate_import_action",TRIM(IF(A399="","missing proposed_name_key; ","")&amp;IF(AND(A399&lt;&gt;"",COUNTIF($A$6:$A$505,A399)&gt;1),"duplicate proposed_name_key; ","")&amp;IF(C399="","missing candidate_import_action; ","")&amp;IF(D399="","missing move_reason; ","")&amp;IF(H399="","missing branch_id; ","")&amp;IF(K399="","missing first_name; ","")&amp;IF(L399="","missing last_name; ","")&amp;IF(S399="","missing status; ","")&amp;IF(AND(B399&lt;&gt;"",COUNTIF(الزبائن!$A$6:$A$505,B399)=0),"source key not found; ","")&amp;IF((COUNTIFS('أرقام التواصل'!$A$6:$A$505,"proposed_name",'أرقام التواصل'!$B$6:$B$505,A399,'أرقام التواصل'!$I$6:$I$505,"TRUE")+COUNTIFS('أرقام التواصل'!$A$6:$A$505,"proposed_name",'أرقام التواصل'!$B$6:$B$505,A399,'أرقام التواصل'!$C$6:$C$505,1))=0,"missing primary contact in أرقام التواصل; ","")&amp;IF(AND(U399="TRUE",V399=""),"duplicate_type required when duplicate_flag TRUE; ","")))))</f>
        <v/>
      </c>
    </row>
    <row r="400" spans="1:29">
      <c r="A400" s="36"/>
      <c r="B400" s="24"/>
      <c r="C400" s="25"/>
      <c r="D400" s="25"/>
      <c r="E400" s="25"/>
      <c r="F400" s="24"/>
      <c r="G400" s="25"/>
      <c r="H400" s="25"/>
      <c r="I400" s="25"/>
      <c r="J400" s="25"/>
      <c r="K400" s="25"/>
      <c r="L400" s="25"/>
      <c r="M400" s="25"/>
      <c r="N400" s="25" t="str">
        <f t="shared" si="6"/>
        <v/>
      </c>
      <c r="O400" s="25"/>
      <c r="P400" s="25"/>
      <c r="Q400" s="25"/>
      <c r="R400" s="25"/>
      <c r="S400" s="25"/>
      <c r="T400" s="25"/>
      <c r="U400" s="25"/>
      <c r="V400" s="25"/>
      <c r="W400" s="24"/>
      <c r="X400" s="24"/>
      <c r="Y400" s="25"/>
      <c r="Z400" s="25" t="str">
        <f>IF(B400="","",IFERROR(INDEX(الزبائن!$AZ$6:$AZ$505,MATCH(B400,الزبائن!$A$6:$A$505,0)),"source key not found"))</f>
        <v/>
      </c>
      <c r="AA400" s="25" t="str">
        <f>IF(B400="","",IFERROR(INDEX(الزبائن!$BA$6:$BA$505,MATCH(B400,الزبائن!$A$6:$A$505,0)),"source key not found"))</f>
        <v/>
      </c>
      <c r="AB400" s="25" t="str">
        <f>IF(AND(A400="",C400="",D400="",H400="",K400="",L400=""),"",IF(C400="skip","SKIP",IF(OR(A400="",C400="",D400="",H400="",K400="",L400="",S400="",COUNTIF($A$6:$A$505,A400)&gt;1,AND(B400&lt;&gt;"",COUNTIF(الزبائن!$A$6:$A$505,B400)=0),(COUNTIFS('أرقام التواصل'!$A$6:$A$505,"proposed_name",'أرقام التواصل'!$B$6:$B$505,A400,'أرقام التواصل'!$I$6:$I$505,"TRUE")+COUNTIFS('أرقام التواصل'!$A$6:$A$505,"proposed_name",'أرقام التواصل'!$B$6:$B$505,A400,'أرقام التواصل'!$C$6:$C$505,1))=0,AND(U400="TRUE",V400="")),"REVIEW","READY")))</f>
        <v/>
      </c>
      <c r="AC400" s="27" t="str">
        <f>IF(AB400="","",IF(AB400="READY","",IF(AB400="SKIP","Skipped by candidate_import_action",TRIM(IF(A400="","missing proposed_name_key; ","")&amp;IF(AND(A400&lt;&gt;"",COUNTIF($A$6:$A$505,A400)&gt;1),"duplicate proposed_name_key; ","")&amp;IF(C400="","missing candidate_import_action; ","")&amp;IF(D400="","missing move_reason; ","")&amp;IF(H400="","missing branch_id; ","")&amp;IF(K400="","missing first_name; ","")&amp;IF(L400="","missing last_name; ","")&amp;IF(S400="","missing status; ","")&amp;IF(AND(B400&lt;&gt;"",COUNTIF(الزبائن!$A$6:$A$505,B400)=0),"source key not found; ","")&amp;IF((COUNTIFS('أرقام التواصل'!$A$6:$A$505,"proposed_name",'أرقام التواصل'!$B$6:$B$505,A400,'أرقام التواصل'!$I$6:$I$505,"TRUE")+COUNTIFS('أرقام التواصل'!$A$6:$A$505,"proposed_name",'أرقام التواصل'!$B$6:$B$505,A400,'أرقام التواصل'!$C$6:$C$505,1))=0,"missing primary contact in أرقام التواصل; ","")&amp;IF(AND(U400="TRUE",V400=""),"duplicate_type required when duplicate_flag TRUE; ","")))))</f>
        <v/>
      </c>
    </row>
    <row r="401" spans="1:29">
      <c r="A401" s="36"/>
      <c r="B401" s="24"/>
      <c r="C401" s="25"/>
      <c r="D401" s="25"/>
      <c r="E401" s="25"/>
      <c r="F401" s="24"/>
      <c r="G401" s="25"/>
      <c r="H401" s="25"/>
      <c r="I401" s="25"/>
      <c r="J401" s="25"/>
      <c r="K401" s="25"/>
      <c r="L401" s="25"/>
      <c r="M401" s="25"/>
      <c r="N401" s="25" t="str">
        <f t="shared" si="6"/>
        <v/>
      </c>
      <c r="O401" s="25"/>
      <c r="P401" s="25"/>
      <c r="Q401" s="25"/>
      <c r="R401" s="25"/>
      <c r="S401" s="25"/>
      <c r="T401" s="25"/>
      <c r="U401" s="25"/>
      <c r="V401" s="25"/>
      <c r="W401" s="24"/>
      <c r="X401" s="24"/>
      <c r="Y401" s="25"/>
      <c r="Z401" s="25" t="str">
        <f>IF(B401="","",IFERROR(INDEX(الزبائن!$AZ$6:$AZ$505,MATCH(B401,الزبائن!$A$6:$A$505,0)),"source key not found"))</f>
        <v/>
      </c>
      <c r="AA401" s="25" t="str">
        <f>IF(B401="","",IFERROR(INDEX(الزبائن!$BA$6:$BA$505,MATCH(B401,الزبائن!$A$6:$A$505,0)),"source key not found"))</f>
        <v/>
      </c>
      <c r="AB401" s="25" t="str">
        <f>IF(AND(A401="",C401="",D401="",H401="",K401="",L401=""),"",IF(C401="skip","SKIP",IF(OR(A401="",C401="",D401="",H401="",K401="",L401="",S401="",COUNTIF($A$6:$A$505,A401)&gt;1,AND(B401&lt;&gt;"",COUNTIF(الزبائن!$A$6:$A$505,B401)=0),(COUNTIFS('أرقام التواصل'!$A$6:$A$505,"proposed_name",'أرقام التواصل'!$B$6:$B$505,A401,'أرقام التواصل'!$I$6:$I$505,"TRUE")+COUNTIFS('أرقام التواصل'!$A$6:$A$505,"proposed_name",'أرقام التواصل'!$B$6:$B$505,A401,'أرقام التواصل'!$C$6:$C$505,1))=0,AND(U401="TRUE",V401="")),"REVIEW","READY")))</f>
        <v/>
      </c>
      <c r="AC401" s="27" t="str">
        <f>IF(AB401="","",IF(AB401="READY","",IF(AB401="SKIP","Skipped by candidate_import_action",TRIM(IF(A401="","missing proposed_name_key; ","")&amp;IF(AND(A401&lt;&gt;"",COUNTIF($A$6:$A$505,A401)&gt;1),"duplicate proposed_name_key; ","")&amp;IF(C401="","missing candidate_import_action; ","")&amp;IF(D401="","missing move_reason; ","")&amp;IF(H401="","missing branch_id; ","")&amp;IF(K401="","missing first_name; ","")&amp;IF(L401="","missing last_name; ","")&amp;IF(S401="","missing status; ","")&amp;IF(AND(B401&lt;&gt;"",COUNTIF(الزبائن!$A$6:$A$505,B401)=0),"source key not found; ","")&amp;IF((COUNTIFS('أرقام التواصل'!$A$6:$A$505,"proposed_name",'أرقام التواصل'!$B$6:$B$505,A401,'أرقام التواصل'!$I$6:$I$505,"TRUE")+COUNTIFS('أرقام التواصل'!$A$6:$A$505,"proposed_name",'أرقام التواصل'!$B$6:$B$505,A401,'أرقام التواصل'!$C$6:$C$505,1))=0,"missing primary contact in أرقام التواصل; ","")&amp;IF(AND(U401="TRUE",V401=""),"duplicate_type required when duplicate_flag TRUE; ","")))))</f>
        <v/>
      </c>
    </row>
    <row r="402" spans="1:29">
      <c r="A402" s="36"/>
      <c r="B402" s="24"/>
      <c r="C402" s="25"/>
      <c r="D402" s="25"/>
      <c r="E402" s="25"/>
      <c r="F402" s="24"/>
      <c r="G402" s="25"/>
      <c r="H402" s="25"/>
      <c r="I402" s="25"/>
      <c r="J402" s="25"/>
      <c r="K402" s="25"/>
      <c r="L402" s="25"/>
      <c r="M402" s="25"/>
      <c r="N402" s="25" t="str">
        <f t="shared" si="6"/>
        <v/>
      </c>
      <c r="O402" s="25"/>
      <c r="P402" s="25"/>
      <c r="Q402" s="25"/>
      <c r="R402" s="25"/>
      <c r="S402" s="25"/>
      <c r="T402" s="25"/>
      <c r="U402" s="25"/>
      <c r="V402" s="25"/>
      <c r="W402" s="24"/>
      <c r="X402" s="24"/>
      <c r="Y402" s="25"/>
      <c r="Z402" s="25" t="str">
        <f>IF(B402="","",IFERROR(INDEX(الزبائن!$AZ$6:$AZ$505,MATCH(B402,الزبائن!$A$6:$A$505,0)),"source key not found"))</f>
        <v/>
      </c>
      <c r="AA402" s="25" t="str">
        <f>IF(B402="","",IFERROR(INDEX(الزبائن!$BA$6:$BA$505,MATCH(B402,الزبائن!$A$6:$A$505,0)),"source key not found"))</f>
        <v/>
      </c>
      <c r="AB402" s="25" t="str">
        <f>IF(AND(A402="",C402="",D402="",H402="",K402="",L402=""),"",IF(C402="skip","SKIP",IF(OR(A402="",C402="",D402="",H402="",K402="",L402="",S402="",COUNTIF($A$6:$A$505,A402)&gt;1,AND(B402&lt;&gt;"",COUNTIF(الزبائن!$A$6:$A$505,B402)=0),(COUNTIFS('أرقام التواصل'!$A$6:$A$505,"proposed_name",'أرقام التواصل'!$B$6:$B$505,A402,'أرقام التواصل'!$I$6:$I$505,"TRUE")+COUNTIFS('أرقام التواصل'!$A$6:$A$505,"proposed_name",'أرقام التواصل'!$B$6:$B$505,A402,'أرقام التواصل'!$C$6:$C$505,1))=0,AND(U402="TRUE",V402="")),"REVIEW","READY")))</f>
        <v/>
      </c>
      <c r="AC402" s="27" t="str">
        <f>IF(AB402="","",IF(AB402="READY","",IF(AB402="SKIP","Skipped by candidate_import_action",TRIM(IF(A402="","missing proposed_name_key; ","")&amp;IF(AND(A402&lt;&gt;"",COUNTIF($A$6:$A$505,A402)&gt;1),"duplicate proposed_name_key; ","")&amp;IF(C402="","missing candidate_import_action; ","")&amp;IF(D402="","missing move_reason; ","")&amp;IF(H402="","missing branch_id; ","")&amp;IF(K402="","missing first_name; ","")&amp;IF(L402="","missing last_name; ","")&amp;IF(S402="","missing status; ","")&amp;IF(AND(B402&lt;&gt;"",COUNTIF(الزبائن!$A$6:$A$505,B402)=0),"source key not found; ","")&amp;IF((COUNTIFS('أرقام التواصل'!$A$6:$A$505,"proposed_name",'أرقام التواصل'!$B$6:$B$505,A402,'أرقام التواصل'!$I$6:$I$505,"TRUE")+COUNTIFS('أرقام التواصل'!$A$6:$A$505,"proposed_name",'أرقام التواصل'!$B$6:$B$505,A402,'أرقام التواصل'!$C$6:$C$505,1))=0,"missing primary contact in أرقام التواصل; ","")&amp;IF(AND(U402="TRUE",V402=""),"duplicate_type required when duplicate_flag TRUE; ","")))))</f>
        <v/>
      </c>
    </row>
    <row r="403" spans="1:29">
      <c r="A403" s="36"/>
      <c r="B403" s="24"/>
      <c r="C403" s="25"/>
      <c r="D403" s="25"/>
      <c r="E403" s="25"/>
      <c r="F403" s="24"/>
      <c r="G403" s="25"/>
      <c r="H403" s="25"/>
      <c r="I403" s="25"/>
      <c r="J403" s="25"/>
      <c r="K403" s="25"/>
      <c r="L403" s="25"/>
      <c r="M403" s="25"/>
      <c r="N403" s="25" t="str">
        <f t="shared" si="6"/>
        <v/>
      </c>
      <c r="O403" s="25"/>
      <c r="P403" s="25"/>
      <c r="Q403" s="25"/>
      <c r="R403" s="25"/>
      <c r="S403" s="25"/>
      <c r="T403" s="25"/>
      <c r="U403" s="25"/>
      <c r="V403" s="25"/>
      <c r="W403" s="24"/>
      <c r="X403" s="24"/>
      <c r="Y403" s="25"/>
      <c r="Z403" s="25" t="str">
        <f>IF(B403="","",IFERROR(INDEX(الزبائن!$AZ$6:$AZ$505,MATCH(B403,الزبائن!$A$6:$A$505,0)),"source key not found"))</f>
        <v/>
      </c>
      <c r="AA403" s="25" t="str">
        <f>IF(B403="","",IFERROR(INDEX(الزبائن!$BA$6:$BA$505,MATCH(B403,الزبائن!$A$6:$A$505,0)),"source key not found"))</f>
        <v/>
      </c>
      <c r="AB403" s="25" t="str">
        <f>IF(AND(A403="",C403="",D403="",H403="",K403="",L403=""),"",IF(C403="skip","SKIP",IF(OR(A403="",C403="",D403="",H403="",K403="",L403="",S403="",COUNTIF($A$6:$A$505,A403)&gt;1,AND(B403&lt;&gt;"",COUNTIF(الزبائن!$A$6:$A$505,B403)=0),(COUNTIFS('أرقام التواصل'!$A$6:$A$505,"proposed_name",'أرقام التواصل'!$B$6:$B$505,A403,'أرقام التواصل'!$I$6:$I$505,"TRUE")+COUNTIFS('أرقام التواصل'!$A$6:$A$505,"proposed_name",'أرقام التواصل'!$B$6:$B$505,A403,'أرقام التواصل'!$C$6:$C$505,1))=0,AND(U403="TRUE",V403="")),"REVIEW","READY")))</f>
        <v/>
      </c>
      <c r="AC403" s="27" t="str">
        <f>IF(AB403="","",IF(AB403="READY","",IF(AB403="SKIP","Skipped by candidate_import_action",TRIM(IF(A403="","missing proposed_name_key; ","")&amp;IF(AND(A403&lt;&gt;"",COUNTIF($A$6:$A$505,A403)&gt;1),"duplicate proposed_name_key; ","")&amp;IF(C403="","missing candidate_import_action; ","")&amp;IF(D403="","missing move_reason; ","")&amp;IF(H403="","missing branch_id; ","")&amp;IF(K403="","missing first_name; ","")&amp;IF(L403="","missing last_name; ","")&amp;IF(S403="","missing status; ","")&amp;IF(AND(B403&lt;&gt;"",COUNTIF(الزبائن!$A$6:$A$505,B403)=0),"source key not found; ","")&amp;IF((COUNTIFS('أرقام التواصل'!$A$6:$A$505,"proposed_name",'أرقام التواصل'!$B$6:$B$505,A403,'أرقام التواصل'!$I$6:$I$505,"TRUE")+COUNTIFS('أرقام التواصل'!$A$6:$A$505,"proposed_name",'أرقام التواصل'!$B$6:$B$505,A403,'أرقام التواصل'!$C$6:$C$505,1))=0,"missing primary contact in أرقام التواصل; ","")&amp;IF(AND(U403="TRUE",V403=""),"duplicate_type required when duplicate_flag TRUE; ","")))))</f>
        <v/>
      </c>
    </row>
    <row r="404" spans="1:29">
      <c r="A404" s="36"/>
      <c r="B404" s="24"/>
      <c r="C404" s="25"/>
      <c r="D404" s="25"/>
      <c r="E404" s="25"/>
      <c r="F404" s="24"/>
      <c r="G404" s="25"/>
      <c r="H404" s="25"/>
      <c r="I404" s="25"/>
      <c r="J404" s="25"/>
      <c r="K404" s="25"/>
      <c r="L404" s="25"/>
      <c r="M404" s="25"/>
      <c r="N404" s="25" t="str">
        <f t="shared" si="6"/>
        <v/>
      </c>
      <c r="O404" s="25"/>
      <c r="P404" s="25"/>
      <c r="Q404" s="25"/>
      <c r="R404" s="25"/>
      <c r="S404" s="25"/>
      <c r="T404" s="25"/>
      <c r="U404" s="25"/>
      <c r="V404" s="25"/>
      <c r="W404" s="24"/>
      <c r="X404" s="24"/>
      <c r="Y404" s="25"/>
      <c r="Z404" s="25" t="str">
        <f>IF(B404="","",IFERROR(INDEX(الزبائن!$AZ$6:$AZ$505,MATCH(B404,الزبائن!$A$6:$A$505,0)),"source key not found"))</f>
        <v/>
      </c>
      <c r="AA404" s="25" t="str">
        <f>IF(B404="","",IFERROR(INDEX(الزبائن!$BA$6:$BA$505,MATCH(B404,الزبائن!$A$6:$A$505,0)),"source key not found"))</f>
        <v/>
      </c>
      <c r="AB404" s="25" t="str">
        <f>IF(AND(A404="",C404="",D404="",H404="",K404="",L404=""),"",IF(C404="skip","SKIP",IF(OR(A404="",C404="",D404="",H404="",K404="",L404="",S404="",COUNTIF($A$6:$A$505,A404)&gt;1,AND(B404&lt;&gt;"",COUNTIF(الزبائن!$A$6:$A$505,B404)=0),(COUNTIFS('أرقام التواصل'!$A$6:$A$505,"proposed_name",'أرقام التواصل'!$B$6:$B$505,A404,'أرقام التواصل'!$I$6:$I$505,"TRUE")+COUNTIFS('أرقام التواصل'!$A$6:$A$505,"proposed_name",'أرقام التواصل'!$B$6:$B$505,A404,'أرقام التواصل'!$C$6:$C$505,1))=0,AND(U404="TRUE",V404="")),"REVIEW","READY")))</f>
        <v/>
      </c>
      <c r="AC404" s="27" t="str">
        <f>IF(AB404="","",IF(AB404="READY","",IF(AB404="SKIP","Skipped by candidate_import_action",TRIM(IF(A404="","missing proposed_name_key; ","")&amp;IF(AND(A404&lt;&gt;"",COUNTIF($A$6:$A$505,A404)&gt;1),"duplicate proposed_name_key; ","")&amp;IF(C404="","missing candidate_import_action; ","")&amp;IF(D404="","missing move_reason; ","")&amp;IF(H404="","missing branch_id; ","")&amp;IF(K404="","missing first_name; ","")&amp;IF(L404="","missing last_name; ","")&amp;IF(S404="","missing status; ","")&amp;IF(AND(B404&lt;&gt;"",COUNTIF(الزبائن!$A$6:$A$505,B404)=0),"source key not found; ","")&amp;IF((COUNTIFS('أرقام التواصل'!$A$6:$A$505,"proposed_name",'أرقام التواصل'!$B$6:$B$505,A404,'أرقام التواصل'!$I$6:$I$505,"TRUE")+COUNTIFS('أرقام التواصل'!$A$6:$A$505,"proposed_name",'أرقام التواصل'!$B$6:$B$505,A404,'أرقام التواصل'!$C$6:$C$505,1))=0,"missing primary contact in أرقام التواصل; ","")&amp;IF(AND(U404="TRUE",V404=""),"duplicate_type required when duplicate_flag TRUE; ","")))))</f>
        <v/>
      </c>
    </row>
    <row r="405" spans="1:29">
      <c r="A405" s="36"/>
      <c r="B405" s="24"/>
      <c r="C405" s="25"/>
      <c r="D405" s="25"/>
      <c r="E405" s="25"/>
      <c r="F405" s="24"/>
      <c r="G405" s="25"/>
      <c r="H405" s="25"/>
      <c r="I405" s="25"/>
      <c r="J405" s="25"/>
      <c r="K405" s="25"/>
      <c r="L405" s="25"/>
      <c r="M405" s="25"/>
      <c r="N405" s="25" t="str">
        <f t="shared" si="6"/>
        <v/>
      </c>
      <c r="O405" s="25"/>
      <c r="P405" s="25"/>
      <c r="Q405" s="25"/>
      <c r="R405" s="25"/>
      <c r="S405" s="25"/>
      <c r="T405" s="25"/>
      <c r="U405" s="25"/>
      <c r="V405" s="25"/>
      <c r="W405" s="24"/>
      <c r="X405" s="24"/>
      <c r="Y405" s="25"/>
      <c r="Z405" s="25" t="str">
        <f>IF(B405="","",IFERROR(INDEX(الزبائن!$AZ$6:$AZ$505,MATCH(B405,الزبائن!$A$6:$A$505,0)),"source key not found"))</f>
        <v/>
      </c>
      <c r="AA405" s="25" t="str">
        <f>IF(B405="","",IFERROR(INDEX(الزبائن!$BA$6:$BA$505,MATCH(B405,الزبائن!$A$6:$A$505,0)),"source key not found"))</f>
        <v/>
      </c>
      <c r="AB405" s="25" t="str">
        <f>IF(AND(A405="",C405="",D405="",H405="",K405="",L405=""),"",IF(C405="skip","SKIP",IF(OR(A405="",C405="",D405="",H405="",K405="",L405="",S405="",COUNTIF($A$6:$A$505,A405)&gt;1,AND(B405&lt;&gt;"",COUNTIF(الزبائن!$A$6:$A$505,B405)=0),(COUNTIFS('أرقام التواصل'!$A$6:$A$505,"proposed_name",'أرقام التواصل'!$B$6:$B$505,A405,'أرقام التواصل'!$I$6:$I$505,"TRUE")+COUNTIFS('أرقام التواصل'!$A$6:$A$505,"proposed_name",'أرقام التواصل'!$B$6:$B$505,A405,'أرقام التواصل'!$C$6:$C$505,1))=0,AND(U405="TRUE",V405="")),"REVIEW","READY")))</f>
        <v/>
      </c>
      <c r="AC405" s="27" t="str">
        <f>IF(AB405="","",IF(AB405="READY","",IF(AB405="SKIP","Skipped by candidate_import_action",TRIM(IF(A405="","missing proposed_name_key; ","")&amp;IF(AND(A405&lt;&gt;"",COUNTIF($A$6:$A$505,A405)&gt;1),"duplicate proposed_name_key; ","")&amp;IF(C405="","missing candidate_import_action; ","")&amp;IF(D405="","missing move_reason; ","")&amp;IF(H405="","missing branch_id; ","")&amp;IF(K405="","missing first_name; ","")&amp;IF(L405="","missing last_name; ","")&amp;IF(S405="","missing status; ","")&amp;IF(AND(B405&lt;&gt;"",COUNTIF(الزبائن!$A$6:$A$505,B405)=0),"source key not found; ","")&amp;IF((COUNTIFS('أرقام التواصل'!$A$6:$A$505,"proposed_name",'أرقام التواصل'!$B$6:$B$505,A405,'أرقام التواصل'!$I$6:$I$505,"TRUE")+COUNTIFS('أرقام التواصل'!$A$6:$A$505,"proposed_name",'أرقام التواصل'!$B$6:$B$505,A405,'أرقام التواصل'!$C$6:$C$505,1))=0,"missing primary contact in أرقام التواصل; ","")&amp;IF(AND(U405="TRUE",V405=""),"duplicate_type required when duplicate_flag TRUE; ","")))))</f>
        <v/>
      </c>
    </row>
    <row r="406" spans="1:29">
      <c r="A406" s="36"/>
      <c r="B406" s="24"/>
      <c r="C406" s="25"/>
      <c r="D406" s="25"/>
      <c r="E406" s="25"/>
      <c r="F406" s="24"/>
      <c r="G406" s="25"/>
      <c r="H406" s="25"/>
      <c r="I406" s="25"/>
      <c r="J406" s="25"/>
      <c r="K406" s="25"/>
      <c r="L406" s="25"/>
      <c r="M406" s="25"/>
      <c r="N406" s="25" t="str">
        <f t="shared" si="6"/>
        <v/>
      </c>
      <c r="O406" s="25"/>
      <c r="P406" s="25"/>
      <c r="Q406" s="25"/>
      <c r="R406" s="25"/>
      <c r="S406" s="25"/>
      <c r="T406" s="25"/>
      <c r="U406" s="25"/>
      <c r="V406" s="25"/>
      <c r="W406" s="24"/>
      <c r="X406" s="24"/>
      <c r="Y406" s="25"/>
      <c r="Z406" s="25" t="str">
        <f>IF(B406="","",IFERROR(INDEX(الزبائن!$AZ$6:$AZ$505,MATCH(B406,الزبائن!$A$6:$A$505,0)),"source key not found"))</f>
        <v/>
      </c>
      <c r="AA406" s="25" t="str">
        <f>IF(B406="","",IFERROR(INDEX(الزبائن!$BA$6:$BA$505,MATCH(B406,الزبائن!$A$6:$A$505,0)),"source key not found"))</f>
        <v/>
      </c>
      <c r="AB406" s="25" t="str">
        <f>IF(AND(A406="",C406="",D406="",H406="",K406="",L406=""),"",IF(C406="skip","SKIP",IF(OR(A406="",C406="",D406="",H406="",K406="",L406="",S406="",COUNTIF($A$6:$A$505,A406)&gt;1,AND(B406&lt;&gt;"",COUNTIF(الزبائن!$A$6:$A$505,B406)=0),(COUNTIFS('أرقام التواصل'!$A$6:$A$505,"proposed_name",'أرقام التواصل'!$B$6:$B$505,A406,'أرقام التواصل'!$I$6:$I$505,"TRUE")+COUNTIFS('أرقام التواصل'!$A$6:$A$505,"proposed_name",'أرقام التواصل'!$B$6:$B$505,A406,'أرقام التواصل'!$C$6:$C$505,1))=0,AND(U406="TRUE",V406="")),"REVIEW","READY")))</f>
        <v/>
      </c>
      <c r="AC406" s="27" t="str">
        <f>IF(AB406="","",IF(AB406="READY","",IF(AB406="SKIP","Skipped by candidate_import_action",TRIM(IF(A406="","missing proposed_name_key; ","")&amp;IF(AND(A406&lt;&gt;"",COUNTIF($A$6:$A$505,A406)&gt;1),"duplicate proposed_name_key; ","")&amp;IF(C406="","missing candidate_import_action; ","")&amp;IF(D406="","missing move_reason; ","")&amp;IF(H406="","missing branch_id; ","")&amp;IF(K406="","missing first_name; ","")&amp;IF(L406="","missing last_name; ","")&amp;IF(S406="","missing status; ","")&amp;IF(AND(B406&lt;&gt;"",COUNTIF(الزبائن!$A$6:$A$505,B406)=0),"source key not found; ","")&amp;IF((COUNTIFS('أرقام التواصل'!$A$6:$A$505,"proposed_name",'أرقام التواصل'!$B$6:$B$505,A406,'أرقام التواصل'!$I$6:$I$505,"TRUE")+COUNTIFS('أرقام التواصل'!$A$6:$A$505,"proposed_name",'أرقام التواصل'!$B$6:$B$505,A406,'أرقام التواصل'!$C$6:$C$505,1))=0,"missing primary contact in أرقام التواصل; ","")&amp;IF(AND(U406="TRUE",V406=""),"duplicate_type required when duplicate_flag TRUE; ","")))))</f>
        <v/>
      </c>
    </row>
    <row r="407" spans="1:29">
      <c r="A407" s="36"/>
      <c r="B407" s="24"/>
      <c r="C407" s="25"/>
      <c r="D407" s="25"/>
      <c r="E407" s="25"/>
      <c r="F407" s="24"/>
      <c r="G407" s="25"/>
      <c r="H407" s="25"/>
      <c r="I407" s="25"/>
      <c r="J407" s="25"/>
      <c r="K407" s="25"/>
      <c r="L407" s="25"/>
      <c r="M407" s="25"/>
      <c r="N407" s="25" t="str">
        <f t="shared" si="6"/>
        <v/>
      </c>
      <c r="O407" s="25"/>
      <c r="P407" s="25"/>
      <c r="Q407" s="25"/>
      <c r="R407" s="25"/>
      <c r="S407" s="25"/>
      <c r="T407" s="25"/>
      <c r="U407" s="25"/>
      <c r="V407" s="25"/>
      <c r="W407" s="24"/>
      <c r="X407" s="24"/>
      <c r="Y407" s="25"/>
      <c r="Z407" s="25" t="str">
        <f>IF(B407="","",IFERROR(INDEX(الزبائن!$AZ$6:$AZ$505,MATCH(B407,الزبائن!$A$6:$A$505,0)),"source key not found"))</f>
        <v/>
      </c>
      <c r="AA407" s="25" t="str">
        <f>IF(B407="","",IFERROR(INDEX(الزبائن!$BA$6:$BA$505,MATCH(B407,الزبائن!$A$6:$A$505,0)),"source key not found"))</f>
        <v/>
      </c>
      <c r="AB407" s="25" t="str">
        <f>IF(AND(A407="",C407="",D407="",H407="",K407="",L407=""),"",IF(C407="skip","SKIP",IF(OR(A407="",C407="",D407="",H407="",K407="",L407="",S407="",COUNTIF($A$6:$A$505,A407)&gt;1,AND(B407&lt;&gt;"",COUNTIF(الزبائن!$A$6:$A$505,B407)=0),(COUNTIFS('أرقام التواصل'!$A$6:$A$505,"proposed_name",'أرقام التواصل'!$B$6:$B$505,A407,'أرقام التواصل'!$I$6:$I$505,"TRUE")+COUNTIFS('أرقام التواصل'!$A$6:$A$505,"proposed_name",'أرقام التواصل'!$B$6:$B$505,A407,'أرقام التواصل'!$C$6:$C$505,1))=0,AND(U407="TRUE",V407="")),"REVIEW","READY")))</f>
        <v/>
      </c>
      <c r="AC407" s="27" t="str">
        <f>IF(AB407="","",IF(AB407="READY","",IF(AB407="SKIP","Skipped by candidate_import_action",TRIM(IF(A407="","missing proposed_name_key; ","")&amp;IF(AND(A407&lt;&gt;"",COUNTIF($A$6:$A$505,A407)&gt;1),"duplicate proposed_name_key; ","")&amp;IF(C407="","missing candidate_import_action; ","")&amp;IF(D407="","missing move_reason; ","")&amp;IF(H407="","missing branch_id; ","")&amp;IF(K407="","missing first_name; ","")&amp;IF(L407="","missing last_name; ","")&amp;IF(S407="","missing status; ","")&amp;IF(AND(B407&lt;&gt;"",COUNTIF(الزبائن!$A$6:$A$505,B407)=0),"source key not found; ","")&amp;IF((COUNTIFS('أرقام التواصل'!$A$6:$A$505,"proposed_name",'أرقام التواصل'!$B$6:$B$505,A407,'أرقام التواصل'!$I$6:$I$505,"TRUE")+COUNTIFS('أرقام التواصل'!$A$6:$A$505,"proposed_name",'أرقام التواصل'!$B$6:$B$505,A407,'أرقام التواصل'!$C$6:$C$505,1))=0,"missing primary contact in أرقام التواصل; ","")&amp;IF(AND(U407="TRUE",V407=""),"duplicate_type required when duplicate_flag TRUE; ","")))))</f>
        <v/>
      </c>
    </row>
    <row r="408" spans="1:29">
      <c r="A408" s="36"/>
      <c r="B408" s="24"/>
      <c r="C408" s="25"/>
      <c r="D408" s="25"/>
      <c r="E408" s="25"/>
      <c r="F408" s="24"/>
      <c r="G408" s="25"/>
      <c r="H408" s="25"/>
      <c r="I408" s="25"/>
      <c r="J408" s="25"/>
      <c r="K408" s="25"/>
      <c r="L408" s="25"/>
      <c r="M408" s="25"/>
      <c r="N408" s="25" t="str">
        <f t="shared" si="6"/>
        <v/>
      </c>
      <c r="O408" s="25"/>
      <c r="P408" s="25"/>
      <c r="Q408" s="25"/>
      <c r="R408" s="25"/>
      <c r="S408" s="25"/>
      <c r="T408" s="25"/>
      <c r="U408" s="25"/>
      <c r="V408" s="25"/>
      <c r="W408" s="24"/>
      <c r="X408" s="24"/>
      <c r="Y408" s="25"/>
      <c r="Z408" s="25" t="str">
        <f>IF(B408="","",IFERROR(INDEX(الزبائن!$AZ$6:$AZ$505,MATCH(B408,الزبائن!$A$6:$A$505,0)),"source key not found"))</f>
        <v/>
      </c>
      <c r="AA408" s="25" t="str">
        <f>IF(B408="","",IFERROR(INDEX(الزبائن!$BA$6:$BA$505,MATCH(B408,الزبائن!$A$6:$A$505,0)),"source key not found"))</f>
        <v/>
      </c>
      <c r="AB408" s="25" t="str">
        <f>IF(AND(A408="",C408="",D408="",H408="",K408="",L408=""),"",IF(C408="skip","SKIP",IF(OR(A408="",C408="",D408="",H408="",K408="",L408="",S408="",COUNTIF($A$6:$A$505,A408)&gt;1,AND(B408&lt;&gt;"",COUNTIF(الزبائن!$A$6:$A$505,B408)=0),(COUNTIFS('أرقام التواصل'!$A$6:$A$505,"proposed_name",'أرقام التواصل'!$B$6:$B$505,A408,'أرقام التواصل'!$I$6:$I$505,"TRUE")+COUNTIFS('أرقام التواصل'!$A$6:$A$505,"proposed_name",'أرقام التواصل'!$B$6:$B$505,A408,'أرقام التواصل'!$C$6:$C$505,1))=0,AND(U408="TRUE",V408="")),"REVIEW","READY")))</f>
        <v/>
      </c>
      <c r="AC408" s="27" t="str">
        <f>IF(AB408="","",IF(AB408="READY","",IF(AB408="SKIP","Skipped by candidate_import_action",TRIM(IF(A408="","missing proposed_name_key; ","")&amp;IF(AND(A408&lt;&gt;"",COUNTIF($A$6:$A$505,A408)&gt;1),"duplicate proposed_name_key; ","")&amp;IF(C408="","missing candidate_import_action; ","")&amp;IF(D408="","missing move_reason; ","")&amp;IF(H408="","missing branch_id; ","")&amp;IF(K408="","missing first_name; ","")&amp;IF(L408="","missing last_name; ","")&amp;IF(S408="","missing status; ","")&amp;IF(AND(B408&lt;&gt;"",COUNTIF(الزبائن!$A$6:$A$505,B408)=0),"source key not found; ","")&amp;IF((COUNTIFS('أرقام التواصل'!$A$6:$A$505,"proposed_name",'أرقام التواصل'!$B$6:$B$505,A408,'أرقام التواصل'!$I$6:$I$505,"TRUE")+COUNTIFS('أرقام التواصل'!$A$6:$A$505,"proposed_name",'أرقام التواصل'!$B$6:$B$505,A408,'أرقام التواصل'!$C$6:$C$505,1))=0,"missing primary contact in أرقام التواصل; ","")&amp;IF(AND(U408="TRUE",V408=""),"duplicate_type required when duplicate_flag TRUE; ","")))))</f>
        <v/>
      </c>
    </row>
    <row r="409" spans="1:29">
      <c r="A409" s="36"/>
      <c r="B409" s="24"/>
      <c r="C409" s="25"/>
      <c r="D409" s="25"/>
      <c r="E409" s="25"/>
      <c r="F409" s="24"/>
      <c r="G409" s="25"/>
      <c r="H409" s="25"/>
      <c r="I409" s="25"/>
      <c r="J409" s="25"/>
      <c r="K409" s="25"/>
      <c r="L409" s="25"/>
      <c r="M409" s="25"/>
      <c r="N409" s="25" t="str">
        <f t="shared" si="6"/>
        <v/>
      </c>
      <c r="O409" s="25"/>
      <c r="P409" s="25"/>
      <c r="Q409" s="25"/>
      <c r="R409" s="25"/>
      <c r="S409" s="25"/>
      <c r="T409" s="25"/>
      <c r="U409" s="25"/>
      <c r="V409" s="25"/>
      <c r="W409" s="24"/>
      <c r="X409" s="24"/>
      <c r="Y409" s="25"/>
      <c r="Z409" s="25" t="str">
        <f>IF(B409="","",IFERROR(INDEX(الزبائن!$AZ$6:$AZ$505,MATCH(B409,الزبائن!$A$6:$A$505,0)),"source key not found"))</f>
        <v/>
      </c>
      <c r="AA409" s="25" t="str">
        <f>IF(B409="","",IFERROR(INDEX(الزبائن!$BA$6:$BA$505,MATCH(B409,الزبائن!$A$6:$A$505,0)),"source key not found"))</f>
        <v/>
      </c>
      <c r="AB409" s="25" t="str">
        <f>IF(AND(A409="",C409="",D409="",H409="",K409="",L409=""),"",IF(C409="skip","SKIP",IF(OR(A409="",C409="",D409="",H409="",K409="",L409="",S409="",COUNTIF($A$6:$A$505,A409)&gt;1,AND(B409&lt;&gt;"",COUNTIF(الزبائن!$A$6:$A$505,B409)=0),(COUNTIFS('أرقام التواصل'!$A$6:$A$505,"proposed_name",'أرقام التواصل'!$B$6:$B$505,A409,'أرقام التواصل'!$I$6:$I$505,"TRUE")+COUNTIFS('أرقام التواصل'!$A$6:$A$505,"proposed_name",'أرقام التواصل'!$B$6:$B$505,A409,'أرقام التواصل'!$C$6:$C$505,1))=0,AND(U409="TRUE",V409="")),"REVIEW","READY")))</f>
        <v/>
      </c>
      <c r="AC409" s="27" t="str">
        <f>IF(AB409="","",IF(AB409="READY","",IF(AB409="SKIP","Skipped by candidate_import_action",TRIM(IF(A409="","missing proposed_name_key; ","")&amp;IF(AND(A409&lt;&gt;"",COUNTIF($A$6:$A$505,A409)&gt;1),"duplicate proposed_name_key; ","")&amp;IF(C409="","missing candidate_import_action; ","")&amp;IF(D409="","missing move_reason; ","")&amp;IF(H409="","missing branch_id; ","")&amp;IF(K409="","missing first_name; ","")&amp;IF(L409="","missing last_name; ","")&amp;IF(S409="","missing status; ","")&amp;IF(AND(B409&lt;&gt;"",COUNTIF(الزبائن!$A$6:$A$505,B409)=0),"source key not found; ","")&amp;IF((COUNTIFS('أرقام التواصل'!$A$6:$A$505,"proposed_name",'أرقام التواصل'!$B$6:$B$505,A409,'أرقام التواصل'!$I$6:$I$505,"TRUE")+COUNTIFS('أرقام التواصل'!$A$6:$A$505,"proposed_name",'أرقام التواصل'!$B$6:$B$505,A409,'أرقام التواصل'!$C$6:$C$505,1))=0,"missing primary contact in أرقام التواصل; ","")&amp;IF(AND(U409="TRUE",V409=""),"duplicate_type required when duplicate_flag TRUE; ","")))))</f>
        <v/>
      </c>
    </row>
    <row r="410" spans="1:29">
      <c r="A410" s="36"/>
      <c r="B410" s="24"/>
      <c r="C410" s="25"/>
      <c r="D410" s="25"/>
      <c r="E410" s="25"/>
      <c r="F410" s="24"/>
      <c r="G410" s="25"/>
      <c r="H410" s="25"/>
      <c r="I410" s="25"/>
      <c r="J410" s="25"/>
      <c r="K410" s="25"/>
      <c r="L410" s="25"/>
      <c r="M410" s="25"/>
      <c r="N410" s="25" t="str">
        <f t="shared" si="6"/>
        <v/>
      </c>
      <c r="O410" s="25"/>
      <c r="P410" s="25"/>
      <c r="Q410" s="25"/>
      <c r="R410" s="25"/>
      <c r="S410" s="25"/>
      <c r="T410" s="25"/>
      <c r="U410" s="25"/>
      <c r="V410" s="25"/>
      <c r="W410" s="24"/>
      <c r="X410" s="24"/>
      <c r="Y410" s="25"/>
      <c r="Z410" s="25" t="str">
        <f>IF(B410="","",IFERROR(INDEX(الزبائن!$AZ$6:$AZ$505,MATCH(B410,الزبائن!$A$6:$A$505,0)),"source key not found"))</f>
        <v/>
      </c>
      <c r="AA410" s="25" t="str">
        <f>IF(B410="","",IFERROR(INDEX(الزبائن!$BA$6:$BA$505,MATCH(B410,الزبائن!$A$6:$A$505,0)),"source key not found"))</f>
        <v/>
      </c>
      <c r="AB410" s="25" t="str">
        <f>IF(AND(A410="",C410="",D410="",H410="",K410="",L410=""),"",IF(C410="skip","SKIP",IF(OR(A410="",C410="",D410="",H410="",K410="",L410="",S410="",COUNTIF($A$6:$A$505,A410)&gt;1,AND(B410&lt;&gt;"",COUNTIF(الزبائن!$A$6:$A$505,B410)=0),(COUNTIFS('أرقام التواصل'!$A$6:$A$505,"proposed_name",'أرقام التواصل'!$B$6:$B$505,A410,'أرقام التواصل'!$I$6:$I$505,"TRUE")+COUNTIFS('أرقام التواصل'!$A$6:$A$505,"proposed_name",'أرقام التواصل'!$B$6:$B$505,A410,'أرقام التواصل'!$C$6:$C$505,1))=0,AND(U410="TRUE",V410="")),"REVIEW","READY")))</f>
        <v/>
      </c>
      <c r="AC410" s="27" t="str">
        <f>IF(AB410="","",IF(AB410="READY","",IF(AB410="SKIP","Skipped by candidate_import_action",TRIM(IF(A410="","missing proposed_name_key; ","")&amp;IF(AND(A410&lt;&gt;"",COUNTIF($A$6:$A$505,A410)&gt;1),"duplicate proposed_name_key; ","")&amp;IF(C410="","missing candidate_import_action; ","")&amp;IF(D410="","missing move_reason; ","")&amp;IF(H410="","missing branch_id; ","")&amp;IF(K410="","missing first_name; ","")&amp;IF(L410="","missing last_name; ","")&amp;IF(S410="","missing status; ","")&amp;IF(AND(B410&lt;&gt;"",COUNTIF(الزبائن!$A$6:$A$505,B410)=0),"source key not found; ","")&amp;IF((COUNTIFS('أرقام التواصل'!$A$6:$A$505,"proposed_name",'أرقام التواصل'!$B$6:$B$505,A410,'أرقام التواصل'!$I$6:$I$505,"TRUE")+COUNTIFS('أرقام التواصل'!$A$6:$A$505,"proposed_name",'أرقام التواصل'!$B$6:$B$505,A410,'أرقام التواصل'!$C$6:$C$505,1))=0,"missing primary contact in أرقام التواصل; ","")&amp;IF(AND(U410="TRUE",V410=""),"duplicate_type required when duplicate_flag TRUE; ","")))))</f>
        <v/>
      </c>
    </row>
    <row r="411" spans="1:29">
      <c r="A411" s="36"/>
      <c r="B411" s="24"/>
      <c r="C411" s="25"/>
      <c r="D411" s="25"/>
      <c r="E411" s="25"/>
      <c r="F411" s="24"/>
      <c r="G411" s="25"/>
      <c r="H411" s="25"/>
      <c r="I411" s="25"/>
      <c r="J411" s="25"/>
      <c r="K411" s="25"/>
      <c r="L411" s="25"/>
      <c r="M411" s="25"/>
      <c r="N411" s="25" t="str">
        <f t="shared" si="6"/>
        <v/>
      </c>
      <c r="O411" s="25"/>
      <c r="P411" s="25"/>
      <c r="Q411" s="25"/>
      <c r="R411" s="25"/>
      <c r="S411" s="25"/>
      <c r="T411" s="25"/>
      <c r="U411" s="25"/>
      <c r="V411" s="25"/>
      <c r="W411" s="24"/>
      <c r="X411" s="24"/>
      <c r="Y411" s="25"/>
      <c r="Z411" s="25" t="str">
        <f>IF(B411="","",IFERROR(INDEX(الزبائن!$AZ$6:$AZ$505,MATCH(B411,الزبائن!$A$6:$A$505,0)),"source key not found"))</f>
        <v/>
      </c>
      <c r="AA411" s="25" t="str">
        <f>IF(B411="","",IFERROR(INDEX(الزبائن!$BA$6:$BA$505,MATCH(B411,الزبائن!$A$6:$A$505,0)),"source key not found"))</f>
        <v/>
      </c>
      <c r="AB411" s="25" t="str">
        <f>IF(AND(A411="",C411="",D411="",H411="",K411="",L411=""),"",IF(C411="skip","SKIP",IF(OR(A411="",C411="",D411="",H411="",K411="",L411="",S411="",COUNTIF($A$6:$A$505,A411)&gt;1,AND(B411&lt;&gt;"",COUNTIF(الزبائن!$A$6:$A$505,B411)=0),(COUNTIFS('أرقام التواصل'!$A$6:$A$505,"proposed_name",'أرقام التواصل'!$B$6:$B$505,A411,'أرقام التواصل'!$I$6:$I$505,"TRUE")+COUNTIFS('أرقام التواصل'!$A$6:$A$505,"proposed_name",'أرقام التواصل'!$B$6:$B$505,A411,'أرقام التواصل'!$C$6:$C$505,1))=0,AND(U411="TRUE",V411="")),"REVIEW","READY")))</f>
        <v/>
      </c>
      <c r="AC411" s="27" t="str">
        <f>IF(AB411="","",IF(AB411="READY","",IF(AB411="SKIP","Skipped by candidate_import_action",TRIM(IF(A411="","missing proposed_name_key; ","")&amp;IF(AND(A411&lt;&gt;"",COUNTIF($A$6:$A$505,A411)&gt;1),"duplicate proposed_name_key; ","")&amp;IF(C411="","missing candidate_import_action; ","")&amp;IF(D411="","missing move_reason; ","")&amp;IF(H411="","missing branch_id; ","")&amp;IF(K411="","missing first_name; ","")&amp;IF(L411="","missing last_name; ","")&amp;IF(S411="","missing status; ","")&amp;IF(AND(B411&lt;&gt;"",COUNTIF(الزبائن!$A$6:$A$505,B411)=0),"source key not found; ","")&amp;IF((COUNTIFS('أرقام التواصل'!$A$6:$A$505,"proposed_name",'أرقام التواصل'!$B$6:$B$505,A411,'أرقام التواصل'!$I$6:$I$505,"TRUE")+COUNTIFS('أرقام التواصل'!$A$6:$A$505,"proposed_name",'أرقام التواصل'!$B$6:$B$505,A411,'أرقام التواصل'!$C$6:$C$505,1))=0,"missing primary contact in أرقام التواصل; ","")&amp;IF(AND(U411="TRUE",V411=""),"duplicate_type required when duplicate_flag TRUE; ","")))))</f>
        <v/>
      </c>
    </row>
    <row r="412" spans="1:29">
      <c r="A412" s="36"/>
      <c r="B412" s="24"/>
      <c r="C412" s="25"/>
      <c r="D412" s="25"/>
      <c r="E412" s="25"/>
      <c r="F412" s="24"/>
      <c r="G412" s="25"/>
      <c r="H412" s="25"/>
      <c r="I412" s="25"/>
      <c r="J412" s="25"/>
      <c r="K412" s="25"/>
      <c r="L412" s="25"/>
      <c r="M412" s="25"/>
      <c r="N412" s="25" t="str">
        <f t="shared" si="6"/>
        <v/>
      </c>
      <c r="O412" s="25"/>
      <c r="P412" s="25"/>
      <c r="Q412" s="25"/>
      <c r="R412" s="25"/>
      <c r="S412" s="25"/>
      <c r="T412" s="25"/>
      <c r="U412" s="25"/>
      <c r="V412" s="25"/>
      <c r="W412" s="24"/>
      <c r="X412" s="24"/>
      <c r="Y412" s="25"/>
      <c r="Z412" s="25" t="str">
        <f>IF(B412="","",IFERROR(INDEX(الزبائن!$AZ$6:$AZ$505,MATCH(B412,الزبائن!$A$6:$A$505,0)),"source key not found"))</f>
        <v/>
      </c>
      <c r="AA412" s="25" t="str">
        <f>IF(B412="","",IFERROR(INDEX(الزبائن!$BA$6:$BA$505,MATCH(B412,الزبائن!$A$6:$A$505,0)),"source key not found"))</f>
        <v/>
      </c>
      <c r="AB412" s="25" t="str">
        <f>IF(AND(A412="",C412="",D412="",H412="",K412="",L412=""),"",IF(C412="skip","SKIP",IF(OR(A412="",C412="",D412="",H412="",K412="",L412="",S412="",COUNTIF($A$6:$A$505,A412)&gt;1,AND(B412&lt;&gt;"",COUNTIF(الزبائن!$A$6:$A$505,B412)=0),(COUNTIFS('أرقام التواصل'!$A$6:$A$505,"proposed_name",'أرقام التواصل'!$B$6:$B$505,A412,'أرقام التواصل'!$I$6:$I$505,"TRUE")+COUNTIFS('أرقام التواصل'!$A$6:$A$505,"proposed_name",'أرقام التواصل'!$B$6:$B$505,A412,'أرقام التواصل'!$C$6:$C$505,1))=0,AND(U412="TRUE",V412="")),"REVIEW","READY")))</f>
        <v/>
      </c>
      <c r="AC412" s="27" t="str">
        <f>IF(AB412="","",IF(AB412="READY","",IF(AB412="SKIP","Skipped by candidate_import_action",TRIM(IF(A412="","missing proposed_name_key; ","")&amp;IF(AND(A412&lt;&gt;"",COUNTIF($A$6:$A$505,A412)&gt;1),"duplicate proposed_name_key; ","")&amp;IF(C412="","missing candidate_import_action; ","")&amp;IF(D412="","missing move_reason; ","")&amp;IF(H412="","missing branch_id; ","")&amp;IF(K412="","missing first_name; ","")&amp;IF(L412="","missing last_name; ","")&amp;IF(S412="","missing status; ","")&amp;IF(AND(B412&lt;&gt;"",COUNTIF(الزبائن!$A$6:$A$505,B412)=0),"source key not found; ","")&amp;IF((COUNTIFS('أرقام التواصل'!$A$6:$A$505,"proposed_name",'أرقام التواصل'!$B$6:$B$505,A412,'أرقام التواصل'!$I$6:$I$505,"TRUE")+COUNTIFS('أرقام التواصل'!$A$6:$A$505,"proposed_name",'أرقام التواصل'!$B$6:$B$505,A412,'أرقام التواصل'!$C$6:$C$505,1))=0,"missing primary contact in أرقام التواصل; ","")&amp;IF(AND(U412="TRUE",V412=""),"duplicate_type required when duplicate_flag TRUE; ","")))))</f>
        <v/>
      </c>
    </row>
    <row r="413" spans="1:29">
      <c r="A413" s="36"/>
      <c r="B413" s="24"/>
      <c r="C413" s="25"/>
      <c r="D413" s="25"/>
      <c r="E413" s="25"/>
      <c r="F413" s="24"/>
      <c r="G413" s="25"/>
      <c r="H413" s="25"/>
      <c r="I413" s="25"/>
      <c r="J413" s="25"/>
      <c r="K413" s="25"/>
      <c r="L413" s="25"/>
      <c r="M413" s="25"/>
      <c r="N413" s="25" t="str">
        <f t="shared" si="6"/>
        <v/>
      </c>
      <c r="O413" s="25"/>
      <c r="P413" s="25"/>
      <c r="Q413" s="25"/>
      <c r="R413" s="25"/>
      <c r="S413" s="25"/>
      <c r="T413" s="25"/>
      <c r="U413" s="25"/>
      <c r="V413" s="25"/>
      <c r="W413" s="24"/>
      <c r="X413" s="24"/>
      <c r="Y413" s="25"/>
      <c r="Z413" s="25" t="str">
        <f>IF(B413="","",IFERROR(INDEX(الزبائن!$AZ$6:$AZ$505,MATCH(B413,الزبائن!$A$6:$A$505,0)),"source key not found"))</f>
        <v/>
      </c>
      <c r="AA413" s="25" t="str">
        <f>IF(B413="","",IFERROR(INDEX(الزبائن!$BA$6:$BA$505,MATCH(B413,الزبائن!$A$6:$A$505,0)),"source key not found"))</f>
        <v/>
      </c>
      <c r="AB413" s="25" t="str">
        <f>IF(AND(A413="",C413="",D413="",H413="",K413="",L413=""),"",IF(C413="skip","SKIP",IF(OR(A413="",C413="",D413="",H413="",K413="",L413="",S413="",COUNTIF($A$6:$A$505,A413)&gt;1,AND(B413&lt;&gt;"",COUNTIF(الزبائن!$A$6:$A$505,B413)=0),(COUNTIFS('أرقام التواصل'!$A$6:$A$505,"proposed_name",'أرقام التواصل'!$B$6:$B$505,A413,'أرقام التواصل'!$I$6:$I$505,"TRUE")+COUNTIFS('أرقام التواصل'!$A$6:$A$505,"proposed_name",'أرقام التواصل'!$B$6:$B$505,A413,'أرقام التواصل'!$C$6:$C$505,1))=0,AND(U413="TRUE",V413="")),"REVIEW","READY")))</f>
        <v/>
      </c>
      <c r="AC413" s="27" t="str">
        <f>IF(AB413="","",IF(AB413="READY","",IF(AB413="SKIP","Skipped by candidate_import_action",TRIM(IF(A413="","missing proposed_name_key; ","")&amp;IF(AND(A413&lt;&gt;"",COUNTIF($A$6:$A$505,A413)&gt;1),"duplicate proposed_name_key; ","")&amp;IF(C413="","missing candidate_import_action; ","")&amp;IF(D413="","missing move_reason; ","")&amp;IF(H413="","missing branch_id; ","")&amp;IF(K413="","missing first_name; ","")&amp;IF(L413="","missing last_name; ","")&amp;IF(S413="","missing status; ","")&amp;IF(AND(B413&lt;&gt;"",COUNTIF(الزبائن!$A$6:$A$505,B413)=0),"source key not found; ","")&amp;IF((COUNTIFS('أرقام التواصل'!$A$6:$A$505,"proposed_name",'أرقام التواصل'!$B$6:$B$505,A413,'أرقام التواصل'!$I$6:$I$505,"TRUE")+COUNTIFS('أرقام التواصل'!$A$6:$A$505,"proposed_name",'أرقام التواصل'!$B$6:$B$505,A413,'أرقام التواصل'!$C$6:$C$505,1))=0,"missing primary contact in أرقام التواصل; ","")&amp;IF(AND(U413="TRUE",V413=""),"duplicate_type required when duplicate_flag TRUE; ","")))))</f>
        <v/>
      </c>
    </row>
    <row r="414" spans="1:29">
      <c r="A414" s="36"/>
      <c r="B414" s="24"/>
      <c r="C414" s="25"/>
      <c r="D414" s="25"/>
      <c r="E414" s="25"/>
      <c r="F414" s="24"/>
      <c r="G414" s="25"/>
      <c r="H414" s="25"/>
      <c r="I414" s="25"/>
      <c r="J414" s="25"/>
      <c r="K414" s="25"/>
      <c r="L414" s="25"/>
      <c r="M414" s="25"/>
      <c r="N414" s="25" t="str">
        <f t="shared" si="6"/>
        <v/>
      </c>
      <c r="O414" s="25"/>
      <c r="P414" s="25"/>
      <c r="Q414" s="25"/>
      <c r="R414" s="25"/>
      <c r="S414" s="25"/>
      <c r="T414" s="25"/>
      <c r="U414" s="25"/>
      <c r="V414" s="25"/>
      <c r="W414" s="24"/>
      <c r="X414" s="24"/>
      <c r="Y414" s="25"/>
      <c r="Z414" s="25" t="str">
        <f>IF(B414="","",IFERROR(INDEX(الزبائن!$AZ$6:$AZ$505,MATCH(B414,الزبائن!$A$6:$A$505,0)),"source key not found"))</f>
        <v/>
      </c>
      <c r="AA414" s="25" t="str">
        <f>IF(B414="","",IFERROR(INDEX(الزبائن!$BA$6:$BA$505,MATCH(B414,الزبائن!$A$6:$A$505,0)),"source key not found"))</f>
        <v/>
      </c>
      <c r="AB414" s="25" t="str">
        <f>IF(AND(A414="",C414="",D414="",H414="",K414="",L414=""),"",IF(C414="skip","SKIP",IF(OR(A414="",C414="",D414="",H414="",K414="",L414="",S414="",COUNTIF($A$6:$A$505,A414)&gt;1,AND(B414&lt;&gt;"",COUNTIF(الزبائن!$A$6:$A$505,B414)=0),(COUNTIFS('أرقام التواصل'!$A$6:$A$505,"proposed_name",'أرقام التواصل'!$B$6:$B$505,A414,'أرقام التواصل'!$I$6:$I$505,"TRUE")+COUNTIFS('أرقام التواصل'!$A$6:$A$505,"proposed_name",'أرقام التواصل'!$B$6:$B$505,A414,'أرقام التواصل'!$C$6:$C$505,1))=0,AND(U414="TRUE",V414="")),"REVIEW","READY")))</f>
        <v/>
      </c>
      <c r="AC414" s="27" t="str">
        <f>IF(AB414="","",IF(AB414="READY","",IF(AB414="SKIP","Skipped by candidate_import_action",TRIM(IF(A414="","missing proposed_name_key; ","")&amp;IF(AND(A414&lt;&gt;"",COUNTIF($A$6:$A$505,A414)&gt;1),"duplicate proposed_name_key; ","")&amp;IF(C414="","missing candidate_import_action; ","")&amp;IF(D414="","missing move_reason; ","")&amp;IF(H414="","missing branch_id; ","")&amp;IF(K414="","missing first_name; ","")&amp;IF(L414="","missing last_name; ","")&amp;IF(S414="","missing status; ","")&amp;IF(AND(B414&lt;&gt;"",COUNTIF(الزبائن!$A$6:$A$505,B414)=0),"source key not found; ","")&amp;IF((COUNTIFS('أرقام التواصل'!$A$6:$A$505,"proposed_name",'أرقام التواصل'!$B$6:$B$505,A414,'أرقام التواصل'!$I$6:$I$505,"TRUE")+COUNTIFS('أرقام التواصل'!$A$6:$A$505,"proposed_name",'أرقام التواصل'!$B$6:$B$505,A414,'أرقام التواصل'!$C$6:$C$505,1))=0,"missing primary contact in أرقام التواصل; ","")&amp;IF(AND(U414="TRUE",V414=""),"duplicate_type required when duplicate_flag TRUE; ","")))))</f>
        <v/>
      </c>
    </row>
    <row r="415" spans="1:29">
      <c r="A415" s="36"/>
      <c r="B415" s="24"/>
      <c r="C415" s="25"/>
      <c r="D415" s="25"/>
      <c r="E415" s="25"/>
      <c r="F415" s="24"/>
      <c r="G415" s="25"/>
      <c r="H415" s="25"/>
      <c r="I415" s="25"/>
      <c r="J415" s="25"/>
      <c r="K415" s="25"/>
      <c r="L415" s="25"/>
      <c r="M415" s="25"/>
      <c r="N415" s="25" t="str">
        <f t="shared" si="6"/>
        <v/>
      </c>
      <c r="O415" s="25"/>
      <c r="P415" s="25"/>
      <c r="Q415" s="25"/>
      <c r="R415" s="25"/>
      <c r="S415" s="25"/>
      <c r="T415" s="25"/>
      <c r="U415" s="25"/>
      <c r="V415" s="25"/>
      <c r="W415" s="24"/>
      <c r="X415" s="24"/>
      <c r="Y415" s="25"/>
      <c r="Z415" s="25" t="str">
        <f>IF(B415="","",IFERROR(INDEX(الزبائن!$AZ$6:$AZ$505,MATCH(B415,الزبائن!$A$6:$A$505,0)),"source key not found"))</f>
        <v/>
      </c>
      <c r="AA415" s="25" t="str">
        <f>IF(B415="","",IFERROR(INDEX(الزبائن!$BA$6:$BA$505,MATCH(B415,الزبائن!$A$6:$A$505,0)),"source key not found"))</f>
        <v/>
      </c>
      <c r="AB415" s="25" t="str">
        <f>IF(AND(A415="",C415="",D415="",H415="",K415="",L415=""),"",IF(C415="skip","SKIP",IF(OR(A415="",C415="",D415="",H415="",K415="",L415="",S415="",COUNTIF($A$6:$A$505,A415)&gt;1,AND(B415&lt;&gt;"",COUNTIF(الزبائن!$A$6:$A$505,B415)=0),(COUNTIFS('أرقام التواصل'!$A$6:$A$505,"proposed_name",'أرقام التواصل'!$B$6:$B$505,A415,'أرقام التواصل'!$I$6:$I$505,"TRUE")+COUNTIFS('أرقام التواصل'!$A$6:$A$505,"proposed_name",'أرقام التواصل'!$B$6:$B$505,A415,'أرقام التواصل'!$C$6:$C$505,1))=0,AND(U415="TRUE",V415="")),"REVIEW","READY")))</f>
        <v/>
      </c>
      <c r="AC415" s="27" t="str">
        <f>IF(AB415="","",IF(AB415="READY","",IF(AB415="SKIP","Skipped by candidate_import_action",TRIM(IF(A415="","missing proposed_name_key; ","")&amp;IF(AND(A415&lt;&gt;"",COUNTIF($A$6:$A$505,A415)&gt;1),"duplicate proposed_name_key; ","")&amp;IF(C415="","missing candidate_import_action; ","")&amp;IF(D415="","missing move_reason; ","")&amp;IF(H415="","missing branch_id; ","")&amp;IF(K415="","missing first_name; ","")&amp;IF(L415="","missing last_name; ","")&amp;IF(S415="","missing status; ","")&amp;IF(AND(B415&lt;&gt;"",COUNTIF(الزبائن!$A$6:$A$505,B415)=0),"source key not found; ","")&amp;IF((COUNTIFS('أرقام التواصل'!$A$6:$A$505,"proposed_name",'أرقام التواصل'!$B$6:$B$505,A415,'أرقام التواصل'!$I$6:$I$505,"TRUE")+COUNTIFS('أرقام التواصل'!$A$6:$A$505,"proposed_name",'أرقام التواصل'!$B$6:$B$505,A415,'أرقام التواصل'!$C$6:$C$505,1))=0,"missing primary contact in أرقام التواصل; ","")&amp;IF(AND(U415="TRUE",V415=""),"duplicate_type required when duplicate_flag TRUE; ","")))))</f>
        <v/>
      </c>
    </row>
    <row r="416" spans="1:29">
      <c r="A416" s="36"/>
      <c r="B416" s="24"/>
      <c r="C416" s="25"/>
      <c r="D416" s="25"/>
      <c r="E416" s="25"/>
      <c r="F416" s="24"/>
      <c r="G416" s="25"/>
      <c r="H416" s="25"/>
      <c r="I416" s="25"/>
      <c r="J416" s="25"/>
      <c r="K416" s="25"/>
      <c r="L416" s="25"/>
      <c r="M416" s="25"/>
      <c r="N416" s="25" t="str">
        <f t="shared" si="6"/>
        <v/>
      </c>
      <c r="O416" s="25"/>
      <c r="P416" s="25"/>
      <c r="Q416" s="25"/>
      <c r="R416" s="25"/>
      <c r="S416" s="25"/>
      <c r="T416" s="25"/>
      <c r="U416" s="25"/>
      <c r="V416" s="25"/>
      <c r="W416" s="24"/>
      <c r="X416" s="24"/>
      <c r="Y416" s="25"/>
      <c r="Z416" s="25" t="str">
        <f>IF(B416="","",IFERROR(INDEX(الزبائن!$AZ$6:$AZ$505,MATCH(B416,الزبائن!$A$6:$A$505,0)),"source key not found"))</f>
        <v/>
      </c>
      <c r="AA416" s="25" t="str">
        <f>IF(B416="","",IFERROR(INDEX(الزبائن!$BA$6:$BA$505,MATCH(B416,الزبائن!$A$6:$A$505,0)),"source key not found"))</f>
        <v/>
      </c>
      <c r="AB416" s="25" t="str">
        <f>IF(AND(A416="",C416="",D416="",H416="",K416="",L416=""),"",IF(C416="skip","SKIP",IF(OR(A416="",C416="",D416="",H416="",K416="",L416="",S416="",COUNTIF($A$6:$A$505,A416)&gt;1,AND(B416&lt;&gt;"",COUNTIF(الزبائن!$A$6:$A$505,B416)=0),(COUNTIFS('أرقام التواصل'!$A$6:$A$505,"proposed_name",'أرقام التواصل'!$B$6:$B$505,A416,'أرقام التواصل'!$I$6:$I$505,"TRUE")+COUNTIFS('أرقام التواصل'!$A$6:$A$505,"proposed_name",'أرقام التواصل'!$B$6:$B$505,A416,'أرقام التواصل'!$C$6:$C$505,1))=0,AND(U416="TRUE",V416="")),"REVIEW","READY")))</f>
        <v/>
      </c>
      <c r="AC416" s="27" t="str">
        <f>IF(AB416="","",IF(AB416="READY","",IF(AB416="SKIP","Skipped by candidate_import_action",TRIM(IF(A416="","missing proposed_name_key; ","")&amp;IF(AND(A416&lt;&gt;"",COUNTIF($A$6:$A$505,A416)&gt;1),"duplicate proposed_name_key; ","")&amp;IF(C416="","missing candidate_import_action; ","")&amp;IF(D416="","missing move_reason; ","")&amp;IF(H416="","missing branch_id; ","")&amp;IF(K416="","missing first_name; ","")&amp;IF(L416="","missing last_name; ","")&amp;IF(S416="","missing status; ","")&amp;IF(AND(B416&lt;&gt;"",COUNTIF(الزبائن!$A$6:$A$505,B416)=0),"source key not found; ","")&amp;IF((COUNTIFS('أرقام التواصل'!$A$6:$A$505,"proposed_name",'أرقام التواصل'!$B$6:$B$505,A416,'أرقام التواصل'!$I$6:$I$505,"TRUE")+COUNTIFS('أرقام التواصل'!$A$6:$A$505,"proposed_name",'أرقام التواصل'!$B$6:$B$505,A416,'أرقام التواصل'!$C$6:$C$505,1))=0,"missing primary contact in أرقام التواصل; ","")&amp;IF(AND(U416="TRUE",V416=""),"duplicate_type required when duplicate_flag TRUE; ","")))))</f>
        <v/>
      </c>
    </row>
    <row r="417" spans="1:29">
      <c r="A417" s="36"/>
      <c r="B417" s="24"/>
      <c r="C417" s="25"/>
      <c r="D417" s="25"/>
      <c r="E417" s="25"/>
      <c r="F417" s="24"/>
      <c r="G417" s="25"/>
      <c r="H417" s="25"/>
      <c r="I417" s="25"/>
      <c r="J417" s="25"/>
      <c r="K417" s="25"/>
      <c r="L417" s="25"/>
      <c r="M417" s="25"/>
      <c r="N417" s="25" t="str">
        <f t="shared" si="6"/>
        <v/>
      </c>
      <c r="O417" s="25"/>
      <c r="P417" s="25"/>
      <c r="Q417" s="25"/>
      <c r="R417" s="25"/>
      <c r="S417" s="25"/>
      <c r="T417" s="25"/>
      <c r="U417" s="25"/>
      <c r="V417" s="25"/>
      <c r="W417" s="24"/>
      <c r="X417" s="24"/>
      <c r="Y417" s="25"/>
      <c r="Z417" s="25" t="str">
        <f>IF(B417="","",IFERROR(INDEX(الزبائن!$AZ$6:$AZ$505,MATCH(B417,الزبائن!$A$6:$A$505,0)),"source key not found"))</f>
        <v/>
      </c>
      <c r="AA417" s="25" t="str">
        <f>IF(B417="","",IFERROR(INDEX(الزبائن!$BA$6:$BA$505,MATCH(B417,الزبائن!$A$6:$A$505,0)),"source key not found"))</f>
        <v/>
      </c>
      <c r="AB417" s="25" t="str">
        <f>IF(AND(A417="",C417="",D417="",H417="",K417="",L417=""),"",IF(C417="skip","SKIP",IF(OR(A417="",C417="",D417="",H417="",K417="",L417="",S417="",COUNTIF($A$6:$A$505,A417)&gt;1,AND(B417&lt;&gt;"",COUNTIF(الزبائن!$A$6:$A$505,B417)=0),(COUNTIFS('أرقام التواصل'!$A$6:$A$505,"proposed_name",'أرقام التواصل'!$B$6:$B$505,A417,'أرقام التواصل'!$I$6:$I$505,"TRUE")+COUNTIFS('أرقام التواصل'!$A$6:$A$505,"proposed_name",'أرقام التواصل'!$B$6:$B$505,A417,'أرقام التواصل'!$C$6:$C$505,1))=0,AND(U417="TRUE",V417="")),"REVIEW","READY")))</f>
        <v/>
      </c>
      <c r="AC417" s="27" t="str">
        <f>IF(AB417="","",IF(AB417="READY","",IF(AB417="SKIP","Skipped by candidate_import_action",TRIM(IF(A417="","missing proposed_name_key; ","")&amp;IF(AND(A417&lt;&gt;"",COUNTIF($A$6:$A$505,A417)&gt;1),"duplicate proposed_name_key; ","")&amp;IF(C417="","missing candidate_import_action; ","")&amp;IF(D417="","missing move_reason; ","")&amp;IF(H417="","missing branch_id; ","")&amp;IF(K417="","missing first_name; ","")&amp;IF(L417="","missing last_name; ","")&amp;IF(S417="","missing status; ","")&amp;IF(AND(B417&lt;&gt;"",COUNTIF(الزبائن!$A$6:$A$505,B417)=0),"source key not found; ","")&amp;IF((COUNTIFS('أرقام التواصل'!$A$6:$A$505,"proposed_name",'أرقام التواصل'!$B$6:$B$505,A417,'أرقام التواصل'!$I$6:$I$505,"TRUE")+COUNTIFS('أرقام التواصل'!$A$6:$A$505,"proposed_name",'أرقام التواصل'!$B$6:$B$505,A417,'أرقام التواصل'!$C$6:$C$505,1))=0,"missing primary contact in أرقام التواصل; ","")&amp;IF(AND(U417="TRUE",V417=""),"duplicate_type required when duplicate_flag TRUE; ","")))))</f>
        <v/>
      </c>
    </row>
    <row r="418" spans="1:29">
      <c r="A418" s="36"/>
      <c r="B418" s="24"/>
      <c r="C418" s="25"/>
      <c r="D418" s="25"/>
      <c r="E418" s="25"/>
      <c r="F418" s="24"/>
      <c r="G418" s="25"/>
      <c r="H418" s="25"/>
      <c r="I418" s="25"/>
      <c r="J418" s="25"/>
      <c r="K418" s="25"/>
      <c r="L418" s="25"/>
      <c r="M418" s="25"/>
      <c r="N418" s="25" t="str">
        <f t="shared" si="6"/>
        <v/>
      </c>
      <c r="O418" s="25"/>
      <c r="P418" s="25"/>
      <c r="Q418" s="25"/>
      <c r="R418" s="25"/>
      <c r="S418" s="25"/>
      <c r="T418" s="25"/>
      <c r="U418" s="25"/>
      <c r="V418" s="25"/>
      <c r="W418" s="24"/>
      <c r="X418" s="24"/>
      <c r="Y418" s="25"/>
      <c r="Z418" s="25" t="str">
        <f>IF(B418="","",IFERROR(INDEX(الزبائن!$AZ$6:$AZ$505,MATCH(B418,الزبائن!$A$6:$A$505,0)),"source key not found"))</f>
        <v/>
      </c>
      <c r="AA418" s="25" t="str">
        <f>IF(B418="","",IFERROR(INDEX(الزبائن!$BA$6:$BA$505,MATCH(B418,الزبائن!$A$6:$A$505,0)),"source key not found"))</f>
        <v/>
      </c>
      <c r="AB418" s="25" t="str">
        <f>IF(AND(A418="",C418="",D418="",H418="",K418="",L418=""),"",IF(C418="skip","SKIP",IF(OR(A418="",C418="",D418="",H418="",K418="",L418="",S418="",COUNTIF($A$6:$A$505,A418)&gt;1,AND(B418&lt;&gt;"",COUNTIF(الزبائن!$A$6:$A$505,B418)=0),(COUNTIFS('أرقام التواصل'!$A$6:$A$505,"proposed_name",'أرقام التواصل'!$B$6:$B$505,A418,'أرقام التواصل'!$I$6:$I$505,"TRUE")+COUNTIFS('أرقام التواصل'!$A$6:$A$505,"proposed_name",'أرقام التواصل'!$B$6:$B$505,A418,'أرقام التواصل'!$C$6:$C$505,1))=0,AND(U418="TRUE",V418="")),"REVIEW","READY")))</f>
        <v/>
      </c>
      <c r="AC418" s="27" t="str">
        <f>IF(AB418="","",IF(AB418="READY","",IF(AB418="SKIP","Skipped by candidate_import_action",TRIM(IF(A418="","missing proposed_name_key; ","")&amp;IF(AND(A418&lt;&gt;"",COUNTIF($A$6:$A$505,A418)&gt;1),"duplicate proposed_name_key; ","")&amp;IF(C418="","missing candidate_import_action; ","")&amp;IF(D418="","missing move_reason; ","")&amp;IF(H418="","missing branch_id; ","")&amp;IF(K418="","missing first_name; ","")&amp;IF(L418="","missing last_name; ","")&amp;IF(S418="","missing status; ","")&amp;IF(AND(B418&lt;&gt;"",COUNTIF(الزبائن!$A$6:$A$505,B418)=0),"source key not found; ","")&amp;IF((COUNTIFS('أرقام التواصل'!$A$6:$A$505,"proposed_name",'أرقام التواصل'!$B$6:$B$505,A418,'أرقام التواصل'!$I$6:$I$505,"TRUE")+COUNTIFS('أرقام التواصل'!$A$6:$A$505,"proposed_name",'أرقام التواصل'!$B$6:$B$505,A418,'أرقام التواصل'!$C$6:$C$505,1))=0,"missing primary contact in أرقام التواصل; ","")&amp;IF(AND(U418="TRUE",V418=""),"duplicate_type required when duplicate_flag TRUE; ","")))))</f>
        <v/>
      </c>
    </row>
    <row r="419" spans="1:29">
      <c r="A419" s="36"/>
      <c r="B419" s="24"/>
      <c r="C419" s="25"/>
      <c r="D419" s="25"/>
      <c r="E419" s="25"/>
      <c r="F419" s="24"/>
      <c r="G419" s="25"/>
      <c r="H419" s="25"/>
      <c r="I419" s="25"/>
      <c r="J419" s="25"/>
      <c r="K419" s="25"/>
      <c r="L419" s="25"/>
      <c r="M419" s="25"/>
      <c r="N419" s="25" t="str">
        <f t="shared" si="6"/>
        <v/>
      </c>
      <c r="O419" s="25"/>
      <c r="P419" s="25"/>
      <c r="Q419" s="25"/>
      <c r="R419" s="25"/>
      <c r="S419" s="25"/>
      <c r="T419" s="25"/>
      <c r="U419" s="25"/>
      <c r="V419" s="25"/>
      <c r="W419" s="24"/>
      <c r="X419" s="24"/>
      <c r="Y419" s="25"/>
      <c r="Z419" s="25" t="str">
        <f>IF(B419="","",IFERROR(INDEX(الزبائن!$AZ$6:$AZ$505,MATCH(B419,الزبائن!$A$6:$A$505,0)),"source key not found"))</f>
        <v/>
      </c>
      <c r="AA419" s="25" t="str">
        <f>IF(B419="","",IFERROR(INDEX(الزبائن!$BA$6:$BA$505,MATCH(B419,الزبائن!$A$6:$A$505,0)),"source key not found"))</f>
        <v/>
      </c>
      <c r="AB419" s="25" t="str">
        <f>IF(AND(A419="",C419="",D419="",H419="",K419="",L419=""),"",IF(C419="skip","SKIP",IF(OR(A419="",C419="",D419="",H419="",K419="",L419="",S419="",COUNTIF($A$6:$A$505,A419)&gt;1,AND(B419&lt;&gt;"",COUNTIF(الزبائن!$A$6:$A$505,B419)=0),(COUNTIFS('أرقام التواصل'!$A$6:$A$505,"proposed_name",'أرقام التواصل'!$B$6:$B$505,A419,'أرقام التواصل'!$I$6:$I$505,"TRUE")+COUNTIFS('أرقام التواصل'!$A$6:$A$505,"proposed_name",'أرقام التواصل'!$B$6:$B$505,A419,'أرقام التواصل'!$C$6:$C$505,1))=0,AND(U419="TRUE",V419="")),"REVIEW","READY")))</f>
        <v/>
      </c>
      <c r="AC419" s="27" t="str">
        <f>IF(AB419="","",IF(AB419="READY","",IF(AB419="SKIP","Skipped by candidate_import_action",TRIM(IF(A419="","missing proposed_name_key; ","")&amp;IF(AND(A419&lt;&gt;"",COUNTIF($A$6:$A$505,A419)&gt;1),"duplicate proposed_name_key; ","")&amp;IF(C419="","missing candidate_import_action; ","")&amp;IF(D419="","missing move_reason; ","")&amp;IF(H419="","missing branch_id; ","")&amp;IF(K419="","missing first_name; ","")&amp;IF(L419="","missing last_name; ","")&amp;IF(S419="","missing status; ","")&amp;IF(AND(B419&lt;&gt;"",COUNTIF(الزبائن!$A$6:$A$505,B419)=0),"source key not found; ","")&amp;IF((COUNTIFS('أرقام التواصل'!$A$6:$A$505,"proposed_name",'أرقام التواصل'!$B$6:$B$505,A419,'أرقام التواصل'!$I$6:$I$505,"TRUE")+COUNTIFS('أرقام التواصل'!$A$6:$A$505,"proposed_name",'أرقام التواصل'!$B$6:$B$505,A419,'أرقام التواصل'!$C$6:$C$505,1))=0,"missing primary contact in أرقام التواصل; ","")&amp;IF(AND(U419="TRUE",V419=""),"duplicate_type required when duplicate_flag TRUE; ","")))))</f>
        <v/>
      </c>
    </row>
    <row r="420" spans="1:29">
      <c r="A420" s="36"/>
      <c r="B420" s="24"/>
      <c r="C420" s="25"/>
      <c r="D420" s="25"/>
      <c r="E420" s="25"/>
      <c r="F420" s="24"/>
      <c r="G420" s="25"/>
      <c r="H420" s="25"/>
      <c r="I420" s="25"/>
      <c r="J420" s="25"/>
      <c r="K420" s="25"/>
      <c r="L420" s="25"/>
      <c r="M420" s="25"/>
      <c r="N420" s="25" t="str">
        <f t="shared" si="6"/>
        <v/>
      </c>
      <c r="O420" s="25"/>
      <c r="P420" s="25"/>
      <c r="Q420" s="25"/>
      <c r="R420" s="25"/>
      <c r="S420" s="25"/>
      <c r="T420" s="25"/>
      <c r="U420" s="25"/>
      <c r="V420" s="25"/>
      <c r="W420" s="24"/>
      <c r="X420" s="24"/>
      <c r="Y420" s="25"/>
      <c r="Z420" s="25" t="str">
        <f>IF(B420="","",IFERROR(INDEX(الزبائن!$AZ$6:$AZ$505,MATCH(B420,الزبائن!$A$6:$A$505,0)),"source key not found"))</f>
        <v/>
      </c>
      <c r="AA420" s="25" t="str">
        <f>IF(B420="","",IFERROR(INDEX(الزبائن!$BA$6:$BA$505,MATCH(B420,الزبائن!$A$6:$A$505,0)),"source key not found"))</f>
        <v/>
      </c>
      <c r="AB420" s="25" t="str">
        <f>IF(AND(A420="",C420="",D420="",H420="",K420="",L420=""),"",IF(C420="skip","SKIP",IF(OR(A420="",C420="",D420="",H420="",K420="",L420="",S420="",COUNTIF($A$6:$A$505,A420)&gt;1,AND(B420&lt;&gt;"",COUNTIF(الزبائن!$A$6:$A$505,B420)=0),(COUNTIFS('أرقام التواصل'!$A$6:$A$505,"proposed_name",'أرقام التواصل'!$B$6:$B$505,A420,'أرقام التواصل'!$I$6:$I$505,"TRUE")+COUNTIFS('أرقام التواصل'!$A$6:$A$505,"proposed_name",'أرقام التواصل'!$B$6:$B$505,A420,'أرقام التواصل'!$C$6:$C$505,1))=0,AND(U420="TRUE",V420="")),"REVIEW","READY")))</f>
        <v/>
      </c>
      <c r="AC420" s="27" t="str">
        <f>IF(AB420="","",IF(AB420="READY","",IF(AB420="SKIP","Skipped by candidate_import_action",TRIM(IF(A420="","missing proposed_name_key; ","")&amp;IF(AND(A420&lt;&gt;"",COUNTIF($A$6:$A$505,A420)&gt;1),"duplicate proposed_name_key; ","")&amp;IF(C420="","missing candidate_import_action; ","")&amp;IF(D420="","missing move_reason; ","")&amp;IF(H420="","missing branch_id; ","")&amp;IF(K420="","missing first_name; ","")&amp;IF(L420="","missing last_name; ","")&amp;IF(S420="","missing status; ","")&amp;IF(AND(B420&lt;&gt;"",COUNTIF(الزبائن!$A$6:$A$505,B420)=0),"source key not found; ","")&amp;IF((COUNTIFS('أرقام التواصل'!$A$6:$A$505,"proposed_name",'أرقام التواصل'!$B$6:$B$505,A420,'أرقام التواصل'!$I$6:$I$505,"TRUE")+COUNTIFS('أرقام التواصل'!$A$6:$A$505,"proposed_name",'أرقام التواصل'!$B$6:$B$505,A420,'أرقام التواصل'!$C$6:$C$505,1))=0,"missing primary contact in أرقام التواصل; ","")&amp;IF(AND(U420="TRUE",V420=""),"duplicate_type required when duplicate_flag TRUE; ","")))))</f>
        <v/>
      </c>
    </row>
    <row r="421" spans="1:29">
      <c r="A421" s="36"/>
      <c r="B421" s="24"/>
      <c r="C421" s="25"/>
      <c r="D421" s="25"/>
      <c r="E421" s="25"/>
      <c r="F421" s="24"/>
      <c r="G421" s="25"/>
      <c r="H421" s="25"/>
      <c r="I421" s="25"/>
      <c r="J421" s="25"/>
      <c r="K421" s="25"/>
      <c r="L421" s="25"/>
      <c r="M421" s="25"/>
      <c r="N421" s="25" t="str">
        <f t="shared" si="6"/>
        <v/>
      </c>
      <c r="O421" s="25"/>
      <c r="P421" s="25"/>
      <c r="Q421" s="25"/>
      <c r="R421" s="25"/>
      <c r="S421" s="25"/>
      <c r="T421" s="25"/>
      <c r="U421" s="25"/>
      <c r="V421" s="25"/>
      <c r="W421" s="24"/>
      <c r="X421" s="24"/>
      <c r="Y421" s="25"/>
      <c r="Z421" s="25" t="str">
        <f>IF(B421="","",IFERROR(INDEX(الزبائن!$AZ$6:$AZ$505,MATCH(B421,الزبائن!$A$6:$A$505,0)),"source key not found"))</f>
        <v/>
      </c>
      <c r="AA421" s="25" t="str">
        <f>IF(B421="","",IFERROR(INDEX(الزبائن!$BA$6:$BA$505,MATCH(B421,الزبائن!$A$6:$A$505,0)),"source key not found"))</f>
        <v/>
      </c>
      <c r="AB421" s="25" t="str">
        <f>IF(AND(A421="",C421="",D421="",H421="",K421="",L421=""),"",IF(C421="skip","SKIP",IF(OR(A421="",C421="",D421="",H421="",K421="",L421="",S421="",COUNTIF($A$6:$A$505,A421)&gt;1,AND(B421&lt;&gt;"",COUNTIF(الزبائن!$A$6:$A$505,B421)=0),(COUNTIFS('أرقام التواصل'!$A$6:$A$505,"proposed_name",'أرقام التواصل'!$B$6:$B$505,A421,'أرقام التواصل'!$I$6:$I$505,"TRUE")+COUNTIFS('أرقام التواصل'!$A$6:$A$505,"proposed_name",'أرقام التواصل'!$B$6:$B$505,A421,'أرقام التواصل'!$C$6:$C$505,1))=0,AND(U421="TRUE",V421="")),"REVIEW","READY")))</f>
        <v/>
      </c>
      <c r="AC421" s="27" t="str">
        <f>IF(AB421="","",IF(AB421="READY","",IF(AB421="SKIP","Skipped by candidate_import_action",TRIM(IF(A421="","missing proposed_name_key; ","")&amp;IF(AND(A421&lt;&gt;"",COUNTIF($A$6:$A$505,A421)&gt;1),"duplicate proposed_name_key; ","")&amp;IF(C421="","missing candidate_import_action; ","")&amp;IF(D421="","missing move_reason; ","")&amp;IF(H421="","missing branch_id; ","")&amp;IF(K421="","missing first_name; ","")&amp;IF(L421="","missing last_name; ","")&amp;IF(S421="","missing status; ","")&amp;IF(AND(B421&lt;&gt;"",COUNTIF(الزبائن!$A$6:$A$505,B421)=0),"source key not found; ","")&amp;IF((COUNTIFS('أرقام التواصل'!$A$6:$A$505,"proposed_name",'أرقام التواصل'!$B$6:$B$505,A421,'أرقام التواصل'!$I$6:$I$505,"TRUE")+COUNTIFS('أرقام التواصل'!$A$6:$A$505,"proposed_name",'أرقام التواصل'!$B$6:$B$505,A421,'أرقام التواصل'!$C$6:$C$505,1))=0,"missing primary contact in أرقام التواصل; ","")&amp;IF(AND(U421="TRUE",V421=""),"duplicate_type required when duplicate_flag TRUE; ","")))))</f>
        <v/>
      </c>
    </row>
    <row r="422" spans="1:29">
      <c r="A422" s="36"/>
      <c r="B422" s="24"/>
      <c r="C422" s="25"/>
      <c r="D422" s="25"/>
      <c r="E422" s="25"/>
      <c r="F422" s="24"/>
      <c r="G422" s="25"/>
      <c r="H422" s="25"/>
      <c r="I422" s="25"/>
      <c r="J422" s="25"/>
      <c r="K422" s="25"/>
      <c r="L422" s="25"/>
      <c r="M422" s="25"/>
      <c r="N422" s="25" t="str">
        <f t="shared" si="6"/>
        <v/>
      </c>
      <c r="O422" s="25"/>
      <c r="P422" s="25"/>
      <c r="Q422" s="25"/>
      <c r="R422" s="25"/>
      <c r="S422" s="25"/>
      <c r="T422" s="25"/>
      <c r="U422" s="25"/>
      <c r="V422" s="25"/>
      <c r="W422" s="24"/>
      <c r="X422" s="24"/>
      <c r="Y422" s="25"/>
      <c r="Z422" s="25" t="str">
        <f>IF(B422="","",IFERROR(INDEX(الزبائن!$AZ$6:$AZ$505,MATCH(B422,الزبائن!$A$6:$A$505,0)),"source key not found"))</f>
        <v/>
      </c>
      <c r="AA422" s="25" t="str">
        <f>IF(B422="","",IFERROR(INDEX(الزبائن!$BA$6:$BA$505,MATCH(B422,الزبائن!$A$6:$A$505,0)),"source key not found"))</f>
        <v/>
      </c>
      <c r="AB422" s="25" t="str">
        <f>IF(AND(A422="",C422="",D422="",H422="",K422="",L422=""),"",IF(C422="skip","SKIP",IF(OR(A422="",C422="",D422="",H422="",K422="",L422="",S422="",COUNTIF($A$6:$A$505,A422)&gt;1,AND(B422&lt;&gt;"",COUNTIF(الزبائن!$A$6:$A$505,B422)=0),(COUNTIFS('أرقام التواصل'!$A$6:$A$505,"proposed_name",'أرقام التواصل'!$B$6:$B$505,A422,'أرقام التواصل'!$I$6:$I$505,"TRUE")+COUNTIFS('أرقام التواصل'!$A$6:$A$505,"proposed_name",'أرقام التواصل'!$B$6:$B$505,A422,'أرقام التواصل'!$C$6:$C$505,1))=0,AND(U422="TRUE",V422="")),"REVIEW","READY")))</f>
        <v/>
      </c>
      <c r="AC422" s="27" t="str">
        <f>IF(AB422="","",IF(AB422="READY","",IF(AB422="SKIP","Skipped by candidate_import_action",TRIM(IF(A422="","missing proposed_name_key; ","")&amp;IF(AND(A422&lt;&gt;"",COUNTIF($A$6:$A$505,A422)&gt;1),"duplicate proposed_name_key; ","")&amp;IF(C422="","missing candidate_import_action; ","")&amp;IF(D422="","missing move_reason; ","")&amp;IF(H422="","missing branch_id; ","")&amp;IF(K422="","missing first_name; ","")&amp;IF(L422="","missing last_name; ","")&amp;IF(S422="","missing status; ","")&amp;IF(AND(B422&lt;&gt;"",COUNTIF(الزبائن!$A$6:$A$505,B422)=0),"source key not found; ","")&amp;IF((COUNTIFS('أرقام التواصل'!$A$6:$A$505,"proposed_name",'أرقام التواصل'!$B$6:$B$505,A422,'أرقام التواصل'!$I$6:$I$505,"TRUE")+COUNTIFS('أرقام التواصل'!$A$6:$A$505,"proposed_name",'أرقام التواصل'!$B$6:$B$505,A422,'أرقام التواصل'!$C$6:$C$505,1))=0,"missing primary contact in أرقام التواصل; ","")&amp;IF(AND(U422="TRUE",V422=""),"duplicate_type required when duplicate_flag TRUE; ","")))))</f>
        <v/>
      </c>
    </row>
    <row r="423" spans="1:29">
      <c r="A423" s="36"/>
      <c r="B423" s="24"/>
      <c r="C423" s="25"/>
      <c r="D423" s="25"/>
      <c r="E423" s="25"/>
      <c r="F423" s="24"/>
      <c r="G423" s="25"/>
      <c r="H423" s="25"/>
      <c r="I423" s="25"/>
      <c r="J423" s="25"/>
      <c r="K423" s="25"/>
      <c r="L423" s="25"/>
      <c r="M423" s="25"/>
      <c r="N423" s="25" t="str">
        <f t="shared" si="6"/>
        <v/>
      </c>
      <c r="O423" s="25"/>
      <c r="P423" s="25"/>
      <c r="Q423" s="25"/>
      <c r="R423" s="25"/>
      <c r="S423" s="25"/>
      <c r="T423" s="25"/>
      <c r="U423" s="25"/>
      <c r="V423" s="25"/>
      <c r="W423" s="24"/>
      <c r="X423" s="24"/>
      <c r="Y423" s="25"/>
      <c r="Z423" s="25" t="str">
        <f>IF(B423="","",IFERROR(INDEX(الزبائن!$AZ$6:$AZ$505,MATCH(B423,الزبائن!$A$6:$A$505,0)),"source key not found"))</f>
        <v/>
      </c>
      <c r="AA423" s="25" t="str">
        <f>IF(B423="","",IFERROR(INDEX(الزبائن!$BA$6:$BA$505,MATCH(B423,الزبائن!$A$6:$A$505,0)),"source key not found"))</f>
        <v/>
      </c>
      <c r="AB423" s="25" t="str">
        <f>IF(AND(A423="",C423="",D423="",H423="",K423="",L423=""),"",IF(C423="skip","SKIP",IF(OR(A423="",C423="",D423="",H423="",K423="",L423="",S423="",COUNTIF($A$6:$A$505,A423)&gt;1,AND(B423&lt;&gt;"",COUNTIF(الزبائن!$A$6:$A$505,B423)=0),(COUNTIFS('أرقام التواصل'!$A$6:$A$505,"proposed_name",'أرقام التواصل'!$B$6:$B$505,A423,'أرقام التواصل'!$I$6:$I$505,"TRUE")+COUNTIFS('أرقام التواصل'!$A$6:$A$505,"proposed_name",'أرقام التواصل'!$B$6:$B$505,A423,'أرقام التواصل'!$C$6:$C$505,1))=0,AND(U423="TRUE",V423="")),"REVIEW","READY")))</f>
        <v/>
      </c>
      <c r="AC423" s="27" t="str">
        <f>IF(AB423="","",IF(AB423="READY","",IF(AB423="SKIP","Skipped by candidate_import_action",TRIM(IF(A423="","missing proposed_name_key; ","")&amp;IF(AND(A423&lt;&gt;"",COUNTIF($A$6:$A$505,A423)&gt;1),"duplicate proposed_name_key; ","")&amp;IF(C423="","missing candidate_import_action; ","")&amp;IF(D423="","missing move_reason; ","")&amp;IF(H423="","missing branch_id; ","")&amp;IF(K423="","missing first_name; ","")&amp;IF(L423="","missing last_name; ","")&amp;IF(S423="","missing status; ","")&amp;IF(AND(B423&lt;&gt;"",COUNTIF(الزبائن!$A$6:$A$505,B423)=0),"source key not found; ","")&amp;IF((COUNTIFS('أرقام التواصل'!$A$6:$A$505,"proposed_name",'أرقام التواصل'!$B$6:$B$505,A423,'أرقام التواصل'!$I$6:$I$505,"TRUE")+COUNTIFS('أرقام التواصل'!$A$6:$A$505,"proposed_name",'أرقام التواصل'!$B$6:$B$505,A423,'أرقام التواصل'!$C$6:$C$505,1))=0,"missing primary contact in أرقام التواصل; ","")&amp;IF(AND(U423="TRUE",V423=""),"duplicate_type required when duplicate_flag TRUE; ","")))))</f>
        <v/>
      </c>
    </row>
    <row r="424" spans="1:29">
      <c r="A424" s="36"/>
      <c r="B424" s="24"/>
      <c r="C424" s="25"/>
      <c r="D424" s="25"/>
      <c r="E424" s="25"/>
      <c r="F424" s="24"/>
      <c r="G424" s="25"/>
      <c r="H424" s="25"/>
      <c r="I424" s="25"/>
      <c r="J424" s="25"/>
      <c r="K424" s="25"/>
      <c r="L424" s="25"/>
      <c r="M424" s="25"/>
      <c r="N424" s="25" t="str">
        <f t="shared" si="6"/>
        <v/>
      </c>
      <c r="O424" s="25"/>
      <c r="P424" s="25"/>
      <c r="Q424" s="25"/>
      <c r="R424" s="25"/>
      <c r="S424" s="25"/>
      <c r="T424" s="25"/>
      <c r="U424" s="25"/>
      <c r="V424" s="25"/>
      <c r="W424" s="24"/>
      <c r="X424" s="24"/>
      <c r="Y424" s="25"/>
      <c r="Z424" s="25" t="str">
        <f>IF(B424="","",IFERROR(INDEX(الزبائن!$AZ$6:$AZ$505,MATCH(B424,الزبائن!$A$6:$A$505,0)),"source key not found"))</f>
        <v/>
      </c>
      <c r="AA424" s="25" t="str">
        <f>IF(B424="","",IFERROR(INDEX(الزبائن!$BA$6:$BA$505,MATCH(B424,الزبائن!$A$6:$A$505,0)),"source key not found"))</f>
        <v/>
      </c>
      <c r="AB424" s="25" t="str">
        <f>IF(AND(A424="",C424="",D424="",H424="",K424="",L424=""),"",IF(C424="skip","SKIP",IF(OR(A424="",C424="",D424="",H424="",K424="",L424="",S424="",COUNTIF($A$6:$A$505,A424)&gt;1,AND(B424&lt;&gt;"",COUNTIF(الزبائن!$A$6:$A$505,B424)=0),(COUNTIFS('أرقام التواصل'!$A$6:$A$505,"proposed_name",'أرقام التواصل'!$B$6:$B$505,A424,'أرقام التواصل'!$I$6:$I$505,"TRUE")+COUNTIFS('أرقام التواصل'!$A$6:$A$505,"proposed_name",'أرقام التواصل'!$B$6:$B$505,A424,'أرقام التواصل'!$C$6:$C$505,1))=0,AND(U424="TRUE",V424="")),"REVIEW","READY")))</f>
        <v/>
      </c>
      <c r="AC424" s="27" t="str">
        <f>IF(AB424="","",IF(AB424="READY","",IF(AB424="SKIP","Skipped by candidate_import_action",TRIM(IF(A424="","missing proposed_name_key; ","")&amp;IF(AND(A424&lt;&gt;"",COUNTIF($A$6:$A$505,A424)&gt;1),"duplicate proposed_name_key; ","")&amp;IF(C424="","missing candidate_import_action; ","")&amp;IF(D424="","missing move_reason; ","")&amp;IF(H424="","missing branch_id; ","")&amp;IF(K424="","missing first_name; ","")&amp;IF(L424="","missing last_name; ","")&amp;IF(S424="","missing status; ","")&amp;IF(AND(B424&lt;&gt;"",COUNTIF(الزبائن!$A$6:$A$505,B424)=0),"source key not found; ","")&amp;IF((COUNTIFS('أرقام التواصل'!$A$6:$A$505,"proposed_name",'أرقام التواصل'!$B$6:$B$505,A424,'أرقام التواصل'!$I$6:$I$505,"TRUE")+COUNTIFS('أرقام التواصل'!$A$6:$A$505,"proposed_name",'أرقام التواصل'!$B$6:$B$505,A424,'أرقام التواصل'!$C$6:$C$505,1))=0,"missing primary contact in أرقام التواصل; ","")&amp;IF(AND(U424="TRUE",V424=""),"duplicate_type required when duplicate_flag TRUE; ","")))))</f>
        <v/>
      </c>
    </row>
    <row r="425" spans="1:29">
      <c r="A425" s="36"/>
      <c r="B425" s="24"/>
      <c r="C425" s="25"/>
      <c r="D425" s="25"/>
      <c r="E425" s="25"/>
      <c r="F425" s="24"/>
      <c r="G425" s="25"/>
      <c r="H425" s="25"/>
      <c r="I425" s="25"/>
      <c r="J425" s="25"/>
      <c r="K425" s="25"/>
      <c r="L425" s="25"/>
      <c r="M425" s="25"/>
      <c r="N425" s="25" t="str">
        <f t="shared" si="6"/>
        <v/>
      </c>
      <c r="O425" s="25"/>
      <c r="P425" s="25"/>
      <c r="Q425" s="25"/>
      <c r="R425" s="25"/>
      <c r="S425" s="25"/>
      <c r="T425" s="25"/>
      <c r="U425" s="25"/>
      <c r="V425" s="25"/>
      <c r="W425" s="24"/>
      <c r="X425" s="24"/>
      <c r="Y425" s="25"/>
      <c r="Z425" s="25" t="str">
        <f>IF(B425="","",IFERROR(INDEX(الزبائن!$AZ$6:$AZ$505,MATCH(B425,الزبائن!$A$6:$A$505,0)),"source key not found"))</f>
        <v/>
      </c>
      <c r="AA425" s="25" t="str">
        <f>IF(B425="","",IFERROR(INDEX(الزبائن!$BA$6:$BA$505,MATCH(B425,الزبائن!$A$6:$A$505,0)),"source key not found"))</f>
        <v/>
      </c>
      <c r="AB425" s="25" t="str">
        <f>IF(AND(A425="",C425="",D425="",H425="",K425="",L425=""),"",IF(C425="skip","SKIP",IF(OR(A425="",C425="",D425="",H425="",K425="",L425="",S425="",COUNTIF($A$6:$A$505,A425)&gt;1,AND(B425&lt;&gt;"",COUNTIF(الزبائن!$A$6:$A$505,B425)=0),(COUNTIFS('أرقام التواصل'!$A$6:$A$505,"proposed_name",'أرقام التواصل'!$B$6:$B$505,A425,'أرقام التواصل'!$I$6:$I$505,"TRUE")+COUNTIFS('أرقام التواصل'!$A$6:$A$505,"proposed_name",'أرقام التواصل'!$B$6:$B$505,A425,'أرقام التواصل'!$C$6:$C$505,1))=0,AND(U425="TRUE",V425="")),"REVIEW","READY")))</f>
        <v/>
      </c>
      <c r="AC425" s="27" t="str">
        <f>IF(AB425="","",IF(AB425="READY","",IF(AB425="SKIP","Skipped by candidate_import_action",TRIM(IF(A425="","missing proposed_name_key; ","")&amp;IF(AND(A425&lt;&gt;"",COUNTIF($A$6:$A$505,A425)&gt;1),"duplicate proposed_name_key; ","")&amp;IF(C425="","missing candidate_import_action; ","")&amp;IF(D425="","missing move_reason; ","")&amp;IF(H425="","missing branch_id; ","")&amp;IF(K425="","missing first_name; ","")&amp;IF(L425="","missing last_name; ","")&amp;IF(S425="","missing status; ","")&amp;IF(AND(B425&lt;&gt;"",COUNTIF(الزبائن!$A$6:$A$505,B425)=0),"source key not found; ","")&amp;IF((COUNTIFS('أرقام التواصل'!$A$6:$A$505,"proposed_name",'أرقام التواصل'!$B$6:$B$505,A425,'أرقام التواصل'!$I$6:$I$505,"TRUE")+COUNTIFS('أرقام التواصل'!$A$6:$A$505,"proposed_name",'أرقام التواصل'!$B$6:$B$505,A425,'أرقام التواصل'!$C$6:$C$505,1))=0,"missing primary contact in أرقام التواصل; ","")&amp;IF(AND(U425="TRUE",V425=""),"duplicate_type required when duplicate_flag TRUE; ","")))))</f>
        <v/>
      </c>
    </row>
    <row r="426" spans="1:29">
      <c r="A426" s="36"/>
      <c r="B426" s="24"/>
      <c r="C426" s="25"/>
      <c r="D426" s="25"/>
      <c r="E426" s="25"/>
      <c r="F426" s="24"/>
      <c r="G426" s="25"/>
      <c r="H426" s="25"/>
      <c r="I426" s="25"/>
      <c r="J426" s="25"/>
      <c r="K426" s="25"/>
      <c r="L426" s="25"/>
      <c r="M426" s="25"/>
      <c r="N426" s="25" t="str">
        <f t="shared" si="6"/>
        <v/>
      </c>
      <c r="O426" s="25"/>
      <c r="P426" s="25"/>
      <c r="Q426" s="25"/>
      <c r="R426" s="25"/>
      <c r="S426" s="25"/>
      <c r="T426" s="25"/>
      <c r="U426" s="25"/>
      <c r="V426" s="25"/>
      <c r="W426" s="24"/>
      <c r="X426" s="24"/>
      <c r="Y426" s="25"/>
      <c r="Z426" s="25" t="str">
        <f>IF(B426="","",IFERROR(INDEX(الزبائن!$AZ$6:$AZ$505,MATCH(B426,الزبائن!$A$6:$A$505,0)),"source key not found"))</f>
        <v/>
      </c>
      <c r="AA426" s="25" t="str">
        <f>IF(B426="","",IFERROR(INDEX(الزبائن!$BA$6:$BA$505,MATCH(B426,الزبائن!$A$6:$A$505,0)),"source key not found"))</f>
        <v/>
      </c>
      <c r="AB426" s="25" t="str">
        <f>IF(AND(A426="",C426="",D426="",H426="",K426="",L426=""),"",IF(C426="skip","SKIP",IF(OR(A426="",C426="",D426="",H426="",K426="",L426="",S426="",COUNTIF($A$6:$A$505,A426)&gt;1,AND(B426&lt;&gt;"",COUNTIF(الزبائن!$A$6:$A$505,B426)=0),(COUNTIFS('أرقام التواصل'!$A$6:$A$505,"proposed_name",'أرقام التواصل'!$B$6:$B$505,A426,'أرقام التواصل'!$I$6:$I$505,"TRUE")+COUNTIFS('أرقام التواصل'!$A$6:$A$505,"proposed_name",'أرقام التواصل'!$B$6:$B$505,A426,'أرقام التواصل'!$C$6:$C$505,1))=0,AND(U426="TRUE",V426="")),"REVIEW","READY")))</f>
        <v/>
      </c>
      <c r="AC426" s="27" t="str">
        <f>IF(AB426="","",IF(AB426="READY","",IF(AB426="SKIP","Skipped by candidate_import_action",TRIM(IF(A426="","missing proposed_name_key; ","")&amp;IF(AND(A426&lt;&gt;"",COUNTIF($A$6:$A$505,A426)&gt;1),"duplicate proposed_name_key; ","")&amp;IF(C426="","missing candidate_import_action; ","")&amp;IF(D426="","missing move_reason; ","")&amp;IF(H426="","missing branch_id; ","")&amp;IF(K426="","missing first_name; ","")&amp;IF(L426="","missing last_name; ","")&amp;IF(S426="","missing status; ","")&amp;IF(AND(B426&lt;&gt;"",COUNTIF(الزبائن!$A$6:$A$505,B426)=0),"source key not found; ","")&amp;IF((COUNTIFS('أرقام التواصل'!$A$6:$A$505,"proposed_name",'أرقام التواصل'!$B$6:$B$505,A426,'أرقام التواصل'!$I$6:$I$505,"TRUE")+COUNTIFS('أرقام التواصل'!$A$6:$A$505,"proposed_name",'أرقام التواصل'!$B$6:$B$505,A426,'أرقام التواصل'!$C$6:$C$505,1))=0,"missing primary contact in أرقام التواصل; ","")&amp;IF(AND(U426="TRUE",V426=""),"duplicate_type required when duplicate_flag TRUE; ","")))))</f>
        <v/>
      </c>
    </row>
    <row r="427" spans="1:29">
      <c r="A427" s="36"/>
      <c r="B427" s="24"/>
      <c r="C427" s="25"/>
      <c r="D427" s="25"/>
      <c r="E427" s="25"/>
      <c r="F427" s="24"/>
      <c r="G427" s="25"/>
      <c r="H427" s="25"/>
      <c r="I427" s="25"/>
      <c r="J427" s="25"/>
      <c r="K427" s="25"/>
      <c r="L427" s="25"/>
      <c r="M427" s="25"/>
      <c r="N427" s="25" t="str">
        <f t="shared" si="6"/>
        <v/>
      </c>
      <c r="O427" s="25"/>
      <c r="P427" s="25"/>
      <c r="Q427" s="25"/>
      <c r="R427" s="25"/>
      <c r="S427" s="25"/>
      <c r="T427" s="25"/>
      <c r="U427" s="25"/>
      <c r="V427" s="25"/>
      <c r="W427" s="24"/>
      <c r="X427" s="24"/>
      <c r="Y427" s="25"/>
      <c r="Z427" s="25" t="str">
        <f>IF(B427="","",IFERROR(INDEX(الزبائن!$AZ$6:$AZ$505,MATCH(B427,الزبائن!$A$6:$A$505,0)),"source key not found"))</f>
        <v/>
      </c>
      <c r="AA427" s="25" t="str">
        <f>IF(B427="","",IFERROR(INDEX(الزبائن!$BA$6:$BA$505,MATCH(B427,الزبائن!$A$6:$A$505,0)),"source key not found"))</f>
        <v/>
      </c>
      <c r="AB427" s="25" t="str">
        <f>IF(AND(A427="",C427="",D427="",H427="",K427="",L427=""),"",IF(C427="skip","SKIP",IF(OR(A427="",C427="",D427="",H427="",K427="",L427="",S427="",COUNTIF($A$6:$A$505,A427)&gt;1,AND(B427&lt;&gt;"",COUNTIF(الزبائن!$A$6:$A$505,B427)=0),(COUNTIFS('أرقام التواصل'!$A$6:$A$505,"proposed_name",'أرقام التواصل'!$B$6:$B$505,A427,'أرقام التواصل'!$I$6:$I$505,"TRUE")+COUNTIFS('أرقام التواصل'!$A$6:$A$505,"proposed_name",'أرقام التواصل'!$B$6:$B$505,A427,'أرقام التواصل'!$C$6:$C$505,1))=0,AND(U427="TRUE",V427="")),"REVIEW","READY")))</f>
        <v/>
      </c>
      <c r="AC427" s="27" t="str">
        <f>IF(AB427="","",IF(AB427="READY","",IF(AB427="SKIP","Skipped by candidate_import_action",TRIM(IF(A427="","missing proposed_name_key; ","")&amp;IF(AND(A427&lt;&gt;"",COUNTIF($A$6:$A$505,A427)&gt;1),"duplicate proposed_name_key; ","")&amp;IF(C427="","missing candidate_import_action; ","")&amp;IF(D427="","missing move_reason; ","")&amp;IF(H427="","missing branch_id; ","")&amp;IF(K427="","missing first_name; ","")&amp;IF(L427="","missing last_name; ","")&amp;IF(S427="","missing status; ","")&amp;IF(AND(B427&lt;&gt;"",COUNTIF(الزبائن!$A$6:$A$505,B427)=0),"source key not found; ","")&amp;IF((COUNTIFS('أرقام التواصل'!$A$6:$A$505,"proposed_name",'أرقام التواصل'!$B$6:$B$505,A427,'أرقام التواصل'!$I$6:$I$505,"TRUE")+COUNTIFS('أرقام التواصل'!$A$6:$A$505,"proposed_name",'أرقام التواصل'!$B$6:$B$505,A427,'أرقام التواصل'!$C$6:$C$505,1))=0,"missing primary contact in أرقام التواصل; ","")&amp;IF(AND(U427="TRUE",V427=""),"duplicate_type required when duplicate_flag TRUE; ","")))))</f>
        <v/>
      </c>
    </row>
    <row r="428" spans="1:29">
      <c r="A428" s="36"/>
      <c r="B428" s="24"/>
      <c r="C428" s="25"/>
      <c r="D428" s="25"/>
      <c r="E428" s="25"/>
      <c r="F428" s="24"/>
      <c r="G428" s="25"/>
      <c r="H428" s="25"/>
      <c r="I428" s="25"/>
      <c r="J428" s="25"/>
      <c r="K428" s="25"/>
      <c r="L428" s="25"/>
      <c r="M428" s="25"/>
      <c r="N428" s="25" t="str">
        <f t="shared" si="6"/>
        <v/>
      </c>
      <c r="O428" s="25"/>
      <c r="P428" s="25"/>
      <c r="Q428" s="25"/>
      <c r="R428" s="25"/>
      <c r="S428" s="25"/>
      <c r="T428" s="25"/>
      <c r="U428" s="25"/>
      <c r="V428" s="25"/>
      <c r="W428" s="24"/>
      <c r="X428" s="24"/>
      <c r="Y428" s="25"/>
      <c r="Z428" s="25" t="str">
        <f>IF(B428="","",IFERROR(INDEX(الزبائن!$AZ$6:$AZ$505,MATCH(B428,الزبائن!$A$6:$A$505,0)),"source key not found"))</f>
        <v/>
      </c>
      <c r="AA428" s="25" t="str">
        <f>IF(B428="","",IFERROR(INDEX(الزبائن!$BA$6:$BA$505,MATCH(B428,الزبائن!$A$6:$A$505,0)),"source key not found"))</f>
        <v/>
      </c>
      <c r="AB428" s="25" t="str">
        <f>IF(AND(A428="",C428="",D428="",H428="",K428="",L428=""),"",IF(C428="skip","SKIP",IF(OR(A428="",C428="",D428="",H428="",K428="",L428="",S428="",COUNTIF($A$6:$A$505,A428)&gt;1,AND(B428&lt;&gt;"",COUNTIF(الزبائن!$A$6:$A$505,B428)=0),(COUNTIFS('أرقام التواصل'!$A$6:$A$505,"proposed_name",'أرقام التواصل'!$B$6:$B$505,A428,'أرقام التواصل'!$I$6:$I$505,"TRUE")+COUNTIFS('أرقام التواصل'!$A$6:$A$505,"proposed_name",'أرقام التواصل'!$B$6:$B$505,A428,'أرقام التواصل'!$C$6:$C$505,1))=0,AND(U428="TRUE",V428="")),"REVIEW","READY")))</f>
        <v/>
      </c>
      <c r="AC428" s="27" t="str">
        <f>IF(AB428="","",IF(AB428="READY","",IF(AB428="SKIP","Skipped by candidate_import_action",TRIM(IF(A428="","missing proposed_name_key; ","")&amp;IF(AND(A428&lt;&gt;"",COUNTIF($A$6:$A$505,A428)&gt;1),"duplicate proposed_name_key; ","")&amp;IF(C428="","missing candidate_import_action; ","")&amp;IF(D428="","missing move_reason; ","")&amp;IF(H428="","missing branch_id; ","")&amp;IF(K428="","missing first_name; ","")&amp;IF(L428="","missing last_name; ","")&amp;IF(S428="","missing status; ","")&amp;IF(AND(B428&lt;&gt;"",COUNTIF(الزبائن!$A$6:$A$505,B428)=0),"source key not found; ","")&amp;IF((COUNTIFS('أرقام التواصل'!$A$6:$A$505,"proposed_name",'أرقام التواصل'!$B$6:$B$505,A428,'أرقام التواصل'!$I$6:$I$505,"TRUE")+COUNTIFS('أرقام التواصل'!$A$6:$A$505,"proposed_name",'أرقام التواصل'!$B$6:$B$505,A428,'أرقام التواصل'!$C$6:$C$505,1))=0,"missing primary contact in أرقام التواصل; ","")&amp;IF(AND(U428="TRUE",V428=""),"duplicate_type required when duplicate_flag TRUE; ","")))))</f>
        <v/>
      </c>
    </row>
    <row r="429" spans="1:29">
      <c r="A429" s="36"/>
      <c r="B429" s="24"/>
      <c r="C429" s="25"/>
      <c r="D429" s="25"/>
      <c r="E429" s="25"/>
      <c r="F429" s="24"/>
      <c r="G429" s="25"/>
      <c r="H429" s="25"/>
      <c r="I429" s="25"/>
      <c r="J429" s="25"/>
      <c r="K429" s="25"/>
      <c r="L429" s="25"/>
      <c r="M429" s="25"/>
      <c r="N429" s="25" t="str">
        <f t="shared" si="6"/>
        <v/>
      </c>
      <c r="O429" s="25"/>
      <c r="P429" s="25"/>
      <c r="Q429" s="25"/>
      <c r="R429" s="25"/>
      <c r="S429" s="25"/>
      <c r="T429" s="25"/>
      <c r="U429" s="25"/>
      <c r="V429" s="25"/>
      <c r="W429" s="24"/>
      <c r="X429" s="24"/>
      <c r="Y429" s="25"/>
      <c r="Z429" s="25" t="str">
        <f>IF(B429="","",IFERROR(INDEX(الزبائن!$AZ$6:$AZ$505,MATCH(B429,الزبائن!$A$6:$A$505,0)),"source key not found"))</f>
        <v/>
      </c>
      <c r="AA429" s="25" t="str">
        <f>IF(B429="","",IFERROR(INDEX(الزبائن!$BA$6:$BA$505,MATCH(B429,الزبائن!$A$6:$A$505,0)),"source key not found"))</f>
        <v/>
      </c>
      <c r="AB429" s="25" t="str">
        <f>IF(AND(A429="",C429="",D429="",H429="",K429="",L429=""),"",IF(C429="skip","SKIP",IF(OR(A429="",C429="",D429="",H429="",K429="",L429="",S429="",COUNTIF($A$6:$A$505,A429)&gt;1,AND(B429&lt;&gt;"",COUNTIF(الزبائن!$A$6:$A$505,B429)=0),(COUNTIFS('أرقام التواصل'!$A$6:$A$505,"proposed_name",'أرقام التواصل'!$B$6:$B$505,A429,'أرقام التواصل'!$I$6:$I$505,"TRUE")+COUNTIFS('أرقام التواصل'!$A$6:$A$505,"proposed_name",'أرقام التواصل'!$B$6:$B$505,A429,'أرقام التواصل'!$C$6:$C$505,1))=0,AND(U429="TRUE",V429="")),"REVIEW","READY")))</f>
        <v/>
      </c>
      <c r="AC429" s="27" t="str">
        <f>IF(AB429="","",IF(AB429="READY","",IF(AB429="SKIP","Skipped by candidate_import_action",TRIM(IF(A429="","missing proposed_name_key; ","")&amp;IF(AND(A429&lt;&gt;"",COUNTIF($A$6:$A$505,A429)&gt;1),"duplicate proposed_name_key; ","")&amp;IF(C429="","missing candidate_import_action; ","")&amp;IF(D429="","missing move_reason; ","")&amp;IF(H429="","missing branch_id; ","")&amp;IF(K429="","missing first_name; ","")&amp;IF(L429="","missing last_name; ","")&amp;IF(S429="","missing status; ","")&amp;IF(AND(B429&lt;&gt;"",COUNTIF(الزبائن!$A$6:$A$505,B429)=0),"source key not found; ","")&amp;IF((COUNTIFS('أرقام التواصل'!$A$6:$A$505,"proposed_name",'أرقام التواصل'!$B$6:$B$505,A429,'أرقام التواصل'!$I$6:$I$505,"TRUE")+COUNTIFS('أرقام التواصل'!$A$6:$A$505,"proposed_name",'أرقام التواصل'!$B$6:$B$505,A429,'أرقام التواصل'!$C$6:$C$505,1))=0,"missing primary contact in أرقام التواصل; ","")&amp;IF(AND(U429="TRUE",V429=""),"duplicate_type required when duplicate_flag TRUE; ","")))))</f>
        <v/>
      </c>
    </row>
    <row r="430" spans="1:29">
      <c r="A430" s="36"/>
      <c r="B430" s="24"/>
      <c r="C430" s="25"/>
      <c r="D430" s="25"/>
      <c r="E430" s="25"/>
      <c r="F430" s="24"/>
      <c r="G430" s="25"/>
      <c r="H430" s="25"/>
      <c r="I430" s="25"/>
      <c r="J430" s="25"/>
      <c r="K430" s="25"/>
      <c r="L430" s="25"/>
      <c r="M430" s="25"/>
      <c r="N430" s="25" t="str">
        <f t="shared" si="6"/>
        <v/>
      </c>
      <c r="O430" s="25"/>
      <c r="P430" s="25"/>
      <c r="Q430" s="25"/>
      <c r="R430" s="25"/>
      <c r="S430" s="25"/>
      <c r="T430" s="25"/>
      <c r="U430" s="25"/>
      <c r="V430" s="25"/>
      <c r="W430" s="24"/>
      <c r="X430" s="24"/>
      <c r="Y430" s="25"/>
      <c r="Z430" s="25" t="str">
        <f>IF(B430="","",IFERROR(INDEX(الزبائن!$AZ$6:$AZ$505,MATCH(B430,الزبائن!$A$6:$A$505,0)),"source key not found"))</f>
        <v/>
      </c>
      <c r="AA430" s="25" t="str">
        <f>IF(B430="","",IFERROR(INDEX(الزبائن!$BA$6:$BA$505,MATCH(B430,الزبائن!$A$6:$A$505,0)),"source key not found"))</f>
        <v/>
      </c>
      <c r="AB430" s="25" t="str">
        <f>IF(AND(A430="",C430="",D430="",H430="",K430="",L430=""),"",IF(C430="skip","SKIP",IF(OR(A430="",C430="",D430="",H430="",K430="",L430="",S430="",COUNTIF($A$6:$A$505,A430)&gt;1,AND(B430&lt;&gt;"",COUNTIF(الزبائن!$A$6:$A$505,B430)=0),(COUNTIFS('أرقام التواصل'!$A$6:$A$505,"proposed_name",'أرقام التواصل'!$B$6:$B$505,A430,'أرقام التواصل'!$I$6:$I$505,"TRUE")+COUNTIFS('أرقام التواصل'!$A$6:$A$505,"proposed_name",'أرقام التواصل'!$B$6:$B$505,A430,'أرقام التواصل'!$C$6:$C$505,1))=0,AND(U430="TRUE",V430="")),"REVIEW","READY")))</f>
        <v/>
      </c>
      <c r="AC430" s="27" t="str">
        <f>IF(AB430="","",IF(AB430="READY","",IF(AB430="SKIP","Skipped by candidate_import_action",TRIM(IF(A430="","missing proposed_name_key; ","")&amp;IF(AND(A430&lt;&gt;"",COUNTIF($A$6:$A$505,A430)&gt;1),"duplicate proposed_name_key; ","")&amp;IF(C430="","missing candidate_import_action; ","")&amp;IF(D430="","missing move_reason; ","")&amp;IF(H430="","missing branch_id; ","")&amp;IF(K430="","missing first_name; ","")&amp;IF(L430="","missing last_name; ","")&amp;IF(S430="","missing status; ","")&amp;IF(AND(B430&lt;&gt;"",COUNTIF(الزبائن!$A$6:$A$505,B430)=0),"source key not found; ","")&amp;IF((COUNTIFS('أرقام التواصل'!$A$6:$A$505,"proposed_name",'أرقام التواصل'!$B$6:$B$505,A430,'أرقام التواصل'!$I$6:$I$505,"TRUE")+COUNTIFS('أرقام التواصل'!$A$6:$A$505,"proposed_name",'أرقام التواصل'!$B$6:$B$505,A430,'أرقام التواصل'!$C$6:$C$505,1))=0,"missing primary contact in أرقام التواصل; ","")&amp;IF(AND(U430="TRUE",V430=""),"duplicate_type required when duplicate_flag TRUE; ","")))))</f>
        <v/>
      </c>
    </row>
    <row r="431" spans="1:29">
      <c r="A431" s="36"/>
      <c r="B431" s="24"/>
      <c r="C431" s="25"/>
      <c r="D431" s="25"/>
      <c r="E431" s="25"/>
      <c r="F431" s="24"/>
      <c r="G431" s="25"/>
      <c r="H431" s="25"/>
      <c r="I431" s="25"/>
      <c r="J431" s="25"/>
      <c r="K431" s="25"/>
      <c r="L431" s="25"/>
      <c r="M431" s="25"/>
      <c r="N431" s="25" t="str">
        <f t="shared" si="6"/>
        <v/>
      </c>
      <c r="O431" s="25"/>
      <c r="P431" s="25"/>
      <c r="Q431" s="25"/>
      <c r="R431" s="25"/>
      <c r="S431" s="25"/>
      <c r="T431" s="25"/>
      <c r="U431" s="25"/>
      <c r="V431" s="25"/>
      <c r="W431" s="24"/>
      <c r="X431" s="24"/>
      <c r="Y431" s="25"/>
      <c r="Z431" s="25" t="str">
        <f>IF(B431="","",IFERROR(INDEX(الزبائن!$AZ$6:$AZ$505,MATCH(B431,الزبائن!$A$6:$A$505,0)),"source key not found"))</f>
        <v/>
      </c>
      <c r="AA431" s="25" t="str">
        <f>IF(B431="","",IFERROR(INDEX(الزبائن!$BA$6:$BA$505,MATCH(B431,الزبائن!$A$6:$A$505,0)),"source key not found"))</f>
        <v/>
      </c>
      <c r="AB431" s="25" t="str">
        <f>IF(AND(A431="",C431="",D431="",H431="",K431="",L431=""),"",IF(C431="skip","SKIP",IF(OR(A431="",C431="",D431="",H431="",K431="",L431="",S431="",COUNTIF($A$6:$A$505,A431)&gt;1,AND(B431&lt;&gt;"",COUNTIF(الزبائن!$A$6:$A$505,B431)=0),(COUNTIFS('أرقام التواصل'!$A$6:$A$505,"proposed_name",'أرقام التواصل'!$B$6:$B$505,A431,'أرقام التواصل'!$I$6:$I$505,"TRUE")+COUNTIFS('أرقام التواصل'!$A$6:$A$505,"proposed_name",'أرقام التواصل'!$B$6:$B$505,A431,'أرقام التواصل'!$C$6:$C$505,1))=0,AND(U431="TRUE",V431="")),"REVIEW","READY")))</f>
        <v/>
      </c>
      <c r="AC431" s="27" t="str">
        <f>IF(AB431="","",IF(AB431="READY","",IF(AB431="SKIP","Skipped by candidate_import_action",TRIM(IF(A431="","missing proposed_name_key; ","")&amp;IF(AND(A431&lt;&gt;"",COUNTIF($A$6:$A$505,A431)&gt;1),"duplicate proposed_name_key; ","")&amp;IF(C431="","missing candidate_import_action; ","")&amp;IF(D431="","missing move_reason; ","")&amp;IF(H431="","missing branch_id; ","")&amp;IF(K431="","missing first_name; ","")&amp;IF(L431="","missing last_name; ","")&amp;IF(S431="","missing status; ","")&amp;IF(AND(B431&lt;&gt;"",COUNTIF(الزبائن!$A$6:$A$505,B431)=0),"source key not found; ","")&amp;IF((COUNTIFS('أرقام التواصل'!$A$6:$A$505,"proposed_name",'أرقام التواصل'!$B$6:$B$505,A431,'أرقام التواصل'!$I$6:$I$505,"TRUE")+COUNTIFS('أرقام التواصل'!$A$6:$A$505,"proposed_name",'أرقام التواصل'!$B$6:$B$505,A431,'أرقام التواصل'!$C$6:$C$505,1))=0,"missing primary contact in أرقام التواصل; ","")&amp;IF(AND(U431="TRUE",V431=""),"duplicate_type required when duplicate_flag TRUE; ","")))))</f>
        <v/>
      </c>
    </row>
    <row r="432" spans="1:29">
      <c r="A432" s="36"/>
      <c r="B432" s="24"/>
      <c r="C432" s="25"/>
      <c r="D432" s="25"/>
      <c r="E432" s="25"/>
      <c r="F432" s="24"/>
      <c r="G432" s="25"/>
      <c r="H432" s="25"/>
      <c r="I432" s="25"/>
      <c r="J432" s="25"/>
      <c r="K432" s="25"/>
      <c r="L432" s="25"/>
      <c r="M432" s="25"/>
      <c r="N432" s="25" t="str">
        <f t="shared" si="6"/>
        <v/>
      </c>
      <c r="O432" s="25"/>
      <c r="P432" s="25"/>
      <c r="Q432" s="25"/>
      <c r="R432" s="25"/>
      <c r="S432" s="25"/>
      <c r="T432" s="25"/>
      <c r="U432" s="25"/>
      <c r="V432" s="25"/>
      <c r="W432" s="24"/>
      <c r="X432" s="24"/>
      <c r="Y432" s="25"/>
      <c r="Z432" s="25" t="str">
        <f>IF(B432="","",IFERROR(INDEX(الزبائن!$AZ$6:$AZ$505,MATCH(B432,الزبائن!$A$6:$A$505,0)),"source key not found"))</f>
        <v/>
      </c>
      <c r="AA432" s="25" t="str">
        <f>IF(B432="","",IFERROR(INDEX(الزبائن!$BA$6:$BA$505,MATCH(B432,الزبائن!$A$6:$A$505,0)),"source key not found"))</f>
        <v/>
      </c>
      <c r="AB432" s="25" t="str">
        <f>IF(AND(A432="",C432="",D432="",H432="",K432="",L432=""),"",IF(C432="skip","SKIP",IF(OR(A432="",C432="",D432="",H432="",K432="",L432="",S432="",COUNTIF($A$6:$A$505,A432)&gt;1,AND(B432&lt;&gt;"",COUNTIF(الزبائن!$A$6:$A$505,B432)=0),(COUNTIFS('أرقام التواصل'!$A$6:$A$505,"proposed_name",'أرقام التواصل'!$B$6:$B$505,A432,'أرقام التواصل'!$I$6:$I$505,"TRUE")+COUNTIFS('أرقام التواصل'!$A$6:$A$505,"proposed_name",'أرقام التواصل'!$B$6:$B$505,A432,'أرقام التواصل'!$C$6:$C$505,1))=0,AND(U432="TRUE",V432="")),"REVIEW","READY")))</f>
        <v/>
      </c>
      <c r="AC432" s="27" t="str">
        <f>IF(AB432="","",IF(AB432="READY","",IF(AB432="SKIP","Skipped by candidate_import_action",TRIM(IF(A432="","missing proposed_name_key; ","")&amp;IF(AND(A432&lt;&gt;"",COUNTIF($A$6:$A$505,A432)&gt;1),"duplicate proposed_name_key; ","")&amp;IF(C432="","missing candidate_import_action; ","")&amp;IF(D432="","missing move_reason; ","")&amp;IF(H432="","missing branch_id; ","")&amp;IF(K432="","missing first_name; ","")&amp;IF(L432="","missing last_name; ","")&amp;IF(S432="","missing status; ","")&amp;IF(AND(B432&lt;&gt;"",COUNTIF(الزبائن!$A$6:$A$505,B432)=0),"source key not found; ","")&amp;IF((COUNTIFS('أرقام التواصل'!$A$6:$A$505,"proposed_name",'أرقام التواصل'!$B$6:$B$505,A432,'أرقام التواصل'!$I$6:$I$505,"TRUE")+COUNTIFS('أرقام التواصل'!$A$6:$A$505,"proposed_name",'أرقام التواصل'!$B$6:$B$505,A432,'أرقام التواصل'!$C$6:$C$505,1))=0,"missing primary contact in أرقام التواصل; ","")&amp;IF(AND(U432="TRUE",V432=""),"duplicate_type required when duplicate_flag TRUE; ","")))))</f>
        <v/>
      </c>
    </row>
    <row r="433" spans="1:29">
      <c r="A433" s="36"/>
      <c r="B433" s="24"/>
      <c r="C433" s="25"/>
      <c r="D433" s="25"/>
      <c r="E433" s="25"/>
      <c r="F433" s="24"/>
      <c r="G433" s="25"/>
      <c r="H433" s="25"/>
      <c r="I433" s="25"/>
      <c r="J433" s="25"/>
      <c r="K433" s="25"/>
      <c r="L433" s="25"/>
      <c r="M433" s="25"/>
      <c r="N433" s="25" t="str">
        <f t="shared" si="6"/>
        <v/>
      </c>
      <c r="O433" s="25"/>
      <c r="P433" s="25"/>
      <c r="Q433" s="25"/>
      <c r="R433" s="25"/>
      <c r="S433" s="25"/>
      <c r="T433" s="25"/>
      <c r="U433" s="25"/>
      <c r="V433" s="25"/>
      <c r="W433" s="24"/>
      <c r="X433" s="24"/>
      <c r="Y433" s="25"/>
      <c r="Z433" s="25" t="str">
        <f>IF(B433="","",IFERROR(INDEX(الزبائن!$AZ$6:$AZ$505,MATCH(B433,الزبائن!$A$6:$A$505,0)),"source key not found"))</f>
        <v/>
      </c>
      <c r="AA433" s="25" t="str">
        <f>IF(B433="","",IFERROR(INDEX(الزبائن!$BA$6:$BA$505,MATCH(B433,الزبائن!$A$6:$A$505,0)),"source key not found"))</f>
        <v/>
      </c>
      <c r="AB433" s="25" t="str">
        <f>IF(AND(A433="",C433="",D433="",H433="",K433="",L433=""),"",IF(C433="skip","SKIP",IF(OR(A433="",C433="",D433="",H433="",K433="",L433="",S433="",COUNTIF($A$6:$A$505,A433)&gt;1,AND(B433&lt;&gt;"",COUNTIF(الزبائن!$A$6:$A$505,B433)=0),(COUNTIFS('أرقام التواصل'!$A$6:$A$505,"proposed_name",'أرقام التواصل'!$B$6:$B$505,A433,'أرقام التواصل'!$I$6:$I$505,"TRUE")+COUNTIFS('أرقام التواصل'!$A$6:$A$505,"proposed_name",'أرقام التواصل'!$B$6:$B$505,A433,'أرقام التواصل'!$C$6:$C$505,1))=0,AND(U433="TRUE",V433="")),"REVIEW","READY")))</f>
        <v/>
      </c>
      <c r="AC433" s="27" t="str">
        <f>IF(AB433="","",IF(AB433="READY","",IF(AB433="SKIP","Skipped by candidate_import_action",TRIM(IF(A433="","missing proposed_name_key; ","")&amp;IF(AND(A433&lt;&gt;"",COUNTIF($A$6:$A$505,A433)&gt;1),"duplicate proposed_name_key; ","")&amp;IF(C433="","missing candidate_import_action; ","")&amp;IF(D433="","missing move_reason; ","")&amp;IF(H433="","missing branch_id; ","")&amp;IF(K433="","missing first_name; ","")&amp;IF(L433="","missing last_name; ","")&amp;IF(S433="","missing status; ","")&amp;IF(AND(B433&lt;&gt;"",COUNTIF(الزبائن!$A$6:$A$505,B433)=0),"source key not found; ","")&amp;IF((COUNTIFS('أرقام التواصل'!$A$6:$A$505,"proposed_name",'أرقام التواصل'!$B$6:$B$505,A433,'أرقام التواصل'!$I$6:$I$505,"TRUE")+COUNTIFS('أرقام التواصل'!$A$6:$A$505,"proposed_name",'أرقام التواصل'!$B$6:$B$505,A433,'أرقام التواصل'!$C$6:$C$505,1))=0,"missing primary contact in أرقام التواصل; ","")&amp;IF(AND(U433="TRUE",V433=""),"duplicate_type required when duplicate_flag TRUE; ","")))))</f>
        <v/>
      </c>
    </row>
    <row r="434" spans="1:29">
      <c r="A434" s="36"/>
      <c r="B434" s="24"/>
      <c r="C434" s="25"/>
      <c r="D434" s="25"/>
      <c r="E434" s="25"/>
      <c r="F434" s="24"/>
      <c r="G434" s="25"/>
      <c r="H434" s="25"/>
      <c r="I434" s="25"/>
      <c r="J434" s="25"/>
      <c r="K434" s="25"/>
      <c r="L434" s="25"/>
      <c r="M434" s="25"/>
      <c r="N434" s="25" t="str">
        <f t="shared" si="6"/>
        <v/>
      </c>
      <c r="O434" s="25"/>
      <c r="P434" s="25"/>
      <c r="Q434" s="25"/>
      <c r="R434" s="25"/>
      <c r="S434" s="25"/>
      <c r="T434" s="25"/>
      <c r="U434" s="25"/>
      <c r="V434" s="25"/>
      <c r="W434" s="24"/>
      <c r="X434" s="24"/>
      <c r="Y434" s="25"/>
      <c r="Z434" s="25" t="str">
        <f>IF(B434="","",IFERROR(INDEX(الزبائن!$AZ$6:$AZ$505,MATCH(B434,الزبائن!$A$6:$A$505,0)),"source key not found"))</f>
        <v/>
      </c>
      <c r="AA434" s="25" t="str">
        <f>IF(B434="","",IFERROR(INDEX(الزبائن!$BA$6:$BA$505,MATCH(B434,الزبائن!$A$6:$A$505,0)),"source key not found"))</f>
        <v/>
      </c>
      <c r="AB434" s="25" t="str">
        <f>IF(AND(A434="",C434="",D434="",H434="",K434="",L434=""),"",IF(C434="skip","SKIP",IF(OR(A434="",C434="",D434="",H434="",K434="",L434="",S434="",COUNTIF($A$6:$A$505,A434)&gt;1,AND(B434&lt;&gt;"",COUNTIF(الزبائن!$A$6:$A$505,B434)=0),(COUNTIFS('أرقام التواصل'!$A$6:$A$505,"proposed_name",'أرقام التواصل'!$B$6:$B$505,A434,'أرقام التواصل'!$I$6:$I$505,"TRUE")+COUNTIFS('أرقام التواصل'!$A$6:$A$505,"proposed_name",'أرقام التواصل'!$B$6:$B$505,A434,'أرقام التواصل'!$C$6:$C$505,1))=0,AND(U434="TRUE",V434="")),"REVIEW","READY")))</f>
        <v/>
      </c>
      <c r="AC434" s="27" t="str">
        <f>IF(AB434="","",IF(AB434="READY","",IF(AB434="SKIP","Skipped by candidate_import_action",TRIM(IF(A434="","missing proposed_name_key; ","")&amp;IF(AND(A434&lt;&gt;"",COUNTIF($A$6:$A$505,A434)&gt;1),"duplicate proposed_name_key; ","")&amp;IF(C434="","missing candidate_import_action; ","")&amp;IF(D434="","missing move_reason; ","")&amp;IF(H434="","missing branch_id; ","")&amp;IF(K434="","missing first_name; ","")&amp;IF(L434="","missing last_name; ","")&amp;IF(S434="","missing status; ","")&amp;IF(AND(B434&lt;&gt;"",COUNTIF(الزبائن!$A$6:$A$505,B434)=0),"source key not found; ","")&amp;IF((COUNTIFS('أرقام التواصل'!$A$6:$A$505,"proposed_name",'أرقام التواصل'!$B$6:$B$505,A434,'أرقام التواصل'!$I$6:$I$505,"TRUE")+COUNTIFS('أرقام التواصل'!$A$6:$A$505,"proposed_name",'أرقام التواصل'!$B$6:$B$505,A434,'أرقام التواصل'!$C$6:$C$505,1))=0,"missing primary contact in أرقام التواصل; ","")&amp;IF(AND(U434="TRUE",V434=""),"duplicate_type required when duplicate_flag TRUE; ","")))))</f>
        <v/>
      </c>
    </row>
    <row r="435" spans="1:29">
      <c r="A435" s="36"/>
      <c r="B435" s="24"/>
      <c r="C435" s="25"/>
      <c r="D435" s="25"/>
      <c r="E435" s="25"/>
      <c r="F435" s="24"/>
      <c r="G435" s="25"/>
      <c r="H435" s="25"/>
      <c r="I435" s="25"/>
      <c r="J435" s="25"/>
      <c r="K435" s="25"/>
      <c r="L435" s="25"/>
      <c r="M435" s="25"/>
      <c r="N435" s="25" t="str">
        <f t="shared" si="6"/>
        <v/>
      </c>
      <c r="O435" s="25"/>
      <c r="P435" s="25"/>
      <c r="Q435" s="25"/>
      <c r="R435" s="25"/>
      <c r="S435" s="25"/>
      <c r="T435" s="25"/>
      <c r="U435" s="25"/>
      <c r="V435" s="25"/>
      <c r="W435" s="24"/>
      <c r="X435" s="24"/>
      <c r="Y435" s="25"/>
      <c r="Z435" s="25" t="str">
        <f>IF(B435="","",IFERROR(INDEX(الزبائن!$AZ$6:$AZ$505,MATCH(B435,الزبائن!$A$6:$A$505,0)),"source key not found"))</f>
        <v/>
      </c>
      <c r="AA435" s="25" t="str">
        <f>IF(B435="","",IFERROR(INDEX(الزبائن!$BA$6:$BA$505,MATCH(B435,الزبائن!$A$6:$A$505,0)),"source key not found"))</f>
        <v/>
      </c>
      <c r="AB435" s="25" t="str">
        <f>IF(AND(A435="",C435="",D435="",H435="",K435="",L435=""),"",IF(C435="skip","SKIP",IF(OR(A435="",C435="",D435="",H435="",K435="",L435="",S435="",COUNTIF($A$6:$A$505,A435)&gt;1,AND(B435&lt;&gt;"",COUNTIF(الزبائن!$A$6:$A$505,B435)=0),(COUNTIFS('أرقام التواصل'!$A$6:$A$505,"proposed_name",'أرقام التواصل'!$B$6:$B$505,A435,'أرقام التواصل'!$I$6:$I$505,"TRUE")+COUNTIFS('أرقام التواصل'!$A$6:$A$505,"proposed_name",'أرقام التواصل'!$B$6:$B$505,A435,'أرقام التواصل'!$C$6:$C$505,1))=0,AND(U435="TRUE",V435="")),"REVIEW","READY")))</f>
        <v/>
      </c>
      <c r="AC435" s="27" t="str">
        <f>IF(AB435="","",IF(AB435="READY","",IF(AB435="SKIP","Skipped by candidate_import_action",TRIM(IF(A435="","missing proposed_name_key; ","")&amp;IF(AND(A435&lt;&gt;"",COUNTIF($A$6:$A$505,A435)&gt;1),"duplicate proposed_name_key; ","")&amp;IF(C435="","missing candidate_import_action; ","")&amp;IF(D435="","missing move_reason; ","")&amp;IF(H435="","missing branch_id; ","")&amp;IF(K435="","missing first_name; ","")&amp;IF(L435="","missing last_name; ","")&amp;IF(S435="","missing status; ","")&amp;IF(AND(B435&lt;&gt;"",COUNTIF(الزبائن!$A$6:$A$505,B435)=0),"source key not found; ","")&amp;IF((COUNTIFS('أرقام التواصل'!$A$6:$A$505,"proposed_name",'أرقام التواصل'!$B$6:$B$505,A435,'أرقام التواصل'!$I$6:$I$505,"TRUE")+COUNTIFS('أرقام التواصل'!$A$6:$A$505,"proposed_name",'أرقام التواصل'!$B$6:$B$505,A435,'أرقام التواصل'!$C$6:$C$505,1))=0,"missing primary contact in أرقام التواصل; ","")&amp;IF(AND(U435="TRUE",V435=""),"duplicate_type required when duplicate_flag TRUE; ","")))))</f>
        <v/>
      </c>
    </row>
    <row r="436" spans="1:29">
      <c r="A436" s="36"/>
      <c r="B436" s="24"/>
      <c r="C436" s="25"/>
      <c r="D436" s="25"/>
      <c r="E436" s="25"/>
      <c r="F436" s="24"/>
      <c r="G436" s="25"/>
      <c r="H436" s="25"/>
      <c r="I436" s="25"/>
      <c r="J436" s="25"/>
      <c r="K436" s="25"/>
      <c r="L436" s="25"/>
      <c r="M436" s="25"/>
      <c r="N436" s="25" t="str">
        <f t="shared" si="6"/>
        <v/>
      </c>
      <c r="O436" s="25"/>
      <c r="P436" s="25"/>
      <c r="Q436" s="25"/>
      <c r="R436" s="25"/>
      <c r="S436" s="25"/>
      <c r="T436" s="25"/>
      <c r="U436" s="25"/>
      <c r="V436" s="25"/>
      <c r="W436" s="24"/>
      <c r="X436" s="24"/>
      <c r="Y436" s="25"/>
      <c r="Z436" s="25" t="str">
        <f>IF(B436="","",IFERROR(INDEX(الزبائن!$AZ$6:$AZ$505,MATCH(B436,الزبائن!$A$6:$A$505,0)),"source key not found"))</f>
        <v/>
      </c>
      <c r="AA436" s="25" t="str">
        <f>IF(B436="","",IFERROR(INDEX(الزبائن!$BA$6:$BA$505,MATCH(B436,الزبائن!$A$6:$A$505,0)),"source key not found"))</f>
        <v/>
      </c>
      <c r="AB436" s="25" t="str">
        <f>IF(AND(A436="",C436="",D436="",H436="",K436="",L436=""),"",IF(C436="skip","SKIP",IF(OR(A436="",C436="",D436="",H436="",K436="",L436="",S436="",COUNTIF($A$6:$A$505,A436)&gt;1,AND(B436&lt;&gt;"",COUNTIF(الزبائن!$A$6:$A$505,B436)=0),(COUNTIFS('أرقام التواصل'!$A$6:$A$505,"proposed_name",'أرقام التواصل'!$B$6:$B$505,A436,'أرقام التواصل'!$I$6:$I$505,"TRUE")+COUNTIFS('أرقام التواصل'!$A$6:$A$505,"proposed_name",'أرقام التواصل'!$B$6:$B$505,A436,'أرقام التواصل'!$C$6:$C$505,1))=0,AND(U436="TRUE",V436="")),"REVIEW","READY")))</f>
        <v/>
      </c>
      <c r="AC436" s="27" t="str">
        <f>IF(AB436="","",IF(AB436="READY","",IF(AB436="SKIP","Skipped by candidate_import_action",TRIM(IF(A436="","missing proposed_name_key; ","")&amp;IF(AND(A436&lt;&gt;"",COUNTIF($A$6:$A$505,A436)&gt;1),"duplicate proposed_name_key; ","")&amp;IF(C436="","missing candidate_import_action; ","")&amp;IF(D436="","missing move_reason; ","")&amp;IF(H436="","missing branch_id; ","")&amp;IF(K436="","missing first_name; ","")&amp;IF(L436="","missing last_name; ","")&amp;IF(S436="","missing status; ","")&amp;IF(AND(B436&lt;&gt;"",COUNTIF(الزبائن!$A$6:$A$505,B436)=0),"source key not found; ","")&amp;IF((COUNTIFS('أرقام التواصل'!$A$6:$A$505,"proposed_name",'أرقام التواصل'!$B$6:$B$505,A436,'أرقام التواصل'!$I$6:$I$505,"TRUE")+COUNTIFS('أرقام التواصل'!$A$6:$A$505,"proposed_name",'أرقام التواصل'!$B$6:$B$505,A436,'أرقام التواصل'!$C$6:$C$505,1))=0,"missing primary contact in أرقام التواصل; ","")&amp;IF(AND(U436="TRUE",V436=""),"duplicate_type required when duplicate_flag TRUE; ","")))))</f>
        <v/>
      </c>
    </row>
    <row r="437" spans="1:29">
      <c r="A437" s="36"/>
      <c r="B437" s="24"/>
      <c r="C437" s="25"/>
      <c r="D437" s="25"/>
      <c r="E437" s="25"/>
      <c r="F437" s="24"/>
      <c r="G437" s="25"/>
      <c r="H437" s="25"/>
      <c r="I437" s="25"/>
      <c r="J437" s="25"/>
      <c r="K437" s="25"/>
      <c r="L437" s="25"/>
      <c r="M437" s="25"/>
      <c r="N437" s="25" t="str">
        <f t="shared" si="6"/>
        <v/>
      </c>
      <c r="O437" s="25"/>
      <c r="P437" s="25"/>
      <c r="Q437" s="25"/>
      <c r="R437" s="25"/>
      <c r="S437" s="25"/>
      <c r="T437" s="25"/>
      <c r="U437" s="25"/>
      <c r="V437" s="25"/>
      <c r="W437" s="24"/>
      <c r="X437" s="24"/>
      <c r="Y437" s="25"/>
      <c r="Z437" s="25" t="str">
        <f>IF(B437="","",IFERROR(INDEX(الزبائن!$AZ$6:$AZ$505,MATCH(B437,الزبائن!$A$6:$A$505,0)),"source key not found"))</f>
        <v/>
      </c>
      <c r="AA437" s="25" t="str">
        <f>IF(B437="","",IFERROR(INDEX(الزبائن!$BA$6:$BA$505,MATCH(B437,الزبائن!$A$6:$A$505,0)),"source key not found"))</f>
        <v/>
      </c>
      <c r="AB437" s="25" t="str">
        <f>IF(AND(A437="",C437="",D437="",H437="",K437="",L437=""),"",IF(C437="skip","SKIP",IF(OR(A437="",C437="",D437="",H437="",K437="",L437="",S437="",COUNTIF($A$6:$A$505,A437)&gt;1,AND(B437&lt;&gt;"",COUNTIF(الزبائن!$A$6:$A$505,B437)=0),(COUNTIFS('أرقام التواصل'!$A$6:$A$505,"proposed_name",'أرقام التواصل'!$B$6:$B$505,A437,'أرقام التواصل'!$I$6:$I$505,"TRUE")+COUNTIFS('أرقام التواصل'!$A$6:$A$505,"proposed_name",'أرقام التواصل'!$B$6:$B$505,A437,'أرقام التواصل'!$C$6:$C$505,1))=0,AND(U437="TRUE",V437="")),"REVIEW","READY")))</f>
        <v/>
      </c>
      <c r="AC437" s="27" t="str">
        <f>IF(AB437="","",IF(AB437="READY","",IF(AB437="SKIP","Skipped by candidate_import_action",TRIM(IF(A437="","missing proposed_name_key; ","")&amp;IF(AND(A437&lt;&gt;"",COUNTIF($A$6:$A$505,A437)&gt;1),"duplicate proposed_name_key; ","")&amp;IF(C437="","missing candidate_import_action; ","")&amp;IF(D437="","missing move_reason; ","")&amp;IF(H437="","missing branch_id; ","")&amp;IF(K437="","missing first_name; ","")&amp;IF(L437="","missing last_name; ","")&amp;IF(S437="","missing status; ","")&amp;IF(AND(B437&lt;&gt;"",COUNTIF(الزبائن!$A$6:$A$505,B437)=0),"source key not found; ","")&amp;IF((COUNTIFS('أرقام التواصل'!$A$6:$A$505,"proposed_name",'أرقام التواصل'!$B$6:$B$505,A437,'أرقام التواصل'!$I$6:$I$505,"TRUE")+COUNTIFS('أرقام التواصل'!$A$6:$A$505,"proposed_name",'أرقام التواصل'!$B$6:$B$505,A437,'أرقام التواصل'!$C$6:$C$505,1))=0,"missing primary contact in أرقام التواصل; ","")&amp;IF(AND(U437="TRUE",V437=""),"duplicate_type required when duplicate_flag TRUE; ","")))))</f>
        <v/>
      </c>
    </row>
    <row r="438" spans="1:29">
      <c r="A438" s="36"/>
      <c r="B438" s="24"/>
      <c r="C438" s="25"/>
      <c r="D438" s="25"/>
      <c r="E438" s="25"/>
      <c r="F438" s="24"/>
      <c r="G438" s="25"/>
      <c r="H438" s="25"/>
      <c r="I438" s="25"/>
      <c r="J438" s="25"/>
      <c r="K438" s="25"/>
      <c r="L438" s="25"/>
      <c r="M438" s="25"/>
      <c r="N438" s="25" t="str">
        <f t="shared" si="6"/>
        <v/>
      </c>
      <c r="O438" s="25"/>
      <c r="P438" s="25"/>
      <c r="Q438" s="25"/>
      <c r="R438" s="25"/>
      <c r="S438" s="25"/>
      <c r="T438" s="25"/>
      <c r="U438" s="25"/>
      <c r="V438" s="25"/>
      <c r="W438" s="24"/>
      <c r="X438" s="24"/>
      <c r="Y438" s="25"/>
      <c r="Z438" s="25" t="str">
        <f>IF(B438="","",IFERROR(INDEX(الزبائن!$AZ$6:$AZ$505,MATCH(B438,الزبائن!$A$6:$A$505,0)),"source key not found"))</f>
        <v/>
      </c>
      <c r="AA438" s="25" t="str">
        <f>IF(B438="","",IFERROR(INDEX(الزبائن!$BA$6:$BA$505,MATCH(B438,الزبائن!$A$6:$A$505,0)),"source key not found"))</f>
        <v/>
      </c>
      <c r="AB438" s="25" t="str">
        <f>IF(AND(A438="",C438="",D438="",H438="",K438="",L438=""),"",IF(C438="skip","SKIP",IF(OR(A438="",C438="",D438="",H438="",K438="",L438="",S438="",COUNTIF($A$6:$A$505,A438)&gt;1,AND(B438&lt;&gt;"",COUNTIF(الزبائن!$A$6:$A$505,B438)=0),(COUNTIFS('أرقام التواصل'!$A$6:$A$505,"proposed_name",'أرقام التواصل'!$B$6:$B$505,A438,'أرقام التواصل'!$I$6:$I$505,"TRUE")+COUNTIFS('أرقام التواصل'!$A$6:$A$505,"proposed_name",'أرقام التواصل'!$B$6:$B$505,A438,'أرقام التواصل'!$C$6:$C$505,1))=0,AND(U438="TRUE",V438="")),"REVIEW","READY")))</f>
        <v/>
      </c>
      <c r="AC438" s="27" t="str">
        <f>IF(AB438="","",IF(AB438="READY","",IF(AB438="SKIP","Skipped by candidate_import_action",TRIM(IF(A438="","missing proposed_name_key; ","")&amp;IF(AND(A438&lt;&gt;"",COUNTIF($A$6:$A$505,A438)&gt;1),"duplicate proposed_name_key; ","")&amp;IF(C438="","missing candidate_import_action; ","")&amp;IF(D438="","missing move_reason; ","")&amp;IF(H438="","missing branch_id; ","")&amp;IF(K438="","missing first_name; ","")&amp;IF(L438="","missing last_name; ","")&amp;IF(S438="","missing status; ","")&amp;IF(AND(B438&lt;&gt;"",COUNTIF(الزبائن!$A$6:$A$505,B438)=0),"source key not found; ","")&amp;IF((COUNTIFS('أرقام التواصل'!$A$6:$A$505,"proposed_name",'أرقام التواصل'!$B$6:$B$505,A438,'أرقام التواصل'!$I$6:$I$505,"TRUE")+COUNTIFS('أرقام التواصل'!$A$6:$A$505,"proposed_name",'أرقام التواصل'!$B$6:$B$505,A438,'أرقام التواصل'!$C$6:$C$505,1))=0,"missing primary contact in أرقام التواصل; ","")&amp;IF(AND(U438="TRUE",V438=""),"duplicate_type required when duplicate_flag TRUE; ","")))))</f>
        <v/>
      </c>
    </row>
    <row r="439" spans="1:29">
      <c r="A439" s="36"/>
      <c r="B439" s="24"/>
      <c r="C439" s="25"/>
      <c r="D439" s="25"/>
      <c r="E439" s="25"/>
      <c r="F439" s="24"/>
      <c r="G439" s="25"/>
      <c r="H439" s="25"/>
      <c r="I439" s="25"/>
      <c r="J439" s="25"/>
      <c r="K439" s="25"/>
      <c r="L439" s="25"/>
      <c r="M439" s="25"/>
      <c r="N439" s="25" t="str">
        <f t="shared" si="6"/>
        <v/>
      </c>
      <c r="O439" s="25"/>
      <c r="P439" s="25"/>
      <c r="Q439" s="25"/>
      <c r="R439" s="25"/>
      <c r="S439" s="25"/>
      <c r="T439" s="25"/>
      <c r="U439" s="25"/>
      <c r="V439" s="25"/>
      <c r="W439" s="24"/>
      <c r="X439" s="24"/>
      <c r="Y439" s="25"/>
      <c r="Z439" s="25" t="str">
        <f>IF(B439="","",IFERROR(INDEX(الزبائن!$AZ$6:$AZ$505,MATCH(B439,الزبائن!$A$6:$A$505,0)),"source key not found"))</f>
        <v/>
      </c>
      <c r="AA439" s="25" t="str">
        <f>IF(B439="","",IFERROR(INDEX(الزبائن!$BA$6:$BA$505,MATCH(B439,الزبائن!$A$6:$A$505,0)),"source key not found"))</f>
        <v/>
      </c>
      <c r="AB439" s="25" t="str">
        <f>IF(AND(A439="",C439="",D439="",H439="",K439="",L439=""),"",IF(C439="skip","SKIP",IF(OR(A439="",C439="",D439="",H439="",K439="",L439="",S439="",COUNTIF($A$6:$A$505,A439)&gt;1,AND(B439&lt;&gt;"",COUNTIF(الزبائن!$A$6:$A$505,B439)=0),(COUNTIFS('أرقام التواصل'!$A$6:$A$505,"proposed_name",'أرقام التواصل'!$B$6:$B$505,A439,'أرقام التواصل'!$I$6:$I$505,"TRUE")+COUNTIFS('أرقام التواصل'!$A$6:$A$505,"proposed_name",'أرقام التواصل'!$B$6:$B$505,A439,'أرقام التواصل'!$C$6:$C$505,1))=0,AND(U439="TRUE",V439="")),"REVIEW","READY")))</f>
        <v/>
      </c>
      <c r="AC439" s="27" t="str">
        <f>IF(AB439="","",IF(AB439="READY","",IF(AB439="SKIP","Skipped by candidate_import_action",TRIM(IF(A439="","missing proposed_name_key; ","")&amp;IF(AND(A439&lt;&gt;"",COUNTIF($A$6:$A$505,A439)&gt;1),"duplicate proposed_name_key; ","")&amp;IF(C439="","missing candidate_import_action; ","")&amp;IF(D439="","missing move_reason; ","")&amp;IF(H439="","missing branch_id; ","")&amp;IF(K439="","missing first_name; ","")&amp;IF(L439="","missing last_name; ","")&amp;IF(S439="","missing status; ","")&amp;IF(AND(B439&lt;&gt;"",COUNTIF(الزبائن!$A$6:$A$505,B439)=0),"source key not found; ","")&amp;IF((COUNTIFS('أرقام التواصل'!$A$6:$A$505,"proposed_name",'أرقام التواصل'!$B$6:$B$505,A439,'أرقام التواصل'!$I$6:$I$505,"TRUE")+COUNTIFS('أرقام التواصل'!$A$6:$A$505,"proposed_name",'أرقام التواصل'!$B$6:$B$505,A439,'أرقام التواصل'!$C$6:$C$505,1))=0,"missing primary contact in أرقام التواصل; ","")&amp;IF(AND(U439="TRUE",V439=""),"duplicate_type required when duplicate_flag TRUE; ","")))))</f>
        <v/>
      </c>
    </row>
    <row r="440" spans="1:29">
      <c r="A440" s="36"/>
      <c r="B440" s="24"/>
      <c r="C440" s="25"/>
      <c r="D440" s="25"/>
      <c r="E440" s="25"/>
      <c r="F440" s="24"/>
      <c r="G440" s="25"/>
      <c r="H440" s="25"/>
      <c r="I440" s="25"/>
      <c r="J440" s="25"/>
      <c r="K440" s="25"/>
      <c r="L440" s="25"/>
      <c r="M440" s="25"/>
      <c r="N440" s="25" t="str">
        <f t="shared" si="6"/>
        <v/>
      </c>
      <c r="O440" s="25"/>
      <c r="P440" s="25"/>
      <c r="Q440" s="25"/>
      <c r="R440" s="25"/>
      <c r="S440" s="25"/>
      <c r="T440" s="25"/>
      <c r="U440" s="25"/>
      <c r="V440" s="25"/>
      <c r="W440" s="24"/>
      <c r="X440" s="24"/>
      <c r="Y440" s="25"/>
      <c r="Z440" s="25" t="str">
        <f>IF(B440="","",IFERROR(INDEX(الزبائن!$AZ$6:$AZ$505,MATCH(B440,الزبائن!$A$6:$A$505,0)),"source key not found"))</f>
        <v/>
      </c>
      <c r="AA440" s="25" t="str">
        <f>IF(B440="","",IFERROR(INDEX(الزبائن!$BA$6:$BA$505,MATCH(B440,الزبائن!$A$6:$A$505,0)),"source key not found"))</f>
        <v/>
      </c>
      <c r="AB440" s="25" t="str">
        <f>IF(AND(A440="",C440="",D440="",H440="",K440="",L440=""),"",IF(C440="skip","SKIP",IF(OR(A440="",C440="",D440="",H440="",K440="",L440="",S440="",COUNTIF($A$6:$A$505,A440)&gt;1,AND(B440&lt;&gt;"",COUNTIF(الزبائن!$A$6:$A$505,B440)=0),(COUNTIFS('أرقام التواصل'!$A$6:$A$505,"proposed_name",'أرقام التواصل'!$B$6:$B$505,A440,'أرقام التواصل'!$I$6:$I$505,"TRUE")+COUNTIFS('أرقام التواصل'!$A$6:$A$505,"proposed_name",'أرقام التواصل'!$B$6:$B$505,A440,'أرقام التواصل'!$C$6:$C$505,1))=0,AND(U440="TRUE",V440="")),"REVIEW","READY")))</f>
        <v/>
      </c>
      <c r="AC440" s="27" t="str">
        <f>IF(AB440="","",IF(AB440="READY","",IF(AB440="SKIP","Skipped by candidate_import_action",TRIM(IF(A440="","missing proposed_name_key; ","")&amp;IF(AND(A440&lt;&gt;"",COUNTIF($A$6:$A$505,A440)&gt;1),"duplicate proposed_name_key; ","")&amp;IF(C440="","missing candidate_import_action; ","")&amp;IF(D440="","missing move_reason; ","")&amp;IF(H440="","missing branch_id; ","")&amp;IF(K440="","missing first_name; ","")&amp;IF(L440="","missing last_name; ","")&amp;IF(S440="","missing status; ","")&amp;IF(AND(B440&lt;&gt;"",COUNTIF(الزبائن!$A$6:$A$505,B440)=0),"source key not found; ","")&amp;IF((COUNTIFS('أرقام التواصل'!$A$6:$A$505,"proposed_name",'أرقام التواصل'!$B$6:$B$505,A440,'أرقام التواصل'!$I$6:$I$505,"TRUE")+COUNTIFS('أرقام التواصل'!$A$6:$A$505,"proposed_name",'أرقام التواصل'!$B$6:$B$505,A440,'أرقام التواصل'!$C$6:$C$505,1))=0,"missing primary contact in أرقام التواصل; ","")&amp;IF(AND(U440="TRUE",V440=""),"duplicate_type required when duplicate_flag TRUE; ","")))))</f>
        <v/>
      </c>
    </row>
    <row r="441" spans="1:29">
      <c r="A441" s="36"/>
      <c r="B441" s="24"/>
      <c r="C441" s="25"/>
      <c r="D441" s="25"/>
      <c r="E441" s="25"/>
      <c r="F441" s="24"/>
      <c r="G441" s="25"/>
      <c r="H441" s="25"/>
      <c r="I441" s="25"/>
      <c r="J441" s="25"/>
      <c r="K441" s="25"/>
      <c r="L441" s="25"/>
      <c r="M441" s="25"/>
      <c r="N441" s="25" t="str">
        <f t="shared" si="6"/>
        <v/>
      </c>
      <c r="O441" s="25"/>
      <c r="P441" s="25"/>
      <c r="Q441" s="25"/>
      <c r="R441" s="25"/>
      <c r="S441" s="25"/>
      <c r="T441" s="25"/>
      <c r="U441" s="25"/>
      <c r="V441" s="25"/>
      <c r="W441" s="24"/>
      <c r="X441" s="24"/>
      <c r="Y441" s="25"/>
      <c r="Z441" s="25" t="str">
        <f>IF(B441="","",IFERROR(INDEX(الزبائن!$AZ$6:$AZ$505,MATCH(B441,الزبائن!$A$6:$A$505,0)),"source key not found"))</f>
        <v/>
      </c>
      <c r="AA441" s="25" t="str">
        <f>IF(B441="","",IFERROR(INDEX(الزبائن!$BA$6:$BA$505,MATCH(B441,الزبائن!$A$6:$A$505,0)),"source key not found"))</f>
        <v/>
      </c>
      <c r="AB441" s="25" t="str">
        <f>IF(AND(A441="",C441="",D441="",H441="",K441="",L441=""),"",IF(C441="skip","SKIP",IF(OR(A441="",C441="",D441="",H441="",K441="",L441="",S441="",COUNTIF($A$6:$A$505,A441)&gt;1,AND(B441&lt;&gt;"",COUNTIF(الزبائن!$A$6:$A$505,B441)=0),(COUNTIFS('أرقام التواصل'!$A$6:$A$505,"proposed_name",'أرقام التواصل'!$B$6:$B$505,A441,'أرقام التواصل'!$I$6:$I$505,"TRUE")+COUNTIFS('أرقام التواصل'!$A$6:$A$505,"proposed_name",'أرقام التواصل'!$B$6:$B$505,A441,'أرقام التواصل'!$C$6:$C$505,1))=0,AND(U441="TRUE",V441="")),"REVIEW","READY")))</f>
        <v/>
      </c>
      <c r="AC441" s="27" t="str">
        <f>IF(AB441="","",IF(AB441="READY","",IF(AB441="SKIP","Skipped by candidate_import_action",TRIM(IF(A441="","missing proposed_name_key; ","")&amp;IF(AND(A441&lt;&gt;"",COUNTIF($A$6:$A$505,A441)&gt;1),"duplicate proposed_name_key; ","")&amp;IF(C441="","missing candidate_import_action; ","")&amp;IF(D441="","missing move_reason; ","")&amp;IF(H441="","missing branch_id; ","")&amp;IF(K441="","missing first_name; ","")&amp;IF(L441="","missing last_name; ","")&amp;IF(S441="","missing status; ","")&amp;IF(AND(B441&lt;&gt;"",COUNTIF(الزبائن!$A$6:$A$505,B441)=0),"source key not found; ","")&amp;IF((COUNTIFS('أرقام التواصل'!$A$6:$A$505,"proposed_name",'أرقام التواصل'!$B$6:$B$505,A441,'أرقام التواصل'!$I$6:$I$505,"TRUE")+COUNTIFS('أرقام التواصل'!$A$6:$A$505,"proposed_name",'أرقام التواصل'!$B$6:$B$505,A441,'أرقام التواصل'!$C$6:$C$505,1))=0,"missing primary contact in أرقام التواصل; ","")&amp;IF(AND(U441="TRUE",V441=""),"duplicate_type required when duplicate_flag TRUE; ","")))))</f>
        <v/>
      </c>
    </row>
    <row r="442" spans="1:29">
      <c r="A442" s="36"/>
      <c r="B442" s="24"/>
      <c r="C442" s="25"/>
      <c r="D442" s="25"/>
      <c r="E442" s="25"/>
      <c r="F442" s="24"/>
      <c r="G442" s="25"/>
      <c r="H442" s="25"/>
      <c r="I442" s="25"/>
      <c r="J442" s="25"/>
      <c r="K442" s="25"/>
      <c r="L442" s="25"/>
      <c r="M442" s="25"/>
      <c r="N442" s="25" t="str">
        <f t="shared" si="6"/>
        <v/>
      </c>
      <c r="O442" s="25"/>
      <c r="P442" s="25"/>
      <c r="Q442" s="25"/>
      <c r="R442" s="25"/>
      <c r="S442" s="25"/>
      <c r="T442" s="25"/>
      <c r="U442" s="25"/>
      <c r="V442" s="25"/>
      <c r="W442" s="24"/>
      <c r="X442" s="24"/>
      <c r="Y442" s="25"/>
      <c r="Z442" s="25" t="str">
        <f>IF(B442="","",IFERROR(INDEX(الزبائن!$AZ$6:$AZ$505,MATCH(B442,الزبائن!$A$6:$A$505,0)),"source key not found"))</f>
        <v/>
      </c>
      <c r="AA442" s="25" t="str">
        <f>IF(B442="","",IFERROR(INDEX(الزبائن!$BA$6:$BA$505,MATCH(B442,الزبائن!$A$6:$A$505,0)),"source key not found"))</f>
        <v/>
      </c>
      <c r="AB442" s="25" t="str">
        <f>IF(AND(A442="",C442="",D442="",H442="",K442="",L442=""),"",IF(C442="skip","SKIP",IF(OR(A442="",C442="",D442="",H442="",K442="",L442="",S442="",COUNTIF($A$6:$A$505,A442)&gt;1,AND(B442&lt;&gt;"",COUNTIF(الزبائن!$A$6:$A$505,B442)=0),(COUNTIFS('أرقام التواصل'!$A$6:$A$505,"proposed_name",'أرقام التواصل'!$B$6:$B$505,A442,'أرقام التواصل'!$I$6:$I$505,"TRUE")+COUNTIFS('أرقام التواصل'!$A$6:$A$505,"proposed_name",'أرقام التواصل'!$B$6:$B$505,A442,'أرقام التواصل'!$C$6:$C$505,1))=0,AND(U442="TRUE",V442="")),"REVIEW","READY")))</f>
        <v/>
      </c>
      <c r="AC442" s="27" t="str">
        <f>IF(AB442="","",IF(AB442="READY","",IF(AB442="SKIP","Skipped by candidate_import_action",TRIM(IF(A442="","missing proposed_name_key; ","")&amp;IF(AND(A442&lt;&gt;"",COUNTIF($A$6:$A$505,A442)&gt;1),"duplicate proposed_name_key; ","")&amp;IF(C442="","missing candidate_import_action; ","")&amp;IF(D442="","missing move_reason; ","")&amp;IF(H442="","missing branch_id; ","")&amp;IF(K442="","missing first_name; ","")&amp;IF(L442="","missing last_name; ","")&amp;IF(S442="","missing status; ","")&amp;IF(AND(B442&lt;&gt;"",COUNTIF(الزبائن!$A$6:$A$505,B442)=0),"source key not found; ","")&amp;IF((COUNTIFS('أرقام التواصل'!$A$6:$A$505,"proposed_name",'أرقام التواصل'!$B$6:$B$505,A442,'أرقام التواصل'!$I$6:$I$505,"TRUE")+COUNTIFS('أرقام التواصل'!$A$6:$A$505,"proposed_name",'أرقام التواصل'!$B$6:$B$505,A442,'أرقام التواصل'!$C$6:$C$505,1))=0,"missing primary contact in أرقام التواصل; ","")&amp;IF(AND(U442="TRUE",V442=""),"duplicate_type required when duplicate_flag TRUE; ","")))))</f>
        <v/>
      </c>
    </row>
    <row r="443" spans="1:29">
      <c r="A443" s="36"/>
      <c r="B443" s="24"/>
      <c r="C443" s="25"/>
      <c r="D443" s="25"/>
      <c r="E443" s="25"/>
      <c r="F443" s="24"/>
      <c r="G443" s="25"/>
      <c r="H443" s="25"/>
      <c r="I443" s="25"/>
      <c r="J443" s="25"/>
      <c r="K443" s="25"/>
      <c r="L443" s="25"/>
      <c r="M443" s="25"/>
      <c r="N443" s="25" t="str">
        <f t="shared" si="6"/>
        <v/>
      </c>
      <c r="O443" s="25"/>
      <c r="P443" s="25"/>
      <c r="Q443" s="25"/>
      <c r="R443" s="25"/>
      <c r="S443" s="25"/>
      <c r="T443" s="25"/>
      <c r="U443" s="25"/>
      <c r="V443" s="25"/>
      <c r="W443" s="24"/>
      <c r="X443" s="24"/>
      <c r="Y443" s="25"/>
      <c r="Z443" s="25" t="str">
        <f>IF(B443="","",IFERROR(INDEX(الزبائن!$AZ$6:$AZ$505,MATCH(B443,الزبائن!$A$6:$A$505,0)),"source key not found"))</f>
        <v/>
      </c>
      <c r="AA443" s="25" t="str">
        <f>IF(B443="","",IFERROR(INDEX(الزبائن!$BA$6:$BA$505,MATCH(B443,الزبائن!$A$6:$A$505,0)),"source key not found"))</f>
        <v/>
      </c>
      <c r="AB443" s="25" t="str">
        <f>IF(AND(A443="",C443="",D443="",H443="",K443="",L443=""),"",IF(C443="skip","SKIP",IF(OR(A443="",C443="",D443="",H443="",K443="",L443="",S443="",COUNTIF($A$6:$A$505,A443)&gt;1,AND(B443&lt;&gt;"",COUNTIF(الزبائن!$A$6:$A$505,B443)=0),(COUNTIFS('أرقام التواصل'!$A$6:$A$505,"proposed_name",'أرقام التواصل'!$B$6:$B$505,A443,'أرقام التواصل'!$I$6:$I$505,"TRUE")+COUNTIFS('أرقام التواصل'!$A$6:$A$505,"proposed_name",'أرقام التواصل'!$B$6:$B$505,A443,'أرقام التواصل'!$C$6:$C$505,1))=0,AND(U443="TRUE",V443="")),"REVIEW","READY")))</f>
        <v/>
      </c>
      <c r="AC443" s="27" t="str">
        <f>IF(AB443="","",IF(AB443="READY","",IF(AB443="SKIP","Skipped by candidate_import_action",TRIM(IF(A443="","missing proposed_name_key; ","")&amp;IF(AND(A443&lt;&gt;"",COUNTIF($A$6:$A$505,A443)&gt;1),"duplicate proposed_name_key; ","")&amp;IF(C443="","missing candidate_import_action; ","")&amp;IF(D443="","missing move_reason; ","")&amp;IF(H443="","missing branch_id; ","")&amp;IF(K443="","missing first_name; ","")&amp;IF(L443="","missing last_name; ","")&amp;IF(S443="","missing status; ","")&amp;IF(AND(B443&lt;&gt;"",COUNTIF(الزبائن!$A$6:$A$505,B443)=0),"source key not found; ","")&amp;IF((COUNTIFS('أرقام التواصل'!$A$6:$A$505,"proposed_name",'أرقام التواصل'!$B$6:$B$505,A443,'أرقام التواصل'!$I$6:$I$505,"TRUE")+COUNTIFS('أرقام التواصل'!$A$6:$A$505,"proposed_name",'أرقام التواصل'!$B$6:$B$505,A443,'أرقام التواصل'!$C$6:$C$505,1))=0,"missing primary contact in أرقام التواصل; ","")&amp;IF(AND(U443="TRUE",V443=""),"duplicate_type required when duplicate_flag TRUE; ","")))))</f>
        <v/>
      </c>
    </row>
    <row r="444" spans="1:29">
      <c r="A444" s="36"/>
      <c r="B444" s="24"/>
      <c r="C444" s="25"/>
      <c r="D444" s="25"/>
      <c r="E444" s="25"/>
      <c r="F444" s="24"/>
      <c r="G444" s="25"/>
      <c r="H444" s="25"/>
      <c r="I444" s="25"/>
      <c r="J444" s="25"/>
      <c r="K444" s="25"/>
      <c r="L444" s="25"/>
      <c r="M444" s="25"/>
      <c r="N444" s="25" t="str">
        <f t="shared" si="6"/>
        <v/>
      </c>
      <c r="O444" s="25"/>
      <c r="P444" s="25"/>
      <c r="Q444" s="25"/>
      <c r="R444" s="25"/>
      <c r="S444" s="25"/>
      <c r="T444" s="25"/>
      <c r="U444" s="25"/>
      <c r="V444" s="25"/>
      <c r="W444" s="24"/>
      <c r="X444" s="24"/>
      <c r="Y444" s="25"/>
      <c r="Z444" s="25" t="str">
        <f>IF(B444="","",IFERROR(INDEX(الزبائن!$AZ$6:$AZ$505,MATCH(B444,الزبائن!$A$6:$A$505,0)),"source key not found"))</f>
        <v/>
      </c>
      <c r="AA444" s="25" t="str">
        <f>IF(B444="","",IFERROR(INDEX(الزبائن!$BA$6:$BA$505,MATCH(B444,الزبائن!$A$6:$A$505,0)),"source key not found"))</f>
        <v/>
      </c>
      <c r="AB444" s="25" t="str">
        <f>IF(AND(A444="",C444="",D444="",H444="",K444="",L444=""),"",IF(C444="skip","SKIP",IF(OR(A444="",C444="",D444="",H444="",K444="",L444="",S444="",COUNTIF($A$6:$A$505,A444)&gt;1,AND(B444&lt;&gt;"",COUNTIF(الزبائن!$A$6:$A$505,B444)=0),(COUNTIFS('أرقام التواصل'!$A$6:$A$505,"proposed_name",'أرقام التواصل'!$B$6:$B$505,A444,'أرقام التواصل'!$I$6:$I$505,"TRUE")+COUNTIFS('أرقام التواصل'!$A$6:$A$505,"proposed_name",'أرقام التواصل'!$B$6:$B$505,A444,'أرقام التواصل'!$C$6:$C$505,1))=0,AND(U444="TRUE",V444="")),"REVIEW","READY")))</f>
        <v/>
      </c>
      <c r="AC444" s="27" t="str">
        <f>IF(AB444="","",IF(AB444="READY","",IF(AB444="SKIP","Skipped by candidate_import_action",TRIM(IF(A444="","missing proposed_name_key; ","")&amp;IF(AND(A444&lt;&gt;"",COUNTIF($A$6:$A$505,A444)&gt;1),"duplicate proposed_name_key; ","")&amp;IF(C444="","missing candidate_import_action; ","")&amp;IF(D444="","missing move_reason; ","")&amp;IF(H444="","missing branch_id; ","")&amp;IF(K444="","missing first_name; ","")&amp;IF(L444="","missing last_name; ","")&amp;IF(S444="","missing status; ","")&amp;IF(AND(B444&lt;&gt;"",COUNTIF(الزبائن!$A$6:$A$505,B444)=0),"source key not found; ","")&amp;IF((COUNTIFS('أرقام التواصل'!$A$6:$A$505,"proposed_name",'أرقام التواصل'!$B$6:$B$505,A444,'أرقام التواصل'!$I$6:$I$505,"TRUE")+COUNTIFS('أرقام التواصل'!$A$6:$A$505,"proposed_name",'أرقام التواصل'!$B$6:$B$505,A444,'أرقام التواصل'!$C$6:$C$505,1))=0,"missing primary contact in أرقام التواصل; ","")&amp;IF(AND(U444="TRUE",V444=""),"duplicate_type required when duplicate_flag TRUE; ","")))))</f>
        <v/>
      </c>
    </row>
    <row r="445" spans="1:29">
      <c r="A445" s="36"/>
      <c r="B445" s="24"/>
      <c r="C445" s="25"/>
      <c r="D445" s="25"/>
      <c r="E445" s="25"/>
      <c r="F445" s="24"/>
      <c r="G445" s="25"/>
      <c r="H445" s="25"/>
      <c r="I445" s="25"/>
      <c r="J445" s="25"/>
      <c r="K445" s="25"/>
      <c r="L445" s="25"/>
      <c r="M445" s="25"/>
      <c r="N445" s="25" t="str">
        <f t="shared" si="6"/>
        <v/>
      </c>
      <c r="O445" s="25"/>
      <c r="P445" s="25"/>
      <c r="Q445" s="25"/>
      <c r="R445" s="25"/>
      <c r="S445" s="25"/>
      <c r="T445" s="25"/>
      <c r="U445" s="25"/>
      <c r="V445" s="25"/>
      <c r="W445" s="24"/>
      <c r="X445" s="24"/>
      <c r="Y445" s="25"/>
      <c r="Z445" s="25" t="str">
        <f>IF(B445="","",IFERROR(INDEX(الزبائن!$AZ$6:$AZ$505,MATCH(B445,الزبائن!$A$6:$A$505,0)),"source key not found"))</f>
        <v/>
      </c>
      <c r="AA445" s="25" t="str">
        <f>IF(B445="","",IFERROR(INDEX(الزبائن!$BA$6:$BA$505,MATCH(B445,الزبائن!$A$6:$A$505,0)),"source key not found"))</f>
        <v/>
      </c>
      <c r="AB445" s="25" t="str">
        <f>IF(AND(A445="",C445="",D445="",H445="",K445="",L445=""),"",IF(C445="skip","SKIP",IF(OR(A445="",C445="",D445="",H445="",K445="",L445="",S445="",COUNTIF($A$6:$A$505,A445)&gt;1,AND(B445&lt;&gt;"",COUNTIF(الزبائن!$A$6:$A$505,B445)=0),(COUNTIFS('أرقام التواصل'!$A$6:$A$505,"proposed_name",'أرقام التواصل'!$B$6:$B$505,A445,'أرقام التواصل'!$I$6:$I$505,"TRUE")+COUNTIFS('أرقام التواصل'!$A$6:$A$505,"proposed_name",'أرقام التواصل'!$B$6:$B$505,A445,'أرقام التواصل'!$C$6:$C$505,1))=0,AND(U445="TRUE",V445="")),"REVIEW","READY")))</f>
        <v/>
      </c>
      <c r="AC445" s="27" t="str">
        <f>IF(AB445="","",IF(AB445="READY","",IF(AB445="SKIP","Skipped by candidate_import_action",TRIM(IF(A445="","missing proposed_name_key; ","")&amp;IF(AND(A445&lt;&gt;"",COUNTIF($A$6:$A$505,A445)&gt;1),"duplicate proposed_name_key; ","")&amp;IF(C445="","missing candidate_import_action; ","")&amp;IF(D445="","missing move_reason; ","")&amp;IF(H445="","missing branch_id; ","")&amp;IF(K445="","missing first_name; ","")&amp;IF(L445="","missing last_name; ","")&amp;IF(S445="","missing status; ","")&amp;IF(AND(B445&lt;&gt;"",COUNTIF(الزبائن!$A$6:$A$505,B445)=0),"source key not found; ","")&amp;IF((COUNTIFS('أرقام التواصل'!$A$6:$A$505,"proposed_name",'أرقام التواصل'!$B$6:$B$505,A445,'أرقام التواصل'!$I$6:$I$505,"TRUE")+COUNTIFS('أرقام التواصل'!$A$6:$A$505,"proposed_name",'أرقام التواصل'!$B$6:$B$505,A445,'أرقام التواصل'!$C$6:$C$505,1))=0,"missing primary contact in أرقام التواصل; ","")&amp;IF(AND(U445="TRUE",V445=""),"duplicate_type required when duplicate_flag TRUE; ","")))))</f>
        <v/>
      </c>
    </row>
    <row r="446" spans="1:29">
      <c r="A446" s="36"/>
      <c r="B446" s="24"/>
      <c r="C446" s="25"/>
      <c r="D446" s="25"/>
      <c r="E446" s="25"/>
      <c r="F446" s="24"/>
      <c r="G446" s="25"/>
      <c r="H446" s="25"/>
      <c r="I446" s="25"/>
      <c r="J446" s="25"/>
      <c r="K446" s="25"/>
      <c r="L446" s="25"/>
      <c r="M446" s="25"/>
      <c r="N446" s="25" t="str">
        <f t="shared" si="6"/>
        <v/>
      </c>
      <c r="O446" s="25"/>
      <c r="P446" s="25"/>
      <c r="Q446" s="25"/>
      <c r="R446" s="25"/>
      <c r="S446" s="25"/>
      <c r="T446" s="25"/>
      <c r="U446" s="25"/>
      <c r="V446" s="25"/>
      <c r="W446" s="24"/>
      <c r="X446" s="24"/>
      <c r="Y446" s="25"/>
      <c r="Z446" s="25" t="str">
        <f>IF(B446="","",IFERROR(INDEX(الزبائن!$AZ$6:$AZ$505,MATCH(B446,الزبائن!$A$6:$A$505,0)),"source key not found"))</f>
        <v/>
      </c>
      <c r="AA446" s="25" t="str">
        <f>IF(B446="","",IFERROR(INDEX(الزبائن!$BA$6:$BA$505,MATCH(B446,الزبائن!$A$6:$A$505,0)),"source key not found"))</f>
        <v/>
      </c>
      <c r="AB446" s="25" t="str">
        <f>IF(AND(A446="",C446="",D446="",H446="",K446="",L446=""),"",IF(C446="skip","SKIP",IF(OR(A446="",C446="",D446="",H446="",K446="",L446="",S446="",COUNTIF($A$6:$A$505,A446)&gt;1,AND(B446&lt;&gt;"",COUNTIF(الزبائن!$A$6:$A$505,B446)=0),(COUNTIFS('أرقام التواصل'!$A$6:$A$505,"proposed_name",'أرقام التواصل'!$B$6:$B$505,A446,'أرقام التواصل'!$I$6:$I$505,"TRUE")+COUNTIFS('أرقام التواصل'!$A$6:$A$505,"proposed_name",'أرقام التواصل'!$B$6:$B$505,A446,'أرقام التواصل'!$C$6:$C$505,1))=0,AND(U446="TRUE",V446="")),"REVIEW","READY")))</f>
        <v/>
      </c>
      <c r="AC446" s="27" t="str">
        <f>IF(AB446="","",IF(AB446="READY","",IF(AB446="SKIP","Skipped by candidate_import_action",TRIM(IF(A446="","missing proposed_name_key; ","")&amp;IF(AND(A446&lt;&gt;"",COUNTIF($A$6:$A$505,A446)&gt;1),"duplicate proposed_name_key; ","")&amp;IF(C446="","missing candidate_import_action; ","")&amp;IF(D446="","missing move_reason; ","")&amp;IF(H446="","missing branch_id; ","")&amp;IF(K446="","missing first_name; ","")&amp;IF(L446="","missing last_name; ","")&amp;IF(S446="","missing status; ","")&amp;IF(AND(B446&lt;&gt;"",COUNTIF(الزبائن!$A$6:$A$505,B446)=0),"source key not found; ","")&amp;IF((COUNTIFS('أرقام التواصل'!$A$6:$A$505,"proposed_name",'أرقام التواصل'!$B$6:$B$505,A446,'أرقام التواصل'!$I$6:$I$505,"TRUE")+COUNTIFS('أرقام التواصل'!$A$6:$A$505,"proposed_name",'أرقام التواصل'!$B$6:$B$505,A446,'أرقام التواصل'!$C$6:$C$505,1))=0,"missing primary contact in أرقام التواصل; ","")&amp;IF(AND(U446="TRUE",V446=""),"duplicate_type required when duplicate_flag TRUE; ","")))))</f>
        <v/>
      </c>
    </row>
    <row r="447" spans="1:29">
      <c r="A447" s="36"/>
      <c r="B447" s="24"/>
      <c r="C447" s="25"/>
      <c r="D447" s="25"/>
      <c r="E447" s="25"/>
      <c r="F447" s="24"/>
      <c r="G447" s="25"/>
      <c r="H447" s="25"/>
      <c r="I447" s="25"/>
      <c r="J447" s="25"/>
      <c r="K447" s="25"/>
      <c r="L447" s="25"/>
      <c r="M447" s="25"/>
      <c r="N447" s="25" t="str">
        <f t="shared" si="6"/>
        <v/>
      </c>
      <c r="O447" s="25"/>
      <c r="P447" s="25"/>
      <c r="Q447" s="25"/>
      <c r="R447" s="25"/>
      <c r="S447" s="25"/>
      <c r="T447" s="25"/>
      <c r="U447" s="25"/>
      <c r="V447" s="25"/>
      <c r="W447" s="24"/>
      <c r="X447" s="24"/>
      <c r="Y447" s="25"/>
      <c r="Z447" s="25" t="str">
        <f>IF(B447="","",IFERROR(INDEX(الزبائن!$AZ$6:$AZ$505,MATCH(B447,الزبائن!$A$6:$A$505,0)),"source key not found"))</f>
        <v/>
      </c>
      <c r="AA447" s="25" t="str">
        <f>IF(B447="","",IFERROR(INDEX(الزبائن!$BA$6:$BA$505,MATCH(B447,الزبائن!$A$6:$A$505,0)),"source key not found"))</f>
        <v/>
      </c>
      <c r="AB447" s="25" t="str">
        <f>IF(AND(A447="",C447="",D447="",H447="",K447="",L447=""),"",IF(C447="skip","SKIP",IF(OR(A447="",C447="",D447="",H447="",K447="",L447="",S447="",COUNTIF($A$6:$A$505,A447)&gt;1,AND(B447&lt;&gt;"",COUNTIF(الزبائن!$A$6:$A$505,B447)=0),(COUNTIFS('أرقام التواصل'!$A$6:$A$505,"proposed_name",'أرقام التواصل'!$B$6:$B$505,A447,'أرقام التواصل'!$I$6:$I$505,"TRUE")+COUNTIFS('أرقام التواصل'!$A$6:$A$505,"proposed_name",'أرقام التواصل'!$B$6:$B$505,A447,'أرقام التواصل'!$C$6:$C$505,1))=0,AND(U447="TRUE",V447="")),"REVIEW","READY")))</f>
        <v/>
      </c>
      <c r="AC447" s="27" t="str">
        <f>IF(AB447="","",IF(AB447="READY","",IF(AB447="SKIP","Skipped by candidate_import_action",TRIM(IF(A447="","missing proposed_name_key; ","")&amp;IF(AND(A447&lt;&gt;"",COUNTIF($A$6:$A$505,A447)&gt;1),"duplicate proposed_name_key; ","")&amp;IF(C447="","missing candidate_import_action; ","")&amp;IF(D447="","missing move_reason; ","")&amp;IF(H447="","missing branch_id; ","")&amp;IF(K447="","missing first_name; ","")&amp;IF(L447="","missing last_name; ","")&amp;IF(S447="","missing status; ","")&amp;IF(AND(B447&lt;&gt;"",COUNTIF(الزبائن!$A$6:$A$505,B447)=0),"source key not found; ","")&amp;IF((COUNTIFS('أرقام التواصل'!$A$6:$A$505,"proposed_name",'أرقام التواصل'!$B$6:$B$505,A447,'أرقام التواصل'!$I$6:$I$505,"TRUE")+COUNTIFS('أرقام التواصل'!$A$6:$A$505,"proposed_name",'أرقام التواصل'!$B$6:$B$505,A447,'أرقام التواصل'!$C$6:$C$505,1))=0,"missing primary contact in أرقام التواصل; ","")&amp;IF(AND(U447="TRUE",V447=""),"duplicate_type required when duplicate_flag TRUE; ","")))))</f>
        <v/>
      </c>
    </row>
    <row r="448" spans="1:29">
      <c r="A448" s="36"/>
      <c r="B448" s="24"/>
      <c r="C448" s="25"/>
      <c r="D448" s="25"/>
      <c r="E448" s="25"/>
      <c r="F448" s="24"/>
      <c r="G448" s="25"/>
      <c r="H448" s="25"/>
      <c r="I448" s="25"/>
      <c r="J448" s="25"/>
      <c r="K448" s="25"/>
      <c r="L448" s="25"/>
      <c r="M448" s="25"/>
      <c r="N448" s="25" t="str">
        <f t="shared" si="6"/>
        <v/>
      </c>
      <c r="O448" s="25"/>
      <c r="P448" s="25"/>
      <c r="Q448" s="25"/>
      <c r="R448" s="25"/>
      <c r="S448" s="25"/>
      <c r="T448" s="25"/>
      <c r="U448" s="25"/>
      <c r="V448" s="25"/>
      <c r="W448" s="24"/>
      <c r="X448" s="24"/>
      <c r="Y448" s="25"/>
      <c r="Z448" s="25" t="str">
        <f>IF(B448="","",IFERROR(INDEX(الزبائن!$AZ$6:$AZ$505,MATCH(B448,الزبائن!$A$6:$A$505,0)),"source key not found"))</f>
        <v/>
      </c>
      <c r="AA448" s="25" t="str">
        <f>IF(B448="","",IFERROR(INDEX(الزبائن!$BA$6:$BA$505,MATCH(B448,الزبائن!$A$6:$A$505,0)),"source key not found"))</f>
        <v/>
      </c>
      <c r="AB448" s="25" t="str">
        <f>IF(AND(A448="",C448="",D448="",H448="",K448="",L448=""),"",IF(C448="skip","SKIP",IF(OR(A448="",C448="",D448="",H448="",K448="",L448="",S448="",COUNTIF($A$6:$A$505,A448)&gt;1,AND(B448&lt;&gt;"",COUNTIF(الزبائن!$A$6:$A$505,B448)=0),(COUNTIFS('أرقام التواصل'!$A$6:$A$505,"proposed_name",'أرقام التواصل'!$B$6:$B$505,A448,'أرقام التواصل'!$I$6:$I$505,"TRUE")+COUNTIFS('أرقام التواصل'!$A$6:$A$505,"proposed_name",'أرقام التواصل'!$B$6:$B$505,A448,'أرقام التواصل'!$C$6:$C$505,1))=0,AND(U448="TRUE",V448="")),"REVIEW","READY")))</f>
        <v/>
      </c>
      <c r="AC448" s="27" t="str">
        <f>IF(AB448="","",IF(AB448="READY","",IF(AB448="SKIP","Skipped by candidate_import_action",TRIM(IF(A448="","missing proposed_name_key; ","")&amp;IF(AND(A448&lt;&gt;"",COUNTIF($A$6:$A$505,A448)&gt;1),"duplicate proposed_name_key; ","")&amp;IF(C448="","missing candidate_import_action; ","")&amp;IF(D448="","missing move_reason; ","")&amp;IF(H448="","missing branch_id; ","")&amp;IF(K448="","missing first_name; ","")&amp;IF(L448="","missing last_name; ","")&amp;IF(S448="","missing status; ","")&amp;IF(AND(B448&lt;&gt;"",COUNTIF(الزبائن!$A$6:$A$505,B448)=0),"source key not found; ","")&amp;IF((COUNTIFS('أرقام التواصل'!$A$6:$A$505,"proposed_name",'أرقام التواصل'!$B$6:$B$505,A448,'أرقام التواصل'!$I$6:$I$505,"TRUE")+COUNTIFS('أرقام التواصل'!$A$6:$A$505,"proposed_name",'أرقام التواصل'!$B$6:$B$505,A448,'أرقام التواصل'!$C$6:$C$505,1))=0,"missing primary contact in أرقام التواصل; ","")&amp;IF(AND(U448="TRUE",V448=""),"duplicate_type required when duplicate_flag TRUE; ","")))))</f>
        <v/>
      </c>
    </row>
    <row r="449" spans="1:29">
      <c r="A449" s="36"/>
      <c r="B449" s="24"/>
      <c r="C449" s="25"/>
      <c r="D449" s="25"/>
      <c r="E449" s="25"/>
      <c r="F449" s="24"/>
      <c r="G449" s="25"/>
      <c r="H449" s="25"/>
      <c r="I449" s="25"/>
      <c r="J449" s="25"/>
      <c r="K449" s="25"/>
      <c r="L449" s="25"/>
      <c r="M449" s="25"/>
      <c r="N449" s="25" t="str">
        <f t="shared" si="6"/>
        <v/>
      </c>
      <c r="O449" s="25"/>
      <c r="P449" s="25"/>
      <c r="Q449" s="25"/>
      <c r="R449" s="25"/>
      <c r="S449" s="25"/>
      <c r="T449" s="25"/>
      <c r="U449" s="25"/>
      <c r="V449" s="25"/>
      <c r="W449" s="24"/>
      <c r="X449" s="24"/>
      <c r="Y449" s="25"/>
      <c r="Z449" s="25" t="str">
        <f>IF(B449="","",IFERROR(INDEX(الزبائن!$AZ$6:$AZ$505,MATCH(B449,الزبائن!$A$6:$A$505,0)),"source key not found"))</f>
        <v/>
      </c>
      <c r="AA449" s="25" t="str">
        <f>IF(B449="","",IFERROR(INDEX(الزبائن!$BA$6:$BA$505,MATCH(B449,الزبائن!$A$6:$A$505,0)),"source key not found"))</f>
        <v/>
      </c>
      <c r="AB449" s="25" t="str">
        <f>IF(AND(A449="",C449="",D449="",H449="",K449="",L449=""),"",IF(C449="skip","SKIP",IF(OR(A449="",C449="",D449="",H449="",K449="",L449="",S449="",COUNTIF($A$6:$A$505,A449)&gt;1,AND(B449&lt;&gt;"",COUNTIF(الزبائن!$A$6:$A$505,B449)=0),(COUNTIFS('أرقام التواصل'!$A$6:$A$505,"proposed_name",'أرقام التواصل'!$B$6:$B$505,A449,'أرقام التواصل'!$I$6:$I$505,"TRUE")+COUNTIFS('أرقام التواصل'!$A$6:$A$505,"proposed_name",'أرقام التواصل'!$B$6:$B$505,A449,'أرقام التواصل'!$C$6:$C$505,1))=0,AND(U449="TRUE",V449="")),"REVIEW","READY")))</f>
        <v/>
      </c>
      <c r="AC449" s="27" t="str">
        <f>IF(AB449="","",IF(AB449="READY","",IF(AB449="SKIP","Skipped by candidate_import_action",TRIM(IF(A449="","missing proposed_name_key; ","")&amp;IF(AND(A449&lt;&gt;"",COUNTIF($A$6:$A$505,A449)&gt;1),"duplicate proposed_name_key; ","")&amp;IF(C449="","missing candidate_import_action; ","")&amp;IF(D449="","missing move_reason; ","")&amp;IF(H449="","missing branch_id; ","")&amp;IF(K449="","missing first_name; ","")&amp;IF(L449="","missing last_name; ","")&amp;IF(S449="","missing status; ","")&amp;IF(AND(B449&lt;&gt;"",COUNTIF(الزبائن!$A$6:$A$505,B449)=0),"source key not found; ","")&amp;IF((COUNTIFS('أرقام التواصل'!$A$6:$A$505,"proposed_name",'أرقام التواصل'!$B$6:$B$505,A449,'أرقام التواصل'!$I$6:$I$505,"TRUE")+COUNTIFS('أرقام التواصل'!$A$6:$A$505,"proposed_name",'أرقام التواصل'!$B$6:$B$505,A449,'أرقام التواصل'!$C$6:$C$505,1))=0,"missing primary contact in أرقام التواصل; ","")&amp;IF(AND(U449="TRUE",V449=""),"duplicate_type required when duplicate_flag TRUE; ","")))))</f>
        <v/>
      </c>
    </row>
    <row r="450" spans="1:29">
      <c r="A450" s="36"/>
      <c r="B450" s="24"/>
      <c r="C450" s="25"/>
      <c r="D450" s="25"/>
      <c r="E450" s="25"/>
      <c r="F450" s="24"/>
      <c r="G450" s="25"/>
      <c r="H450" s="25"/>
      <c r="I450" s="25"/>
      <c r="J450" s="25"/>
      <c r="K450" s="25"/>
      <c r="L450" s="25"/>
      <c r="M450" s="25"/>
      <c r="N450" s="25" t="str">
        <f t="shared" si="6"/>
        <v/>
      </c>
      <c r="O450" s="25"/>
      <c r="P450" s="25"/>
      <c r="Q450" s="25"/>
      <c r="R450" s="25"/>
      <c r="S450" s="25"/>
      <c r="T450" s="25"/>
      <c r="U450" s="25"/>
      <c r="V450" s="25"/>
      <c r="W450" s="24"/>
      <c r="X450" s="24"/>
      <c r="Y450" s="25"/>
      <c r="Z450" s="25" t="str">
        <f>IF(B450="","",IFERROR(INDEX(الزبائن!$AZ$6:$AZ$505,MATCH(B450,الزبائن!$A$6:$A$505,0)),"source key not found"))</f>
        <v/>
      </c>
      <c r="AA450" s="25" t="str">
        <f>IF(B450="","",IFERROR(INDEX(الزبائن!$BA$6:$BA$505,MATCH(B450,الزبائن!$A$6:$A$505,0)),"source key not found"))</f>
        <v/>
      </c>
      <c r="AB450" s="25" t="str">
        <f>IF(AND(A450="",C450="",D450="",H450="",K450="",L450=""),"",IF(C450="skip","SKIP",IF(OR(A450="",C450="",D450="",H450="",K450="",L450="",S450="",COUNTIF($A$6:$A$505,A450)&gt;1,AND(B450&lt;&gt;"",COUNTIF(الزبائن!$A$6:$A$505,B450)=0),(COUNTIFS('أرقام التواصل'!$A$6:$A$505,"proposed_name",'أرقام التواصل'!$B$6:$B$505,A450,'أرقام التواصل'!$I$6:$I$505,"TRUE")+COUNTIFS('أرقام التواصل'!$A$6:$A$505,"proposed_name",'أرقام التواصل'!$B$6:$B$505,A450,'أرقام التواصل'!$C$6:$C$505,1))=0,AND(U450="TRUE",V450="")),"REVIEW","READY")))</f>
        <v/>
      </c>
      <c r="AC450" s="27" t="str">
        <f>IF(AB450="","",IF(AB450="READY","",IF(AB450="SKIP","Skipped by candidate_import_action",TRIM(IF(A450="","missing proposed_name_key; ","")&amp;IF(AND(A450&lt;&gt;"",COUNTIF($A$6:$A$505,A450)&gt;1),"duplicate proposed_name_key; ","")&amp;IF(C450="","missing candidate_import_action; ","")&amp;IF(D450="","missing move_reason; ","")&amp;IF(H450="","missing branch_id; ","")&amp;IF(K450="","missing first_name; ","")&amp;IF(L450="","missing last_name; ","")&amp;IF(S450="","missing status; ","")&amp;IF(AND(B450&lt;&gt;"",COUNTIF(الزبائن!$A$6:$A$505,B450)=0),"source key not found; ","")&amp;IF((COUNTIFS('أرقام التواصل'!$A$6:$A$505,"proposed_name",'أرقام التواصل'!$B$6:$B$505,A450,'أرقام التواصل'!$I$6:$I$505,"TRUE")+COUNTIFS('أرقام التواصل'!$A$6:$A$505,"proposed_name",'أرقام التواصل'!$B$6:$B$505,A450,'أرقام التواصل'!$C$6:$C$505,1))=0,"missing primary contact in أرقام التواصل; ","")&amp;IF(AND(U450="TRUE",V450=""),"duplicate_type required when duplicate_flag TRUE; ","")))))</f>
        <v/>
      </c>
    </row>
    <row r="451" spans="1:29">
      <c r="A451" s="36"/>
      <c r="B451" s="24"/>
      <c r="C451" s="25"/>
      <c r="D451" s="25"/>
      <c r="E451" s="25"/>
      <c r="F451" s="24"/>
      <c r="G451" s="25"/>
      <c r="H451" s="25"/>
      <c r="I451" s="25"/>
      <c r="J451" s="25"/>
      <c r="K451" s="25"/>
      <c r="L451" s="25"/>
      <c r="M451" s="25"/>
      <c r="N451" s="25" t="str">
        <f t="shared" si="6"/>
        <v/>
      </c>
      <c r="O451" s="25"/>
      <c r="P451" s="25"/>
      <c r="Q451" s="25"/>
      <c r="R451" s="25"/>
      <c r="S451" s="25"/>
      <c r="T451" s="25"/>
      <c r="U451" s="25"/>
      <c r="V451" s="25"/>
      <c r="W451" s="24"/>
      <c r="X451" s="24"/>
      <c r="Y451" s="25"/>
      <c r="Z451" s="25" t="str">
        <f>IF(B451="","",IFERROR(INDEX(الزبائن!$AZ$6:$AZ$505,MATCH(B451,الزبائن!$A$6:$A$505,0)),"source key not found"))</f>
        <v/>
      </c>
      <c r="AA451" s="25" t="str">
        <f>IF(B451="","",IFERROR(INDEX(الزبائن!$BA$6:$BA$505,MATCH(B451,الزبائن!$A$6:$A$505,0)),"source key not found"))</f>
        <v/>
      </c>
      <c r="AB451" s="25" t="str">
        <f>IF(AND(A451="",C451="",D451="",H451="",K451="",L451=""),"",IF(C451="skip","SKIP",IF(OR(A451="",C451="",D451="",H451="",K451="",L451="",S451="",COUNTIF($A$6:$A$505,A451)&gt;1,AND(B451&lt;&gt;"",COUNTIF(الزبائن!$A$6:$A$505,B451)=0),(COUNTIFS('أرقام التواصل'!$A$6:$A$505,"proposed_name",'أرقام التواصل'!$B$6:$B$505,A451,'أرقام التواصل'!$I$6:$I$505,"TRUE")+COUNTIFS('أرقام التواصل'!$A$6:$A$505,"proposed_name",'أرقام التواصل'!$B$6:$B$505,A451,'أرقام التواصل'!$C$6:$C$505,1))=0,AND(U451="TRUE",V451="")),"REVIEW","READY")))</f>
        <v/>
      </c>
      <c r="AC451" s="27" t="str">
        <f>IF(AB451="","",IF(AB451="READY","",IF(AB451="SKIP","Skipped by candidate_import_action",TRIM(IF(A451="","missing proposed_name_key; ","")&amp;IF(AND(A451&lt;&gt;"",COUNTIF($A$6:$A$505,A451)&gt;1),"duplicate proposed_name_key; ","")&amp;IF(C451="","missing candidate_import_action; ","")&amp;IF(D451="","missing move_reason; ","")&amp;IF(H451="","missing branch_id; ","")&amp;IF(K451="","missing first_name; ","")&amp;IF(L451="","missing last_name; ","")&amp;IF(S451="","missing status; ","")&amp;IF(AND(B451&lt;&gt;"",COUNTIF(الزبائن!$A$6:$A$505,B451)=0),"source key not found; ","")&amp;IF((COUNTIFS('أرقام التواصل'!$A$6:$A$505,"proposed_name",'أرقام التواصل'!$B$6:$B$505,A451,'أرقام التواصل'!$I$6:$I$505,"TRUE")+COUNTIFS('أرقام التواصل'!$A$6:$A$505,"proposed_name",'أرقام التواصل'!$B$6:$B$505,A451,'أرقام التواصل'!$C$6:$C$505,1))=0,"missing primary contact in أرقام التواصل; ","")&amp;IF(AND(U451="TRUE",V451=""),"duplicate_type required when duplicate_flag TRUE; ","")))))</f>
        <v/>
      </c>
    </row>
    <row r="452" spans="1:29">
      <c r="A452" s="36"/>
      <c r="B452" s="24"/>
      <c r="C452" s="25"/>
      <c r="D452" s="25"/>
      <c r="E452" s="25"/>
      <c r="F452" s="24"/>
      <c r="G452" s="25"/>
      <c r="H452" s="25"/>
      <c r="I452" s="25"/>
      <c r="J452" s="25"/>
      <c r="K452" s="25"/>
      <c r="L452" s="25"/>
      <c r="M452" s="25"/>
      <c r="N452" s="25" t="str">
        <f t="shared" si="6"/>
        <v/>
      </c>
      <c r="O452" s="25"/>
      <c r="P452" s="25"/>
      <c r="Q452" s="25"/>
      <c r="R452" s="25"/>
      <c r="S452" s="25"/>
      <c r="T452" s="25"/>
      <c r="U452" s="25"/>
      <c r="V452" s="25"/>
      <c r="W452" s="24"/>
      <c r="X452" s="24"/>
      <c r="Y452" s="25"/>
      <c r="Z452" s="25" t="str">
        <f>IF(B452="","",IFERROR(INDEX(الزبائن!$AZ$6:$AZ$505,MATCH(B452,الزبائن!$A$6:$A$505,0)),"source key not found"))</f>
        <v/>
      </c>
      <c r="AA452" s="25" t="str">
        <f>IF(B452="","",IFERROR(INDEX(الزبائن!$BA$6:$BA$505,MATCH(B452,الزبائن!$A$6:$A$505,0)),"source key not found"))</f>
        <v/>
      </c>
      <c r="AB452" s="25" t="str">
        <f>IF(AND(A452="",C452="",D452="",H452="",K452="",L452=""),"",IF(C452="skip","SKIP",IF(OR(A452="",C452="",D452="",H452="",K452="",L452="",S452="",COUNTIF($A$6:$A$505,A452)&gt;1,AND(B452&lt;&gt;"",COUNTIF(الزبائن!$A$6:$A$505,B452)=0),(COUNTIFS('أرقام التواصل'!$A$6:$A$505,"proposed_name",'أرقام التواصل'!$B$6:$B$505,A452,'أرقام التواصل'!$I$6:$I$505,"TRUE")+COUNTIFS('أرقام التواصل'!$A$6:$A$505,"proposed_name",'أرقام التواصل'!$B$6:$B$505,A452,'أرقام التواصل'!$C$6:$C$505,1))=0,AND(U452="TRUE",V452="")),"REVIEW","READY")))</f>
        <v/>
      </c>
      <c r="AC452" s="27" t="str">
        <f>IF(AB452="","",IF(AB452="READY","",IF(AB452="SKIP","Skipped by candidate_import_action",TRIM(IF(A452="","missing proposed_name_key; ","")&amp;IF(AND(A452&lt;&gt;"",COUNTIF($A$6:$A$505,A452)&gt;1),"duplicate proposed_name_key; ","")&amp;IF(C452="","missing candidate_import_action; ","")&amp;IF(D452="","missing move_reason; ","")&amp;IF(H452="","missing branch_id; ","")&amp;IF(K452="","missing first_name; ","")&amp;IF(L452="","missing last_name; ","")&amp;IF(S452="","missing status; ","")&amp;IF(AND(B452&lt;&gt;"",COUNTIF(الزبائن!$A$6:$A$505,B452)=0),"source key not found; ","")&amp;IF((COUNTIFS('أرقام التواصل'!$A$6:$A$505,"proposed_name",'أرقام التواصل'!$B$6:$B$505,A452,'أرقام التواصل'!$I$6:$I$505,"TRUE")+COUNTIFS('أرقام التواصل'!$A$6:$A$505,"proposed_name",'أرقام التواصل'!$B$6:$B$505,A452,'أرقام التواصل'!$C$6:$C$505,1))=0,"missing primary contact in أرقام التواصل; ","")&amp;IF(AND(U452="TRUE",V452=""),"duplicate_type required when duplicate_flag TRUE; ","")))))</f>
        <v/>
      </c>
    </row>
    <row r="453" spans="1:29">
      <c r="A453" s="36"/>
      <c r="B453" s="24"/>
      <c r="C453" s="25"/>
      <c r="D453" s="25"/>
      <c r="E453" s="25"/>
      <c r="F453" s="24"/>
      <c r="G453" s="25"/>
      <c r="H453" s="25"/>
      <c r="I453" s="25"/>
      <c r="J453" s="25"/>
      <c r="K453" s="25"/>
      <c r="L453" s="25"/>
      <c r="M453" s="25"/>
      <c r="N453" s="25" t="str">
        <f t="shared" si="6"/>
        <v/>
      </c>
      <c r="O453" s="25"/>
      <c r="P453" s="25"/>
      <c r="Q453" s="25"/>
      <c r="R453" s="25"/>
      <c r="S453" s="25"/>
      <c r="T453" s="25"/>
      <c r="U453" s="25"/>
      <c r="V453" s="25"/>
      <c r="W453" s="24"/>
      <c r="X453" s="24"/>
      <c r="Y453" s="25"/>
      <c r="Z453" s="25" t="str">
        <f>IF(B453="","",IFERROR(INDEX(الزبائن!$AZ$6:$AZ$505,MATCH(B453,الزبائن!$A$6:$A$505,0)),"source key not found"))</f>
        <v/>
      </c>
      <c r="AA453" s="25" t="str">
        <f>IF(B453="","",IFERROR(INDEX(الزبائن!$BA$6:$BA$505,MATCH(B453,الزبائن!$A$6:$A$505,0)),"source key not found"))</f>
        <v/>
      </c>
      <c r="AB453" s="25" t="str">
        <f>IF(AND(A453="",C453="",D453="",H453="",K453="",L453=""),"",IF(C453="skip","SKIP",IF(OR(A453="",C453="",D453="",H453="",K453="",L453="",S453="",COUNTIF($A$6:$A$505,A453)&gt;1,AND(B453&lt;&gt;"",COUNTIF(الزبائن!$A$6:$A$505,B453)=0),(COUNTIFS('أرقام التواصل'!$A$6:$A$505,"proposed_name",'أرقام التواصل'!$B$6:$B$505,A453,'أرقام التواصل'!$I$6:$I$505,"TRUE")+COUNTIFS('أرقام التواصل'!$A$6:$A$505,"proposed_name",'أرقام التواصل'!$B$6:$B$505,A453,'أرقام التواصل'!$C$6:$C$505,1))=0,AND(U453="TRUE",V453="")),"REVIEW","READY")))</f>
        <v/>
      </c>
      <c r="AC453" s="27" t="str">
        <f>IF(AB453="","",IF(AB453="READY","",IF(AB453="SKIP","Skipped by candidate_import_action",TRIM(IF(A453="","missing proposed_name_key; ","")&amp;IF(AND(A453&lt;&gt;"",COUNTIF($A$6:$A$505,A453)&gt;1),"duplicate proposed_name_key; ","")&amp;IF(C453="","missing candidate_import_action; ","")&amp;IF(D453="","missing move_reason; ","")&amp;IF(H453="","missing branch_id; ","")&amp;IF(K453="","missing first_name; ","")&amp;IF(L453="","missing last_name; ","")&amp;IF(S453="","missing status; ","")&amp;IF(AND(B453&lt;&gt;"",COUNTIF(الزبائن!$A$6:$A$505,B453)=0),"source key not found; ","")&amp;IF((COUNTIFS('أرقام التواصل'!$A$6:$A$505,"proposed_name",'أرقام التواصل'!$B$6:$B$505,A453,'أرقام التواصل'!$I$6:$I$505,"TRUE")+COUNTIFS('أرقام التواصل'!$A$6:$A$505,"proposed_name",'أرقام التواصل'!$B$6:$B$505,A453,'أرقام التواصل'!$C$6:$C$505,1))=0,"missing primary contact in أرقام التواصل; ","")&amp;IF(AND(U453="TRUE",V453=""),"duplicate_type required when duplicate_flag TRUE; ","")))))</f>
        <v/>
      </c>
    </row>
    <row r="454" spans="1:29">
      <c r="A454" s="36"/>
      <c r="B454" s="24"/>
      <c r="C454" s="25"/>
      <c r="D454" s="25"/>
      <c r="E454" s="25"/>
      <c r="F454" s="24"/>
      <c r="G454" s="25"/>
      <c r="H454" s="25"/>
      <c r="I454" s="25"/>
      <c r="J454" s="25"/>
      <c r="K454" s="25"/>
      <c r="L454" s="25"/>
      <c r="M454" s="25"/>
      <c r="N454" s="25" t="str">
        <f t="shared" ref="N454:N517" si="7">IF(TRIM(K454&amp;" "&amp;L454&amp;IF(M454&lt;&gt;""," ("&amp;M454&amp;")",""))="","",TRIM(K454&amp;" "&amp;L454&amp;IF(M454&lt;&gt;""," ("&amp;M454&amp;")","")))</f>
        <v/>
      </c>
      <c r="O454" s="25"/>
      <c r="P454" s="25"/>
      <c r="Q454" s="25"/>
      <c r="R454" s="25"/>
      <c r="S454" s="25"/>
      <c r="T454" s="25"/>
      <c r="U454" s="25"/>
      <c r="V454" s="25"/>
      <c r="W454" s="24"/>
      <c r="X454" s="24"/>
      <c r="Y454" s="25"/>
      <c r="Z454" s="25" t="str">
        <f>IF(B454="","",IFERROR(INDEX(الزبائن!$AZ$6:$AZ$505,MATCH(B454,الزبائن!$A$6:$A$505,0)),"source key not found"))</f>
        <v/>
      </c>
      <c r="AA454" s="25" t="str">
        <f>IF(B454="","",IFERROR(INDEX(الزبائن!$BA$6:$BA$505,MATCH(B454,الزبائن!$A$6:$A$505,0)),"source key not found"))</f>
        <v/>
      </c>
      <c r="AB454" s="25" t="str">
        <f>IF(AND(A454="",C454="",D454="",H454="",K454="",L454=""),"",IF(C454="skip","SKIP",IF(OR(A454="",C454="",D454="",H454="",K454="",L454="",S454="",COUNTIF($A$6:$A$505,A454)&gt;1,AND(B454&lt;&gt;"",COUNTIF(الزبائن!$A$6:$A$505,B454)=0),(COUNTIFS('أرقام التواصل'!$A$6:$A$505,"proposed_name",'أرقام التواصل'!$B$6:$B$505,A454,'أرقام التواصل'!$I$6:$I$505,"TRUE")+COUNTIFS('أرقام التواصل'!$A$6:$A$505,"proposed_name",'أرقام التواصل'!$B$6:$B$505,A454,'أرقام التواصل'!$C$6:$C$505,1))=0,AND(U454="TRUE",V454="")),"REVIEW","READY")))</f>
        <v/>
      </c>
      <c r="AC454" s="27" t="str">
        <f>IF(AB454="","",IF(AB454="READY","",IF(AB454="SKIP","Skipped by candidate_import_action",TRIM(IF(A454="","missing proposed_name_key; ","")&amp;IF(AND(A454&lt;&gt;"",COUNTIF($A$6:$A$505,A454)&gt;1),"duplicate proposed_name_key; ","")&amp;IF(C454="","missing candidate_import_action; ","")&amp;IF(D454="","missing move_reason; ","")&amp;IF(H454="","missing branch_id; ","")&amp;IF(K454="","missing first_name; ","")&amp;IF(L454="","missing last_name; ","")&amp;IF(S454="","missing status; ","")&amp;IF(AND(B454&lt;&gt;"",COUNTIF(الزبائن!$A$6:$A$505,B454)=0),"source key not found; ","")&amp;IF((COUNTIFS('أرقام التواصل'!$A$6:$A$505,"proposed_name",'أرقام التواصل'!$B$6:$B$505,A454,'أرقام التواصل'!$I$6:$I$505,"TRUE")+COUNTIFS('أرقام التواصل'!$A$6:$A$505,"proposed_name",'أرقام التواصل'!$B$6:$B$505,A454,'أرقام التواصل'!$C$6:$C$505,1))=0,"missing primary contact in أرقام التواصل; ","")&amp;IF(AND(U454="TRUE",V454=""),"duplicate_type required when duplicate_flag TRUE; ","")))))</f>
        <v/>
      </c>
    </row>
    <row r="455" spans="1:29">
      <c r="A455" s="36"/>
      <c r="B455" s="24"/>
      <c r="C455" s="25"/>
      <c r="D455" s="25"/>
      <c r="E455" s="25"/>
      <c r="F455" s="24"/>
      <c r="G455" s="25"/>
      <c r="H455" s="25"/>
      <c r="I455" s="25"/>
      <c r="J455" s="25"/>
      <c r="K455" s="25"/>
      <c r="L455" s="25"/>
      <c r="M455" s="25"/>
      <c r="N455" s="25" t="str">
        <f t="shared" si="7"/>
        <v/>
      </c>
      <c r="O455" s="25"/>
      <c r="P455" s="25"/>
      <c r="Q455" s="25"/>
      <c r="R455" s="25"/>
      <c r="S455" s="25"/>
      <c r="T455" s="25"/>
      <c r="U455" s="25"/>
      <c r="V455" s="25"/>
      <c r="W455" s="24"/>
      <c r="X455" s="24"/>
      <c r="Y455" s="25"/>
      <c r="Z455" s="25" t="str">
        <f>IF(B455="","",IFERROR(INDEX(الزبائن!$AZ$6:$AZ$505,MATCH(B455,الزبائن!$A$6:$A$505,0)),"source key not found"))</f>
        <v/>
      </c>
      <c r="AA455" s="25" t="str">
        <f>IF(B455="","",IFERROR(INDEX(الزبائن!$BA$6:$BA$505,MATCH(B455,الزبائن!$A$6:$A$505,0)),"source key not found"))</f>
        <v/>
      </c>
      <c r="AB455" s="25" t="str">
        <f>IF(AND(A455="",C455="",D455="",H455="",K455="",L455=""),"",IF(C455="skip","SKIP",IF(OR(A455="",C455="",D455="",H455="",K455="",L455="",S455="",COUNTIF($A$6:$A$505,A455)&gt;1,AND(B455&lt;&gt;"",COUNTIF(الزبائن!$A$6:$A$505,B455)=0),(COUNTIFS('أرقام التواصل'!$A$6:$A$505,"proposed_name",'أرقام التواصل'!$B$6:$B$505,A455,'أرقام التواصل'!$I$6:$I$505,"TRUE")+COUNTIFS('أرقام التواصل'!$A$6:$A$505,"proposed_name",'أرقام التواصل'!$B$6:$B$505,A455,'أرقام التواصل'!$C$6:$C$505,1))=0,AND(U455="TRUE",V455="")),"REVIEW","READY")))</f>
        <v/>
      </c>
      <c r="AC455" s="27" t="str">
        <f>IF(AB455="","",IF(AB455="READY","",IF(AB455="SKIP","Skipped by candidate_import_action",TRIM(IF(A455="","missing proposed_name_key; ","")&amp;IF(AND(A455&lt;&gt;"",COUNTIF($A$6:$A$505,A455)&gt;1),"duplicate proposed_name_key; ","")&amp;IF(C455="","missing candidate_import_action; ","")&amp;IF(D455="","missing move_reason; ","")&amp;IF(H455="","missing branch_id; ","")&amp;IF(K455="","missing first_name; ","")&amp;IF(L455="","missing last_name; ","")&amp;IF(S455="","missing status; ","")&amp;IF(AND(B455&lt;&gt;"",COUNTIF(الزبائن!$A$6:$A$505,B455)=0),"source key not found; ","")&amp;IF((COUNTIFS('أرقام التواصل'!$A$6:$A$505,"proposed_name",'أرقام التواصل'!$B$6:$B$505,A455,'أرقام التواصل'!$I$6:$I$505,"TRUE")+COUNTIFS('أرقام التواصل'!$A$6:$A$505,"proposed_name",'أرقام التواصل'!$B$6:$B$505,A455,'أرقام التواصل'!$C$6:$C$505,1))=0,"missing primary contact in أرقام التواصل; ","")&amp;IF(AND(U455="TRUE",V455=""),"duplicate_type required when duplicate_flag TRUE; ","")))))</f>
        <v/>
      </c>
    </row>
    <row r="456" spans="1:29">
      <c r="A456" s="36"/>
      <c r="B456" s="24"/>
      <c r="C456" s="25"/>
      <c r="D456" s="25"/>
      <c r="E456" s="25"/>
      <c r="F456" s="24"/>
      <c r="G456" s="25"/>
      <c r="H456" s="25"/>
      <c r="I456" s="25"/>
      <c r="J456" s="25"/>
      <c r="K456" s="25"/>
      <c r="L456" s="25"/>
      <c r="M456" s="25"/>
      <c r="N456" s="25" t="str">
        <f t="shared" si="7"/>
        <v/>
      </c>
      <c r="O456" s="25"/>
      <c r="P456" s="25"/>
      <c r="Q456" s="25"/>
      <c r="R456" s="25"/>
      <c r="S456" s="25"/>
      <c r="T456" s="25"/>
      <c r="U456" s="25"/>
      <c r="V456" s="25"/>
      <c r="W456" s="24"/>
      <c r="X456" s="24"/>
      <c r="Y456" s="25"/>
      <c r="Z456" s="25" t="str">
        <f>IF(B456="","",IFERROR(INDEX(الزبائن!$AZ$6:$AZ$505,MATCH(B456,الزبائن!$A$6:$A$505,0)),"source key not found"))</f>
        <v/>
      </c>
      <c r="AA456" s="25" t="str">
        <f>IF(B456="","",IFERROR(INDEX(الزبائن!$BA$6:$BA$505,MATCH(B456,الزبائن!$A$6:$A$505,0)),"source key not found"))</f>
        <v/>
      </c>
      <c r="AB456" s="25" t="str">
        <f>IF(AND(A456="",C456="",D456="",H456="",K456="",L456=""),"",IF(C456="skip","SKIP",IF(OR(A456="",C456="",D456="",H456="",K456="",L456="",S456="",COUNTIF($A$6:$A$505,A456)&gt;1,AND(B456&lt;&gt;"",COUNTIF(الزبائن!$A$6:$A$505,B456)=0),(COUNTIFS('أرقام التواصل'!$A$6:$A$505,"proposed_name",'أرقام التواصل'!$B$6:$B$505,A456,'أرقام التواصل'!$I$6:$I$505,"TRUE")+COUNTIFS('أرقام التواصل'!$A$6:$A$505,"proposed_name",'أرقام التواصل'!$B$6:$B$505,A456,'أرقام التواصل'!$C$6:$C$505,1))=0,AND(U456="TRUE",V456="")),"REVIEW","READY")))</f>
        <v/>
      </c>
      <c r="AC456" s="27" t="str">
        <f>IF(AB456="","",IF(AB456="READY","",IF(AB456="SKIP","Skipped by candidate_import_action",TRIM(IF(A456="","missing proposed_name_key; ","")&amp;IF(AND(A456&lt;&gt;"",COUNTIF($A$6:$A$505,A456)&gt;1),"duplicate proposed_name_key; ","")&amp;IF(C456="","missing candidate_import_action; ","")&amp;IF(D456="","missing move_reason; ","")&amp;IF(H456="","missing branch_id; ","")&amp;IF(K456="","missing first_name; ","")&amp;IF(L456="","missing last_name; ","")&amp;IF(S456="","missing status; ","")&amp;IF(AND(B456&lt;&gt;"",COUNTIF(الزبائن!$A$6:$A$505,B456)=0),"source key not found; ","")&amp;IF((COUNTIFS('أرقام التواصل'!$A$6:$A$505,"proposed_name",'أرقام التواصل'!$B$6:$B$505,A456,'أرقام التواصل'!$I$6:$I$505,"TRUE")+COUNTIFS('أرقام التواصل'!$A$6:$A$505,"proposed_name",'أرقام التواصل'!$B$6:$B$505,A456,'أرقام التواصل'!$C$6:$C$505,1))=0,"missing primary contact in أرقام التواصل; ","")&amp;IF(AND(U456="TRUE",V456=""),"duplicate_type required when duplicate_flag TRUE; ","")))))</f>
        <v/>
      </c>
    </row>
    <row r="457" spans="1:29">
      <c r="A457" s="36"/>
      <c r="B457" s="24"/>
      <c r="C457" s="25"/>
      <c r="D457" s="25"/>
      <c r="E457" s="25"/>
      <c r="F457" s="24"/>
      <c r="G457" s="25"/>
      <c r="H457" s="25"/>
      <c r="I457" s="25"/>
      <c r="J457" s="25"/>
      <c r="K457" s="25"/>
      <c r="L457" s="25"/>
      <c r="M457" s="25"/>
      <c r="N457" s="25" t="str">
        <f t="shared" si="7"/>
        <v/>
      </c>
      <c r="O457" s="25"/>
      <c r="P457" s="25"/>
      <c r="Q457" s="25"/>
      <c r="R457" s="25"/>
      <c r="S457" s="25"/>
      <c r="T457" s="25"/>
      <c r="U457" s="25"/>
      <c r="V457" s="25"/>
      <c r="W457" s="24"/>
      <c r="X457" s="24"/>
      <c r="Y457" s="25"/>
      <c r="Z457" s="25" t="str">
        <f>IF(B457="","",IFERROR(INDEX(الزبائن!$AZ$6:$AZ$505,MATCH(B457,الزبائن!$A$6:$A$505,0)),"source key not found"))</f>
        <v/>
      </c>
      <c r="AA457" s="25" t="str">
        <f>IF(B457="","",IFERROR(INDEX(الزبائن!$BA$6:$BA$505,MATCH(B457,الزبائن!$A$6:$A$505,0)),"source key not found"))</f>
        <v/>
      </c>
      <c r="AB457" s="25" t="str">
        <f>IF(AND(A457="",C457="",D457="",H457="",K457="",L457=""),"",IF(C457="skip","SKIP",IF(OR(A457="",C457="",D457="",H457="",K457="",L457="",S457="",COUNTIF($A$6:$A$505,A457)&gt;1,AND(B457&lt;&gt;"",COUNTIF(الزبائن!$A$6:$A$505,B457)=0),(COUNTIFS('أرقام التواصل'!$A$6:$A$505,"proposed_name",'أرقام التواصل'!$B$6:$B$505,A457,'أرقام التواصل'!$I$6:$I$505,"TRUE")+COUNTIFS('أرقام التواصل'!$A$6:$A$505,"proposed_name",'أرقام التواصل'!$B$6:$B$505,A457,'أرقام التواصل'!$C$6:$C$505,1))=0,AND(U457="TRUE",V457="")),"REVIEW","READY")))</f>
        <v/>
      </c>
      <c r="AC457" s="27" t="str">
        <f>IF(AB457="","",IF(AB457="READY","",IF(AB457="SKIP","Skipped by candidate_import_action",TRIM(IF(A457="","missing proposed_name_key; ","")&amp;IF(AND(A457&lt;&gt;"",COUNTIF($A$6:$A$505,A457)&gt;1),"duplicate proposed_name_key; ","")&amp;IF(C457="","missing candidate_import_action; ","")&amp;IF(D457="","missing move_reason; ","")&amp;IF(H457="","missing branch_id; ","")&amp;IF(K457="","missing first_name; ","")&amp;IF(L457="","missing last_name; ","")&amp;IF(S457="","missing status; ","")&amp;IF(AND(B457&lt;&gt;"",COUNTIF(الزبائن!$A$6:$A$505,B457)=0),"source key not found; ","")&amp;IF((COUNTIFS('أرقام التواصل'!$A$6:$A$505,"proposed_name",'أرقام التواصل'!$B$6:$B$505,A457,'أرقام التواصل'!$I$6:$I$505,"TRUE")+COUNTIFS('أرقام التواصل'!$A$6:$A$505,"proposed_name",'أرقام التواصل'!$B$6:$B$505,A457,'أرقام التواصل'!$C$6:$C$505,1))=0,"missing primary contact in أرقام التواصل; ","")&amp;IF(AND(U457="TRUE",V457=""),"duplicate_type required when duplicate_flag TRUE; ","")))))</f>
        <v/>
      </c>
    </row>
    <row r="458" spans="1:29">
      <c r="A458" s="36"/>
      <c r="B458" s="24"/>
      <c r="C458" s="25"/>
      <c r="D458" s="25"/>
      <c r="E458" s="25"/>
      <c r="F458" s="24"/>
      <c r="G458" s="25"/>
      <c r="H458" s="25"/>
      <c r="I458" s="25"/>
      <c r="J458" s="25"/>
      <c r="K458" s="25"/>
      <c r="L458" s="25"/>
      <c r="M458" s="25"/>
      <c r="N458" s="25" t="str">
        <f t="shared" si="7"/>
        <v/>
      </c>
      <c r="O458" s="25"/>
      <c r="P458" s="25"/>
      <c r="Q458" s="25"/>
      <c r="R458" s="25"/>
      <c r="S458" s="25"/>
      <c r="T458" s="25"/>
      <c r="U458" s="25"/>
      <c r="V458" s="25"/>
      <c r="W458" s="24"/>
      <c r="X458" s="24"/>
      <c r="Y458" s="25"/>
      <c r="Z458" s="25" t="str">
        <f>IF(B458="","",IFERROR(INDEX(الزبائن!$AZ$6:$AZ$505,MATCH(B458,الزبائن!$A$6:$A$505,0)),"source key not found"))</f>
        <v/>
      </c>
      <c r="AA458" s="25" t="str">
        <f>IF(B458="","",IFERROR(INDEX(الزبائن!$BA$6:$BA$505,MATCH(B458,الزبائن!$A$6:$A$505,0)),"source key not found"))</f>
        <v/>
      </c>
      <c r="AB458" s="25" t="str">
        <f>IF(AND(A458="",C458="",D458="",H458="",K458="",L458=""),"",IF(C458="skip","SKIP",IF(OR(A458="",C458="",D458="",H458="",K458="",L458="",S458="",COUNTIF($A$6:$A$505,A458)&gt;1,AND(B458&lt;&gt;"",COUNTIF(الزبائن!$A$6:$A$505,B458)=0),(COUNTIFS('أرقام التواصل'!$A$6:$A$505,"proposed_name",'أرقام التواصل'!$B$6:$B$505,A458,'أرقام التواصل'!$I$6:$I$505,"TRUE")+COUNTIFS('أرقام التواصل'!$A$6:$A$505,"proposed_name",'أرقام التواصل'!$B$6:$B$505,A458,'أرقام التواصل'!$C$6:$C$505,1))=0,AND(U458="TRUE",V458="")),"REVIEW","READY")))</f>
        <v/>
      </c>
      <c r="AC458" s="27" t="str">
        <f>IF(AB458="","",IF(AB458="READY","",IF(AB458="SKIP","Skipped by candidate_import_action",TRIM(IF(A458="","missing proposed_name_key; ","")&amp;IF(AND(A458&lt;&gt;"",COUNTIF($A$6:$A$505,A458)&gt;1),"duplicate proposed_name_key; ","")&amp;IF(C458="","missing candidate_import_action; ","")&amp;IF(D458="","missing move_reason; ","")&amp;IF(H458="","missing branch_id; ","")&amp;IF(K458="","missing first_name; ","")&amp;IF(L458="","missing last_name; ","")&amp;IF(S458="","missing status; ","")&amp;IF(AND(B458&lt;&gt;"",COUNTIF(الزبائن!$A$6:$A$505,B458)=0),"source key not found; ","")&amp;IF((COUNTIFS('أرقام التواصل'!$A$6:$A$505,"proposed_name",'أرقام التواصل'!$B$6:$B$505,A458,'أرقام التواصل'!$I$6:$I$505,"TRUE")+COUNTIFS('أرقام التواصل'!$A$6:$A$505,"proposed_name",'أرقام التواصل'!$B$6:$B$505,A458,'أرقام التواصل'!$C$6:$C$505,1))=0,"missing primary contact in أرقام التواصل; ","")&amp;IF(AND(U458="TRUE",V458=""),"duplicate_type required when duplicate_flag TRUE; ","")))))</f>
        <v/>
      </c>
    </row>
    <row r="459" spans="1:29">
      <c r="A459" s="36"/>
      <c r="B459" s="24"/>
      <c r="C459" s="25"/>
      <c r="D459" s="25"/>
      <c r="E459" s="25"/>
      <c r="F459" s="24"/>
      <c r="G459" s="25"/>
      <c r="H459" s="25"/>
      <c r="I459" s="25"/>
      <c r="J459" s="25"/>
      <c r="K459" s="25"/>
      <c r="L459" s="25"/>
      <c r="M459" s="25"/>
      <c r="N459" s="25" t="str">
        <f t="shared" si="7"/>
        <v/>
      </c>
      <c r="O459" s="25"/>
      <c r="P459" s="25"/>
      <c r="Q459" s="25"/>
      <c r="R459" s="25"/>
      <c r="S459" s="25"/>
      <c r="T459" s="25"/>
      <c r="U459" s="25"/>
      <c r="V459" s="25"/>
      <c r="W459" s="24"/>
      <c r="X459" s="24"/>
      <c r="Y459" s="25"/>
      <c r="Z459" s="25" t="str">
        <f>IF(B459="","",IFERROR(INDEX(الزبائن!$AZ$6:$AZ$505,MATCH(B459,الزبائن!$A$6:$A$505,0)),"source key not found"))</f>
        <v/>
      </c>
      <c r="AA459" s="25" t="str">
        <f>IF(B459="","",IFERROR(INDEX(الزبائن!$BA$6:$BA$505,MATCH(B459,الزبائن!$A$6:$A$505,0)),"source key not found"))</f>
        <v/>
      </c>
      <c r="AB459" s="25" t="str">
        <f>IF(AND(A459="",C459="",D459="",H459="",K459="",L459=""),"",IF(C459="skip","SKIP",IF(OR(A459="",C459="",D459="",H459="",K459="",L459="",S459="",COUNTIF($A$6:$A$505,A459)&gt;1,AND(B459&lt;&gt;"",COUNTIF(الزبائن!$A$6:$A$505,B459)=0),(COUNTIFS('أرقام التواصل'!$A$6:$A$505,"proposed_name",'أرقام التواصل'!$B$6:$B$505,A459,'أرقام التواصل'!$I$6:$I$505,"TRUE")+COUNTIFS('أرقام التواصل'!$A$6:$A$505,"proposed_name",'أرقام التواصل'!$B$6:$B$505,A459,'أرقام التواصل'!$C$6:$C$505,1))=0,AND(U459="TRUE",V459="")),"REVIEW","READY")))</f>
        <v/>
      </c>
      <c r="AC459" s="27" t="str">
        <f>IF(AB459="","",IF(AB459="READY","",IF(AB459="SKIP","Skipped by candidate_import_action",TRIM(IF(A459="","missing proposed_name_key; ","")&amp;IF(AND(A459&lt;&gt;"",COUNTIF($A$6:$A$505,A459)&gt;1),"duplicate proposed_name_key; ","")&amp;IF(C459="","missing candidate_import_action; ","")&amp;IF(D459="","missing move_reason; ","")&amp;IF(H459="","missing branch_id; ","")&amp;IF(K459="","missing first_name; ","")&amp;IF(L459="","missing last_name; ","")&amp;IF(S459="","missing status; ","")&amp;IF(AND(B459&lt;&gt;"",COUNTIF(الزبائن!$A$6:$A$505,B459)=0),"source key not found; ","")&amp;IF((COUNTIFS('أرقام التواصل'!$A$6:$A$505,"proposed_name",'أرقام التواصل'!$B$6:$B$505,A459,'أرقام التواصل'!$I$6:$I$505,"TRUE")+COUNTIFS('أرقام التواصل'!$A$6:$A$505,"proposed_name",'أرقام التواصل'!$B$6:$B$505,A459,'أرقام التواصل'!$C$6:$C$505,1))=0,"missing primary contact in أرقام التواصل; ","")&amp;IF(AND(U459="TRUE",V459=""),"duplicate_type required when duplicate_flag TRUE; ","")))))</f>
        <v/>
      </c>
    </row>
    <row r="460" spans="1:29">
      <c r="A460" s="36"/>
      <c r="B460" s="24"/>
      <c r="C460" s="25"/>
      <c r="D460" s="25"/>
      <c r="E460" s="25"/>
      <c r="F460" s="24"/>
      <c r="G460" s="25"/>
      <c r="H460" s="25"/>
      <c r="I460" s="25"/>
      <c r="J460" s="25"/>
      <c r="K460" s="25"/>
      <c r="L460" s="25"/>
      <c r="M460" s="25"/>
      <c r="N460" s="25" t="str">
        <f t="shared" si="7"/>
        <v/>
      </c>
      <c r="O460" s="25"/>
      <c r="P460" s="25"/>
      <c r="Q460" s="25"/>
      <c r="R460" s="25"/>
      <c r="S460" s="25"/>
      <c r="T460" s="25"/>
      <c r="U460" s="25"/>
      <c r="V460" s="25"/>
      <c r="W460" s="24"/>
      <c r="X460" s="24"/>
      <c r="Y460" s="25"/>
      <c r="Z460" s="25" t="str">
        <f>IF(B460="","",IFERROR(INDEX(الزبائن!$AZ$6:$AZ$505,MATCH(B460,الزبائن!$A$6:$A$505,0)),"source key not found"))</f>
        <v/>
      </c>
      <c r="AA460" s="25" t="str">
        <f>IF(B460="","",IFERROR(INDEX(الزبائن!$BA$6:$BA$505,MATCH(B460,الزبائن!$A$6:$A$505,0)),"source key not found"))</f>
        <v/>
      </c>
      <c r="AB460" s="25" t="str">
        <f>IF(AND(A460="",C460="",D460="",H460="",K460="",L460=""),"",IF(C460="skip","SKIP",IF(OR(A460="",C460="",D460="",H460="",K460="",L460="",S460="",COUNTIF($A$6:$A$505,A460)&gt;1,AND(B460&lt;&gt;"",COUNTIF(الزبائن!$A$6:$A$505,B460)=0),(COUNTIFS('أرقام التواصل'!$A$6:$A$505,"proposed_name",'أرقام التواصل'!$B$6:$B$505,A460,'أرقام التواصل'!$I$6:$I$505,"TRUE")+COUNTIFS('أرقام التواصل'!$A$6:$A$505,"proposed_name",'أرقام التواصل'!$B$6:$B$505,A460,'أرقام التواصل'!$C$6:$C$505,1))=0,AND(U460="TRUE",V460="")),"REVIEW","READY")))</f>
        <v/>
      </c>
      <c r="AC460" s="27" t="str">
        <f>IF(AB460="","",IF(AB460="READY","",IF(AB460="SKIP","Skipped by candidate_import_action",TRIM(IF(A460="","missing proposed_name_key; ","")&amp;IF(AND(A460&lt;&gt;"",COUNTIF($A$6:$A$505,A460)&gt;1),"duplicate proposed_name_key; ","")&amp;IF(C460="","missing candidate_import_action; ","")&amp;IF(D460="","missing move_reason; ","")&amp;IF(H460="","missing branch_id; ","")&amp;IF(K460="","missing first_name; ","")&amp;IF(L460="","missing last_name; ","")&amp;IF(S460="","missing status; ","")&amp;IF(AND(B460&lt;&gt;"",COUNTIF(الزبائن!$A$6:$A$505,B460)=0),"source key not found; ","")&amp;IF((COUNTIFS('أرقام التواصل'!$A$6:$A$505,"proposed_name",'أرقام التواصل'!$B$6:$B$505,A460,'أرقام التواصل'!$I$6:$I$505,"TRUE")+COUNTIFS('أرقام التواصل'!$A$6:$A$505,"proposed_name",'أرقام التواصل'!$B$6:$B$505,A460,'أرقام التواصل'!$C$6:$C$505,1))=0,"missing primary contact in أرقام التواصل; ","")&amp;IF(AND(U460="TRUE",V460=""),"duplicate_type required when duplicate_flag TRUE; ","")))))</f>
        <v/>
      </c>
    </row>
    <row r="461" spans="1:29">
      <c r="A461" s="36"/>
      <c r="B461" s="24"/>
      <c r="C461" s="25"/>
      <c r="D461" s="25"/>
      <c r="E461" s="25"/>
      <c r="F461" s="24"/>
      <c r="G461" s="25"/>
      <c r="H461" s="25"/>
      <c r="I461" s="25"/>
      <c r="J461" s="25"/>
      <c r="K461" s="25"/>
      <c r="L461" s="25"/>
      <c r="M461" s="25"/>
      <c r="N461" s="25" t="str">
        <f t="shared" si="7"/>
        <v/>
      </c>
      <c r="O461" s="25"/>
      <c r="P461" s="25"/>
      <c r="Q461" s="25"/>
      <c r="R461" s="25"/>
      <c r="S461" s="25"/>
      <c r="T461" s="25"/>
      <c r="U461" s="25"/>
      <c r="V461" s="25"/>
      <c r="W461" s="24"/>
      <c r="X461" s="24"/>
      <c r="Y461" s="25"/>
      <c r="Z461" s="25" t="str">
        <f>IF(B461="","",IFERROR(INDEX(الزبائن!$AZ$6:$AZ$505,MATCH(B461,الزبائن!$A$6:$A$505,0)),"source key not found"))</f>
        <v/>
      </c>
      <c r="AA461" s="25" t="str">
        <f>IF(B461="","",IFERROR(INDEX(الزبائن!$BA$6:$BA$505,MATCH(B461,الزبائن!$A$6:$A$505,0)),"source key not found"))</f>
        <v/>
      </c>
      <c r="AB461" s="25" t="str">
        <f>IF(AND(A461="",C461="",D461="",H461="",K461="",L461=""),"",IF(C461="skip","SKIP",IF(OR(A461="",C461="",D461="",H461="",K461="",L461="",S461="",COUNTIF($A$6:$A$505,A461)&gt;1,AND(B461&lt;&gt;"",COUNTIF(الزبائن!$A$6:$A$505,B461)=0),(COUNTIFS('أرقام التواصل'!$A$6:$A$505,"proposed_name",'أرقام التواصل'!$B$6:$B$505,A461,'أرقام التواصل'!$I$6:$I$505,"TRUE")+COUNTIFS('أرقام التواصل'!$A$6:$A$505,"proposed_name",'أرقام التواصل'!$B$6:$B$505,A461,'أرقام التواصل'!$C$6:$C$505,1))=0,AND(U461="TRUE",V461="")),"REVIEW","READY")))</f>
        <v/>
      </c>
      <c r="AC461" s="27" t="str">
        <f>IF(AB461="","",IF(AB461="READY","",IF(AB461="SKIP","Skipped by candidate_import_action",TRIM(IF(A461="","missing proposed_name_key; ","")&amp;IF(AND(A461&lt;&gt;"",COUNTIF($A$6:$A$505,A461)&gt;1),"duplicate proposed_name_key; ","")&amp;IF(C461="","missing candidate_import_action; ","")&amp;IF(D461="","missing move_reason; ","")&amp;IF(H461="","missing branch_id; ","")&amp;IF(K461="","missing first_name; ","")&amp;IF(L461="","missing last_name; ","")&amp;IF(S461="","missing status; ","")&amp;IF(AND(B461&lt;&gt;"",COUNTIF(الزبائن!$A$6:$A$505,B461)=0),"source key not found; ","")&amp;IF((COUNTIFS('أرقام التواصل'!$A$6:$A$505,"proposed_name",'أرقام التواصل'!$B$6:$B$505,A461,'أرقام التواصل'!$I$6:$I$505,"TRUE")+COUNTIFS('أرقام التواصل'!$A$6:$A$505,"proposed_name",'أرقام التواصل'!$B$6:$B$505,A461,'أرقام التواصل'!$C$6:$C$505,1))=0,"missing primary contact in أرقام التواصل; ","")&amp;IF(AND(U461="TRUE",V461=""),"duplicate_type required when duplicate_flag TRUE; ","")))))</f>
        <v/>
      </c>
    </row>
    <row r="462" spans="1:29">
      <c r="A462" s="36"/>
      <c r="B462" s="24"/>
      <c r="C462" s="25"/>
      <c r="D462" s="25"/>
      <c r="E462" s="25"/>
      <c r="F462" s="24"/>
      <c r="G462" s="25"/>
      <c r="H462" s="25"/>
      <c r="I462" s="25"/>
      <c r="J462" s="25"/>
      <c r="K462" s="25"/>
      <c r="L462" s="25"/>
      <c r="M462" s="25"/>
      <c r="N462" s="25" t="str">
        <f t="shared" si="7"/>
        <v/>
      </c>
      <c r="O462" s="25"/>
      <c r="P462" s="25"/>
      <c r="Q462" s="25"/>
      <c r="R462" s="25"/>
      <c r="S462" s="25"/>
      <c r="T462" s="25"/>
      <c r="U462" s="25"/>
      <c r="V462" s="25"/>
      <c r="W462" s="24"/>
      <c r="X462" s="24"/>
      <c r="Y462" s="25"/>
      <c r="Z462" s="25" t="str">
        <f>IF(B462="","",IFERROR(INDEX(الزبائن!$AZ$6:$AZ$505,MATCH(B462,الزبائن!$A$6:$A$505,0)),"source key not found"))</f>
        <v/>
      </c>
      <c r="AA462" s="25" t="str">
        <f>IF(B462="","",IFERROR(INDEX(الزبائن!$BA$6:$BA$505,MATCH(B462,الزبائن!$A$6:$A$505,0)),"source key not found"))</f>
        <v/>
      </c>
      <c r="AB462" s="25" t="str">
        <f>IF(AND(A462="",C462="",D462="",H462="",K462="",L462=""),"",IF(C462="skip","SKIP",IF(OR(A462="",C462="",D462="",H462="",K462="",L462="",S462="",COUNTIF($A$6:$A$505,A462)&gt;1,AND(B462&lt;&gt;"",COUNTIF(الزبائن!$A$6:$A$505,B462)=0),(COUNTIFS('أرقام التواصل'!$A$6:$A$505,"proposed_name",'أرقام التواصل'!$B$6:$B$505,A462,'أرقام التواصل'!$I$6:$I$505,"TRUE")+COUNTIFS('أرقام التواصل'!$A$6:$A$505,"proposed_name",'أرقام التواصل'!$B$6:$B$505,A462,'أرقام التواصل'!$C$6:$C$505,1))=0,AND(U462="TRUE",V462="")),"REVIEW","READY")))</f>
        <v/>
      </c>
      <c r="AC462" s="27" t="str">
        <f>IF(AB462="","",IF(AB462="READY","",IF(AB462="SKIP","Skipped by candidate_import_action",TRIM(IF(A462="","missing proposed_name_key; ","")&amp;IF(AND(A462&lt;&gt;"",COUNTIF($A$6:$A$505,A462)&gt;1),"duplicate proposed_name_key; ","")&amp;IF(C462="","missing candidate_import_action; ","")&amp;IF(D462="","missing move_reason; ","")&amp;IF(H462="","missing branch_id; ","")&amp;IF(K462="","missing first_name; ","")&amp;IF(L462="","missing last_name; ","")&amp;IF(S462="","missing status; ","")&amp;IF(AND(B462&lt;&gt;"",COUNTIF(الزبائن!$A$6:$A$505,B462)=0),"source key not found; ","")&amp;IF((COUNTIFS('أرقام التواصل'!$A$6:$A$505,"proposed_name",'أرقام التواصل'!$B$6:$B$505,A462,'أرقام التواصل'!$I$6:$I$505,"TRUE")+COUNTIFS('أرقام التواصل'!$A$6:$A$505,"proposed_name",'أرقام التواصل'!$B$6:$B$505,A462,'أرقام التواصل'!$C$6:$C$505,1))=0,"missing primary contact in أرقام التواصل; ","")&amp;IF(AND(U462="TRUE",V462=""),"duplicate_type required when duplicate_flag TRUE; ","")))))</f>
        <v/>
      </c>
    </row>
    <row r="463" spans="1:29">
      <c r="A463" s="36"/>
      <c r="B463" s="24"/>
      <c r="C463" s="25"/>
      <c r="D463" s="25"/>
      <c r="E463" s="25"/>
      <c r="F463" s="24"/>
      <c r="G463" s="25"/>
      <c r="H463" s="25"/>
      <c r="I463" s="25"/>
      <c r="J463" s="25"/>
      <c r="K463" s="25"/>
      <c r="L463" s="25"/>
      <c r="M463" s="25"/>
      <c r="N463" s="25" t="str">
        <f t="shared" si="7"/>
        <v/>
      </c>
      <c r="O463" s="25"/>
      <c r="P463" s="25"/>
      <c r="Q463" s="25"/>
      <c r="R463" s="25"/>
      <c r="S463" s="25"/>
      <c r="T463" s="25"/>
      <c r="U463" s="25"/>
      <c r="V463" s="25"/>
      <c r="W463" s="24"/>
      <c r="X463" s="24"/>
      <c r="Y463" s="25"/>
      <c r="Z463" s="25" t="str">
        <f>IF(B463="","",IFERROR(INDEX(الزبائن!$AZ$6:$AZ$505,MATCH(B463,الزبائن!$A$6:$A$505,0)),"source key not found"))</f>
        <v/>
      </c>
      <c r="AA463" s="25" t="str">
        <f>IF(B463="","",IFERROR(INDEX(الزبائن!$BA$6:$BA$505,MATCH(B463,الزبائن!$A$6:$A$505,0)),"source key not found"))</f>
        <v/>
      </c>
      <c r="AB463" s="25" t="str">
        <f>IF(AND(A463="",C463="",D463="",H463="",K463="",L463=""),"",IF(C463="skip","SKIP",IF(OR(A463="",C463="",D463="",H463="",K463="",L463="",S463="",COUNTIF($A$6:$A$505,A463)&gt;1,AND(B463&lt;&gt;"",COUNTIF(الزبائن!$A$6:$A$505,B463)=0),(COUNTIFS('أرقام التواصل'!$A$6:$A$505,"proposed_name",'أرقام التواصل'!$B$6:$B$505,A463,'أرقام التواصل'!$I$6:$I$505,"TRUE")+COUNTIFS('أرقام التواصل'!$A$6:$A$505,"proposed_name",'أرقام التواصل'!$B$6:$B$505,A463,'أرقام التواصل'!$C$6:$C$505,1))=0,AND(U463="TRUE",V463="")),"REVIEW","READY")))</f>
        <v/>
      </c>
      <c r="AC463" s="27" t="str">
        <f>IF(AB463="","",IF(AB463="READY","",IF(AB463="SKIP","Skipped by candidate_import_action",TRIM(IF(A463="","missing proposed_name_key; ","")&amp;IF(AND(A463&lt;&gt;"",COUNTIF($A$6:$A$505,A463)&gt;1),"duplicate proposed_name_key; ","")&amp;IF(C463="","missing candidate_import_action; ","")&amp;IF(D463="","missing move_reason; ","")&amp;IF(H463="","missing branch_id; ","")&amp;IF(K463="","missing first_name; ","")&amp;IF(L463="","missing last_name; ","")&amp;IF(S463="","missing status; ","")&amp;IF(AND(B463&lt;&gt;"",COUNTIF(الزبائن!$A$6:$A$505,B463)=0),"source key not found; ","")&amp;IF((COUNTIFS('أرقام التواصل'!$A$6:$A$505,"proposed_name",'أرقام التواصل'!$B$6:$B$505,A463,'أرقام التواصل'!$I$6:$I$505,"TRUE")+COUNTIFS('أرقام التواصل'!$A$6:$A$505,"proposed_name",'أرقام التواصل'!$B$6:$B$505,A463,'أرقام التواصل'!$C$6:$C$505,1))=0,"missing primary contact in أرقام التواصل; ","")&amp;IF(AND(U463="TRUE",V463=""),"duplicate_type required when duplicate_flag TRUE; ","")))))</f>
        <v/>
      </c>
    </row>
    <row r="464" spans="1:29">
      <c r="A464" s="36"/>
      <c r="B464" s="24"/>
      <c r="C464" s="25"/>
      <c r="D464" s="25"/>
      <c r="E464" s="25"/>
      <c r="F464" s="24"/>
      <c r="G464" s="25"/>
      <c r="H464" s="25"/>
      <c r="I464" s="25"/>
      <c r="J464" s="25"/>
      <c r="K464" s="25"/>
      <c r="L464" s="25"/>
      <c r="M464" s="25"/>
      <c r="N464" s="25" t="str">
        <f t="shared" si="7"/>
        <v/>
      </c>
      <c r="O464" s="25"/>
      <c r="P464" s="25"/>
      <c r="Q464" s="25"/>
      <c r="R464" s="25"/>
      <c r="S464" s="25"/>
      <c r="T464" s="25"/>
      <c r="U464" s="25"/>
      <c r="V464" s="25"/>
      <c r="W464" s="24"/>
      <c r="X464" s="24"/>
      <c r="Y464" s="25"/>
      <c r="Z464" s="25" t="str">
        <f>IF(B464="","",IFERROR(INDEX(الزبائن!$AZ$6:$AZ$505,MATCH(B464,الزبائن!$A$6:$A$505,0)),"source key not found"))</f>
        <v/>
      </c>
      <c r="AA464" s="25" t="str">
        <f>IF(B464="","",IFERROR(INDEX(الزبائن!$BA$6:$BA$505,MATCH(B464,الزبائن!$A$6:$A$505,0)),"source key not found"))</f>
        <v/>
      </c>
      <c r="AB464" s="25" t="str">
        <f>IF(AND(A464="",C464="",D464="",H464="",K464="",L464=""),"",IF(C464="skip","SKIP",IF(OR(A464="",C464="",D464="",H464="",K464="",L464="",S464="",COUNTIF($A$6:$A$505,A464)&gt;1,AND(B464&lt;&gt;"",COUNTIF(الزبائن!$A$6:$A$505,B464)=0),(COUNTIFS('أرقام التواصل'!$A$6:$A$505,"proposed_name",'أرقام التواصل'!$B$6:$B$505,A464,'أرقام التواصل'!$I$6:$I$505,"TRUE")+COUNTIFS('أرقام التواصل'!$A$6:$A$505,"proposed_name",'أرقام التواصل'!$B$6:$B$505,A464,'أرقام التواصل'!$C$6:$C$505,1))=0,AND(U464="TRUE",V464="")),"REVIEW","READY")))</f>
        <v/>
      </c>
      <c r="AC464" s="27" t="str">
        <f>IF(AB464="","",IF(AB464="READY","",IF(AB464="SKIP","Skipped by candidate_import_action",TRIM(IF(A464="","missing proposed_name_key; ","")&amp;IF(AND(A464&lt;&gt;"",COUNTIF($A$6:$A$505,A464)&gt;1),"duplicate proposed_name_key; ","")&amp;IF(C464="","missing candidate_import_action; ","")&amp;IF(D464="","missing move_reason; ","")&amp;IF(H464="","missing branch_id; ","")&amp;IF(K464="","missing first_name; ","")&amp;IF(L464="","missing last_name; ","")&amp;IF(S464="","missing status; ","")&amp;IF(AND(B464&lt;&gt;"",COUNTIF(الزبائن!$A$6:$A$505,B464)=0),"source key not found; ","")&amp;IF((COUNTIFS('أرقام التواصل'!$A$6:$A$505,"proposed_name",'أرقام التواصل'!$B$6:$B$505,A464,'أرقام التواصل'!$I$6:$I$505,"TRUE")+COUNTIFS('أرقام التواصل'!$A$6:$A$505,"proposed_name",'أرقام التواصل'!$B$6:$B$505,A464,'أرقام التواصل'!$C$6:$C$505,1))=0,"missing primary contact in أرقام التواصل; ","")&amp;IF(AND(U464="TRUE",V464=""),"duplicate_type required when duplicate_flag TRUE; ","")))))</f>
        <v/>
      </c>
    </row>
    <row r="465" spans="1:29">
      <c r="A465" s="36"/>
      <c r="B465" s="24"/>
      <c r="C465" s="25"/>
      <c r="D465" s="25"/>
      <c r="E465" s="25"/>
      <c r="F465" s="24"/>
      <c r="G465" s="25"/>
      <c r="H465" s="25"/>
      <c r="I465" s="25"/>
      <c r="J465" s="25"/>
      <c r="K465" s="25"/>
      <c r="L465" s="25"/>
      <c r="M465" s="25"/>
      <c r="N465" s="25" t="str">
        <f t="shared" si="7"/>
        <v/>
      </c>
      <c r="O465" s="25"/>
      <c r="P465" s="25"/>
      <c r="Q465" s="25"/>
      <c r="R465" s="25"/>
      <c r="S465" s="25"/>
      <c r="T465" s="25"/>
      <c r="U465" s="25"/>
      <c r="V465" s="25"/>
      <c r="W465" s="24"/>
      <c r="X465" s="24"/>
      <c r="Y465" s="25"/>
      <c r="Z465" s="25" t="str">
        <f>IF(B465="","",IFERROR(INDEX(الزبائن!$AZ$6:$AZ$505,MATCH(B465,الزبائن!$A$6:$A$505,0)),"source key not found"))</f>
        <v/>
      </c>
      <c r="AA465" s="25" t="str">
        <f>IF(B465="","",IFERROR(INDEX(الزبائن!$BA$6:$BA$505,MATCH(B465,الزبائن!$A$6:$A$505,0)),"source key not found"))</f>
        <v/>
      </c>
      <c r="AB465" s="25" t="str">
        <f>IF(AND(A465="",C465="",D465="",H465="",K465="",L465=""),"",IF(C465="skip","SKIP",IF(OR(A465="",C465="",D465="",H465="",K465="",L465="",S465="",COUNTIF($A$6:$A$505,A465)&gt;1,AND(B465&lt;&gt;"",COUNTIF(الزبائن!$A$6:$A$505,B465)=0),(COUNTIFS('أرقام التواصل'!$A$6:$A$505,"proposed_name",'أرقام التواصل'!$B$6:$B$505,A465,'أرقام التواصل'!$I$6:$I$505,"TRUE")+COUNTIFS('أرقام التواصل'!$A$6:$A$505,"proposed_name",'أرقام التواصل'!$B$6:$B$505,A465,'أرقام التواصل'!$C$6:$C$505,1))=0,AND(U465="TRUE",V465="")),"REVIEW","READY")))</f>
        <v/>
      </c>
      <c r="AC465" s="27" t="str">
        <f>IF(AB465="","",IF(AB465="READY","",IF(AB465="SKIP","Skipped by candidate_import_action",TRIM(IF(A465="","missing proposed_name_key; ","")&amp;IF(AND(A465&lt;&gt;"",COUNTIF($A$6:$A$505,A465)&gt;1),"duplicate proposed_name_key; ","")&amp;IF(C465="","missing candidate_import_action; ","")&amp;IF(D465="","missing move_reason; ","")&amp;IF(H465="","missing branch_id; ","")&amp;IF(K465="","missing first_name; ","")&amp;IF(L465="","missing last_name; ","")&amp;IF(S465="","missing status; ","")&amp;IF(AND(B465&lt;&gt;"",COUNTIF(الزبائن!$A$6:$A$505,B465)=0),"source key not found; ","")&amp;IF((COUNTIFS('أرقام التواصل'!$A$6:$A$505,"proposed_name",'أرقام التواصل'!$B$6:$B$505,A465,'أرقام التواصل'!$I$6:$I$505,"TRUE")+COUNTIFS('أرقام التواصل'!$A$6:$A$505,"proposed_name",'أرقام التواصل'!$B$6:$B$505,A465,'أرقام التواصل'!$C$6:$C$505,1))=0,"missing primary contact in أرقام التواصل; ","")&amp;IF(AND(U465="TRUE",V465=""),"duplicate_type required when duplicate_flag TRUE; ","")))))</f>
        <v/>
      </c>
    </row>
    <row r="466" spans="1:29">
      <c r="A466" s="36"/>
      <c r="B466" s="24"/>
      <c r="C466" s="25"/>
      <c r="D466" s="25"/>
      <c r="E466" s="25"/>
      <c r="F466" s="24"/>
      <c r="G466" s="25"/>
      <c r="H466" s="25"/>
      <c r="I466" s="25"/>
      <c r="J466" s="25"/>
      <c r="K466" s="25"/>
      <c r="L466" s="25"/>
      <c r="M466" s="25"/>
      <c r="N466" s="25" t="str">
        <f t="shared" si="7"/>
        <v/>
      </c>
      <c r="O466" s="25"/>
      <c r="P466" s="25"/>
      <c r="Q466" s="25"/>
      <c r="R466" s="25"/>
      <c r="S466" s="25"/>
      <c r="T466" s="25"/>
      <c r="U466" s="25"/>
      <c r="V466" s="25"/>
      <c r="W466" s="24"/>
      <c r="X466" s="24"/>
      <c r="Y466" s="25"/>
      <c r="Z466" s="25" t="str">
        <f>IF(B466="","",IFERROR(INDEX(الزبائن!$AZ$6:$AZ$505,MATCH(B466,الزبائن!$A$6:$A$505,0)),"source key not found"))</f>
        <v/>
      </c>
      <c r="AA466" s="25" t="str">
        <f>IF(B466="","",IFERROR(INDEX(الزبائن!$BA$6:$BA$505,MATCH(B466,الزبائن!$A$6:$A$505,0)),"source key not found"))</f>
        <v/>
      </c>
      <c r="AB466" s="25" t="str">
        <f>IF(AND(A466="",C466="",D466="",H466="",K466="",L466=""),"",IF(C466="skip","SKIP",IF(OR(A466="",C466="",D466="",H466="",K466="",L466="",S466="",COUNTIF($A$6:$A$505,A466)&gt;1,AND(B466&lt;&gt;"",COUNTIF(الزبائن!$A$6:$A$505,B466)=0),(COUNTIFS('أرقام التواصل'!$A$6:$A$505,"proposed_name",'أرقام التواصل'!$B$6:$B$505,A466,'أرقام التواصل'!$I$6:$I$505,"TRUE")+COUNTIFS('أرقام التواصل'!$A$6:$A$505,"proposed_name",'أرقام التواصل'!$B$6:$B$505,A466,'أرقام التواصل'!$C$6:$C$505,1))=0,AND(U466="TRUE",V466="")),"REVIEW","READY")))</f>
        <v/>
      </c>
      <c r="AC466" s="27" t="str">
        <f>IF(AB466="","",IF(AB466="READY","",IF(AB466="SKIP","Skipped by candidate_import_action",TRIM(IF(A466="","missing proposed_name_key; ","")&amp;IF(AND(A466&lt;&gt;"",COUNTIF($A$6:$A$505,A466)&gt;1),"duplicate proposed_name_key; ","")&amp;IF(C466="","missing candidate_import_action; ","")&amp;IF(D466="","missing move_reason; ","")&amp;IF(H466="","missing branch_id; ","")&amp;IF(K466="","missing first_name; ","")&amp;IF(L466="","missing last_name; ","")&amp;IF(S466="","missing status; ","")&amp;IF(AND(B466&lt;&gt;"",COUNTIF(الزبائن!$A$6:$A$505,B466)=0),"source key not found; ","")&amp;IF((COUNTIFS('أرقام التواصل'!$A$6:$A$505,"proposed_name",'أرقام التواصل'!$B$6:$B$505,A466,'أرقام التواصل'!$I$6:$I$505,"TRUE")+COUNTIFS('أرقام التواصل'!$A$6:$A$505,"proposed_name",'أرقام التواصل'!$B$6:$B$505,A466,'أرقام التواصل'!$C$6:$C$505,1))=0,"missing primary contact in أرقام التواصل; ","")&amp;IF(AND(U466="TRUE",V466=""),"duplicate_type required when duplicate_flag TRUE; ","")))))</f>
        <v/>
      </c>
    </row>
    <row r="467" spans="1:29">
      <c r="A467" s="36"/>
      <c r="B467" s="24"/>
      <c r="C467" s="25"/>
      <c r="D467" s="25"/>
      <c r="E467" s="25"/>
      <c r="F467" s="24"/>
      <c r="G467" s="25"/>
      <c r="H467" s="25"/>
      <c r="I467" s="25"/>
      <c r="J467" s="25"/>
      <c r="K467" s="25"/>
      <c r="L467" s="25"/>
      <c r="M467" s="25"/>
      <c r="N467" s="25" t="str">
        <f t="shared" si="7"/>
        <v/>
      </c>
      <c r="O467" s="25"/>
      <c r="P467" s="25"/>
      <c r="Q467" s="25"/>
      <c r="R467" s="25"/>
      <c r="S467" s="25"/>
      <c r="T467" s="25"/>
      <c r="U467" s="25"/>
      <c r="V467" s="25"/>
      <c r="W467" s="24"/>
      <c r="X467" s="24"/>
      <c r="Y467" s="25"/>
      <c r="Z467" s="25" t="str">
        <f>IF(B467="","",IFERROR(INDEX(الزبائن!$AZ$6:$AZ$505,MATCH(B467,الزبائن!$A$6:$A$505,0)),"source key not found"))</f>
        <v/>
      </c>
      <c r="AA467" s="25" t="str">
        <f>IF(B467="","",IFERROR(INDEX(الزبائن!$BA$6:$BA$505,MATCH(B467,الزبائن!$A$6:$A$505,0)),"source key not found"))</f>
        <v/>
      </c>
      <c r="AB467" s="25" t="str">
        <f>IF(AND(A467="",C467="",D467="",H467="",K467="",L467=""),"",IF(C467="skip","SKIP",IF(OR(A467="",C467="",D467="",H467="",K467="",L467="",S467="",COUNTIF($A$6:$A$505,A467)&gt;1,AND(B467&lt;&gt;"",COUNTIF(الزبائن!$A$6:$A$505,B467)=0),(COUNTIFS('أرقام التواصل'!$A$6:$A$505,"proposed_name",'أرقام التواصل'!$B$6:$B$505,A467,'أرقام التواصل'!$I$6:$I$505,"TRUE")+COUNTIFS('أرقام التواصل'!$A$6:$A$505,"proposed_name",'أرقام التواصل'!$B$6:$B$505,A467,'أرقام التواصل'!$C$6:$C$505,1))=0,AND(U467="TRUE",V467="")),"REVIEW","READY")))</f>
        <v/>
      </c>
      <c r="AC467" s="27" t="str">
        <f>IF(AB467="","",IF(AB467="READY","",IF(AB467="SKIP","Skipped by candidate_import_action",TRIM(IF(A467="","missing proposed_name_key; ","")&amp;IF(AND(A467&lt;&gt;"",COUNTIF($A$6:$A$505,A467)&gt;1),"duplicate proposed_name_key; ","")&amp;IF(C467="","missing candidate_import_action; ","")&amp;IF(D467="","missing move_reason; ","")&amp;IF(H467="","missing branch_id; ","")&amp;IF(K467="","missing first_name; ","")&amp;IF(L467="","missing last_name; ","")&amp;IF(S467="","missing status; ","")&amp;IF(AND(B467&lt;&gt;"",COUNTIF(الزبائن!$A$6:$A$505,B467)=0),"source key not found; ","")&amp;IF((COUNTIFS('أرقام التواصل'!$A$6:$A$505,"proposed_name",'أرقام التواصل'!$B$6:$B$505,A467,'أرقام التواصل'!$I$6:$I$505,"TRUE")+COUNTIFS('أرقام التواصل'!$A$6:$A$505,"proposed_name",'أرقام التواصل'!$B$6:$B$505,A467,'أرقام التواصل'!$C$6:$C$505,1))=0,"missing primary contact in أرقام التواصل; ","")&amp;IF(AND(U467="TRUE",V467=""),"duplicate_type required when duplicate_flag TRUE; ","")))))</f>
        <v/>
      </c>
    </row>
    <row r="468" spans="1:29">
      <c r="A468" s="36"/>
      <c r="B468" s="24"/>
      <c r="C468" s="25"/>
      <c r="D468" s="25"/>
      <c r="E468" s="25"/>
      <c r="F468" s="24"/>
      <c r="G468" s="25"/>
      <c r="H468" s="25"/>
      <c r="I468" s="25"/>
      <c r="J468" s="25"/>
      <c r="K468" s="25"/>
      <c r="L468" s="25"/>
      <c r="M468" s="25"/>
      <c r="N468" s="25" t="str">
        <f t="shared" si="7"/>
        <v/>
      </c>
      <c r="O468" s="25"/>
      <c r="P468" s="25"/>
      <c r="Q468" s="25"/>
      <c r="R468" s="25"/>
      <c r="S468" s="25"/>
      <c r="T468" s="25"/>
      <c r="U468" s="25"/>
      <c r="V468" s="25"/>
      <c r="W468" s="24"/>
      <c r="X468" s="24"/>
      <c r="Y468" s="25"/>
      <c r="Z468" s="25" t="str">
        <f>IF(B468="","",IFERROR(INDEX(الزبائن!$AZ$6:$AZ$505,MATCH(B468,الزبائن!$A$6:$A$505,0)),"source key not found"))</f>
        <v/>
      </c>
      <c r="AA468" s="25" t="str">
        <f>IF(B468="","",IFERROR(INDEX(الزبائن!$BA$6:$BA$505,MATCH(B468,الزبائن!$A$6:$A$505,0)),"source key not found"))</f>
        <v/>
      </c>
      <c r="AB468" s="25" t="str">
        <f>IF(AND(A468="",C468="",D468="",H468="",K468="",L468=""),"",IF(C468="skip","SKIP",IF(OR(A468="",C468="",D468="",H468="",K468="",L468="",S468="",COUNTIF($A$6:$A$505,A468)&gt;1,AND(B468&lt;&gt;"",COUNTIF(الزبائن!$A$6:$A$505,B468)=0),(COUNTIFS('أرقام التواصل'!$A$6:$A$505,"proposed_name",'أرقام التواصل'!$B$6:$B$505,A468,'أرقام التواصل'!$I$6:$I$505,"TRUE")+COUNTIFS('أرقام التواصل'!$A$6:$A$505,"proposed_name",'أرقام التواصل'!$B$6:$B$505,A468,'أرقام التواصل'!$C$6:$C$505,1))=0,AND(U468="TRUE",V468="")),"REVIEW","READY")))</f>
        <v/>
      </c>
      <c r="AC468" s="27" t="str">
        <f>IF(AB468="","",IF(AB468="READY","",IF(AB468="SKIP","Skipped by candidate_import_action",TRIM(IF(A468="","missing proposed_name_key; ","")&amp;IF(AND(A468&lt;&gt;"",COUNTIF($A$6:$A$505,A468)&gt;1),"duplicate proposed_name_key; ","")&amp;IF(C468="","missing candidate_import_action; ","")&amp;IF(D468="","missing move_reason; ","")&amp;IF(H468="","missing branch_id; ","")&amp;IF(K468="","missing first_name; ","")&amp;IF(L468="","missing last_name; ","")&amp;IF(S468="","missing status; ","")&amp;IF(AND(B468&lt;&gt;"",COUNTIF(الزبائن!$A$6:$A$505,B468)=0),"source key not found; ","")&amp;IF((COUNTIFS('أرقام التواصل'!$A$6:$A$505,"proposed_name",'أرقام التواصل'!$B$6:$B$505,A468,'أرقام التواصل'!$I$6:$I$505,"TRUE")+COUNTIFS('أرقام التواصل'!$A$6:$A$505,"proposed_name",'أرقام التواصل'!$B$6:$B$505,A468,'أرقام التواصل'!$C$6:$C$505,1))=0,"missing primary contact in أرقام التواصل; ","")&amp;IF(AND(U468="TRUE",V468=""),"duplicate_type required when duplicate_flag TRUE; ","")))))</f>
        <v/>
      </c>
    </row>
    <row r="469" spans="1:29">
      <c r="A469" s="36"/>
      <c r="B469" s="24"/>
      <c r="C469" s="25"/>
      <c r="D469" s="25"/>
      <c r="E469" s="25"/>
      <c r="F469" s="24"/>
      <c r="G469" s="25"/>
      <c r="H469" s="25"/>
      <c r="I469" s="25"/>
      <c r="J469" s="25"/>
      <c r="K469" s="25"/>
      <c r="L469" s="25"/>
      <c r="M469" s="25"/>
      <c r="N469" s="25" t="str">
        <f t="shared" si="7"/>
        <v/>
      </c>
      <c r="O469" s="25"/>
      <c r="P469" s="25"/>
      <c r="Q469" s="25"/>
      <c r="R469" s="25"/>
      <c r="S469" s="25"/>
      <c r="T469" s="25"/>
      <c r="U469" s="25"/>
      <c r="V469" s="25"/>
      <c r="W469" s="24"/>
      <c r="X469" s="24"/>
      <c r="Y469" s="25"/>
      <c r="Z469" s="25" t="str">
        <f>IF(B469="","",IFERROR(INDEX(الزبائن!$AZ$6:$AZ$505,MATCH(B469,الزبائن!$A$6:$A$505,0)),"source key not found"))</f>
        <v/>
      </c>
      <c r="AA469" s="25" t="str">
        <f>IF(B469="","",IFERROR(INDEX(الزبائن!$BA$6:$BA$505,MATCH(B469,الزبائن!$A$6:$A$505,0)),"source key not found"))</f>
        <v/>
      </c>
      <c r="AB469" s="25" t="str">
        <f>IF(AND(A469="",C469="",D469="",H469="",K469="",L469=""),"",IF(C469="skip","SKIP",IF(OR(A469="",C469="",D469="",H469="",K469="",L469="",S469="",COUNTIF($A$6:$A$505,A469)&gt;1,AND(B469&lt;&gt;"",COUNTIF(الزبائن!$A$6:$A$505,B469)=0),(COUNTIFS('أرقام التواصل'!$A$6:$A$505,"proposed_name",'أرقام التواصل'!$B$6:$B$505,A469,'أرقام التواصل'!$I$6:$I$505,"TRUE")+COUNTIFS('أرقام التواصل'!$A$6:$A$505,"proposed_name",'أرقام التواصل'!$B$6:$B$505,A469,'أرقام التواصل'!$C$6:$C$505,1))=0,AND(U469="TRUE",V469="")),"REVIEW","READY")))</f>
        <v/>
      </c>
      <c r="AC469" s="27" t="str">
        <f>IF(AB469="","",IF(AB469="READY","",IF(AB469="SKIP","Skipped by candidate_import_action",TRIM(IF(A469="","missing proposed_name_key; ","")&amp;IF(AND(A469&lt;&gt;"",COUNTIF($A$6:$A$505,A469)&gt;1),"duplicate proposed_name_key; ","")&amp;IF(C469="","missing candidate_import_action; ","")&amp;IF(D469="","missing move_reason; ","")&amp;IF(H469="","missing branch_id; ","")&amp;IF(K469="","missing first_name; ","")&amp;IF(L469="","missing last_name; ","")&amp;IF(S469="","missing status; ","")&amp;IF(AND(B469&lt;&gt;"",COUNTIF(الزبائن!$A$6:$A$505,B469)=0),"source key not found; ","")&amp;IF((COUNTIFS('أرقام التواصل'!$A$6:$A$505,"proposed_name",'أرقام التواصل'!$B$6:$B$505,A469,'أرقام التواصل'!$I$6:$I$505,"TRUE")+COUNTIFS('أرقام التواصل'!$A$6:$A$505,"proposed_name",'أرقام التواصل'!$B$6:$B$505,A469,'أرقام التواصل'!$C$6:$C$505,1))=0,"missing primary contact in أرقام التواصل; ","")&amp;IF(AND(U469="TRUE",V469=""),"duplicate_type required when duplicate_flag TRUE; ","")))))</f>
        <v/>
      </c>
    </row>
    <row r="470" spans="1:29">
      <c r="A470" s="36"/>
      <c r="B470" s="24"/>
      <c r="C470" s="25"/>
      <c r="D470" s="25"/>
      <c r="E470" s="25"/>
      <c r="F470" s="24"/>
      <c r="G470" s="25"/>
      <c r="H470" s="25"/>
      <c r="I470" s="25"/>
      <c r="J470" s="25"/>
      <c r="K470" s="25"/>
      <c r="L470" s="25"/>
      <c r="M470" s="25"/>
      <c r="N470" s="25" t="str">
        <f t="shared" si="7"/>
        <v/>
      </c>
      <c r="O470" s="25"/>
      <c r="P470" s="25"/>
      <c r="Q470" s="25"/>
      <c r="R470" s="25"/>
      <c r="S470" s="25"/>
      <c r="T470" s="25"/>
      <c r="U470" s="25"/>
      <c r="V470" s="25"/>
      <c r="W470" s="24"/>
      <c r="X470" s="24"/>
      <c r="Y470" s="25"/>
      <c r="Z470" s="25" t="str">
        <f>IF(B470="","",IFERROR(INDEX(الزبائن!$AZ$6:$AZ$505,MATCH(B470,الزبائن!$A$6:$A$505,0)),"source key not found"))</f>
        <v/>
      </c>
      <c r="AA470" s="25" t="str">
        <f>IF(B470="","",IFERROR(INDEX(الزبائن!$BA$6:$BA$505,MATCH(B470,الزبائن!$A$6:$A$505,0)),"source key not found"))</f>
        <v/>
      </c>
      <c r="AB470" s="25" t="str">
        <f>IF(AND(A470="",C470="",D470="",H470="",K470="",L470=""),"",IF(C470="skip","SKIP",IF(OR(A470="",C470="",D470="",H470="",K470="",L470="",S470="",COUNTIF($A$6:$A$505,A470)&gt;1,AND(B470&lt;&gt;"",COUNTIF(الزبائن!$A$6:$A$505,B470)=0),(COUNTIFS('أرقام التواصل'!$A$6:$A$505,"proposed_name",'أرقام التواصل'!$B$6:$B$505,A470,'أرقام التواصل'!$I$6:$I$505,"TRUE")+COUNTIFS('أرقام التواصل'!$A$6:$A$505,"proposed_name",'أرقام التواصل'!$B$6:$B$505,A470,'أرقام التواصل'!$C$6:$C$505,1))=0,AND(U470="TRUE",V470="")),"REVIEW","READY")))</f>
        <v/>
      </c>
      <c r="AC470" s="27" t="str">
        <f>IF(AB470="","",IF(AB470="READY","",IF(AB470="SKIP","Skipped by candidate_import_action",TRIM(IF(A470="","missing proposed_name_key; ","")&amp;IF(AND(A470&lt;&gt;"",COUNTIF($A$6:$A$505,A470)&gt;1),"duplicate proposed_name_key; ","")&amp;IF(C470="","missing candidate_import_action; ","")&amp;IF(D470="","missing move_reason; ","")&amp;IF(H470="","missing branch_id; ","")&amp;IF(K470="","missing first_name; ","")&amp;IF(L470="","missing last_name; ","")&amp;IF(S470="","missing status; ","")&amp;IF(AND(B470&lt;&gt;"",COUNTIF(الزبائن!$A$6:$A$505,B470)=0),"source key not found; ","")&amp;IF((COUNTIFS('أرقام التواصل'!$A$6:$A$505,"proposed_name",'أرقام التواصل'!$B$6:$B$505,A470,'أرقام التواصل'!$I$6:$I$505,"TRUE")+COUNTIFS('أرقام التواصل'!$A$6:$A$505,"proposed_name",'أرقام التواصل'!$B$6:$B$505,A470,'أرقام التواصل'!$C$6:$C$505,1))=0,"missing primary contact in أرقام التواصل; ","")&amp;IF(AND(U470="TRUE",V470=""),"duplicate_type required when duplicate_flag TRUE; ","")))))</f>
        <v/>
      </c>
    </row>
    <row r="471" spans="1:29">
      <c r="A471" s="36"/>
      <c r="B471" s="24"/>
      <c r="C471" s="25"/>
      <c r="D471" s="25"/>
      <c r="E471" s="25"/>
      <c r="F471" s="24"/>
      <c r="G471" s="25"/>
      <c r="H471" s="25"/>
      <c r="I471" s="25"/>
      <c r="J471" s="25"/>
      <c r="K471" s="25"/>
      <c r="L471" s="25"/>
      <c r="M471" s="25"/>
      <c r="N471" s="25" t="str">
        <f t="shared" si="7"/>
        <v/>
      </c>
      <c r="O471" s="25"/>
      <c r="P471" s="25"/>
      <c r="Q471" s="25"/>
      <c r="R471" s="25"/>
      <c r="S471" s="25"/>
      <c r="T471" s="25"/>
      <c r="U471" s="25"/>
      <c r="V471" s="25"/>
      <c r="W471" s="24"/>
      <c r="X471" s="24"/>
      <c r="Y471" s="25"/>
      <c r="Z471" s="25" t="str">
        <f>IF(B471="","",IFERROR(INDEX(الزبائن!$AZ$6:$AZ$505,MATCH(B471,الزبائن!$A$6:$A$505,0)),"source key not found"))</f>
        <v/>
      </c>
      <c r="AA471" s="25" t="str">
        <f>IF(B471="","",IFERROR(INDEX(الزبائن!$BA$6:$BA$505,MATCH(B471,الزبائن!$A$6:$A$505,0)),"source key not found"))</f>
        <v/>
      </c>
      <c r="AB471" s="25" t="str">
        <f>IF(AND(A471="",C471="",D471="",H471="",K471="",L471=""),"",IF(C471="skip","SKIP",IF(OR(A471="",C471="",D471="",H471="",K471="",L471="",S471="",COUNTIF($A$6:$A$505,A471)&gt;1,AND(B471&lt;&gt;"",COUNTIF(الزبائن!$A$6:$A$505,B471)=0),(COUNTIFS('أرقام التواصل'!$A$6:$A$505,"proposed_name",'أرقام التواصل'!$B$6:$B$505,A471,'أرقام التواصل'!$I$6:$I$505,"TRUE")+COUNTIFS('أرقام التواصل'!$A$6:$A$505,"proposed_name",'أرقام التواصل'!$B$6:$B$505,A471,'أرقام التواصل'!$C$6:$C$505,1))=0,AND(U471="TRUE",V471="")),"REVIEW","READY")))</f>
        <v/>
      </c>
      <c r="AC471" s="27" t="str">
        <f>IF(AB471="","",IF(AB471="READY","",IF(AB471="SKIP","Skipped by candidate_import_action",TRIM(IF(A471="","missing proposed_name_key; ","")&amp;IF(AND(A471&lt;&gt;"",COUNTIF($A$6:$A$505,A471)&gt;1),"duplicate proposed_name_key; ","")&amp;IF(C471="","missing candidate_import_action; ","")&amp;IF(D471="","missing move_reason; ","")&amp;IF(H471="","missing branch_id; ","")&amp;IF(K471="","missing first_name; ","")&amp;IF(L471="","missing last_name; ","")&amp;IF(S471="","missing status; ","")&amp;IF(AND(B471&lt;&gt;"",COUNTIF(الزبائن!$A$6:$A$505,B471)=0),"source key not found; ","")&amp;IF((COUNTIFS('أرقام التواصل'!$A$6:$A$505,"proposed_name",'أرقام التواصل'!$B$6:$B$505,A471,'أرقام التواصل'!$I$6:$I$505,"TRUE")+COUNTIFS('أرقام التواصل'!$A$6:$A$505,"proposed_name",'أرقام التواصل'!$B$6:$B$505,A471,'أرقام التواصل'!$C$6:$C$505,1))=0,"missing primary contact in أرقام التواصل; ","")&amp;IF(AND(U471="TRUE",V471=""),"duplicate_type required when duplicate_flag TRUE; ","")))))</f>
        <v/>
      </c>
    </row>
    <row r="472" spans="1:29">
      <c r="A472" s="36"/>
      <c r="B472" s="24"/>
      <c r="C472" s="25"/>
      <c r="D472" s="25"/>
      <c r="E472" s="25"/>
      <c r="F472" s="24"/>
      <c r="G472" s="25"/>
      <c r="H472" s="25"/>
      <c r="I472" s="25"/>
      <c r="J472" s="25"/>
      <c r="K472" s="25"/>
      <c r="L472" s="25"/>
      <c r="M472" s="25"/>
      <c r="N472" s="25" t="str">
        <f t="shared" si="7"/>
        <v/>
      </c>
      <c r="O472" s="25"/>
      <c r="P472" s="25"/>
      <c r="Q472" s="25"/>
      <c r="R472" s="25"/>
      <c r="S472" s="25"/>
      <c r="T472" s="25"/>
      <c r="U472" s="25"/>
      <c r="V472" s="25"/>
      <c r="W472" s="24"/>
      <c r="X472" s="24"/>
      <c r="Y472" s="25"/>
      <c r="Z472" s="25" t="str">
        <f>IF(B472="","",IFERROR(INDEX(الزبائن!$AZ$6:$AZ$505,MATCH(B472,الزبائن!$A$6:$A$505,0)),"source key not found"))</f>
        <v/>
      </c>
      <c r="AA472" s="25" t="str">
        <f>IF(B472="","",IFERROR(INDEX(الزبائن!$BA$6:$BA$505,MATCH(B472,الزبائن!$A$6:$A$505,0)),"source key not found"))</f>
        <v/>
      </c>
      <c r="AB472" s="25" t="str">
        <f>IF(AND(A472="",C472="",D472="",H472="",K472="",L472=""),"",IF(C472="skip","SKIP",IF(OR(A472="",C472="",D472="",H472="",K472="",L472="",S472="",COUNTIF($A$6:$A$505,A472)&gt;1,AND(B472&lt;&gt;"",COUNTIF(الزبائن!$A$6:$A$505,B472)=0),(COUNTIFS('أرقام التواصل'!$A$6:$A$505,"proposed_name",'أرقام التواصل'!$B$6:$B$505,A472,'أرقام التواصل'!$I$6:$I$505,"TRUE")+COUNTIFS('أرقام التواصل'!$A$6:$A$505,"proposed_name",'أرقام التواصل'!$B$6:$B$505,A472,'أرقام التواصل'!$C$6:$C$505,1))=0,AND(U472="TRUE",V472="")),"REVIEW","READY")))</f>
        <v/>
      </c>
      <c r="AC472" s="27" t="str">
        <f>IF(AB472="","",IF(AB472="READY","",IF(AB472="SKIP","Skipped by candidate_import_action",TRIM(IF(A472="","missing proposed_name_key; ","")&amp;IF(AND(A472&lt;&gt;"",COUNTIF($A$6:$A$505,A472)&gt;1),"duplicate proposed_name_key; ","")&amp;IF(C472="","missing candidate_import_action; ","")&amp;IF(D472="","missing move_reason; ","")&amp;IF(H472="","missing branch_id; ","")&amp;IF(K472="","missing first_name; ","")&amp;IF(L472="","missing last_name; ","")&amp;IF(S472="","missing status; ","")&amp;IF(AND(B472&lt;&gt;"",COUNTIF(الزبائن!$A$6:$A$505,B472)=0),"source key not found; ","")&amp;IF((COUNTIFS('أرقام التواصل'!$A$6:$A$505,"proposed_name",'أرقام التواصل'!$B$6:$B$505,A472,'أرقام التواصل'!$I$6:$I$505,"TRUE")+COUNTIFS('أرقام التواصل'!$A$6:$A$505,"proposed_name",'أرقام التواصل'!$B$6:$B$505,A472,'أرقام التواصل'!$C$6:$C$505,1))=0,"missing primary contact in أرقام التواصل; ","")&amp;IF(AND(U472="TRUE",V472=""),"duplicate_type required when duplicate_flag TRUE; ","")))))</f>
        <v/>
      </c>
    </row>
    <row r="473" spans="1:29">
      <c r="A473" s="36"/>
      <c r="B473" s="24"/>
      <c r="C473" s="25"/>
      <c r="D473" s="25"/>
      <c r="E473" s="25"/>
      <c r="F473" s="24"/>
      <c r="G473" s="25"/>
      <c r="H473" s="25"/>
      <c r="I473" s="25"/>
      <c r="J473" s="25"/>
      <c r="K473" s="25"/>
      <c r="L473" s="25"/>
      <c r="M473" s="25"/>
      <c r="N473" s="25" t="str">
        <f t="shared" si="7"/>
        <v/>
      </c>
      <c r="O473" s="25"/>
      <c r="P473" s="25"/>
      <c r="Q473" s="25"/>
      <c r="R473" s="25"/>
      <c r="S473" s="25"/>
      <c r="T473" s="25"/>
      <c r="U473" s="25"/>
      <c r="V473" s="25"/>
      <c r="W473" s="24"/>
      <c r="X473" s="24"/>
      <c r="Y473" s="25"/>
      <c r="Z473" s="25" t="str">
        <f>IF(B473="","",IFERROR(INDEX(الزبائن!$AZ$6:$AZ$505,MATCH(B473,الزبائن!$A$6:$A$505,0)),"source key not found"))</f>
        <v/>
      </c>
      <c r="AA473" s="25" t="str">
        <f>IF(B473="","",IFERROR(INDEX(الزبائن!$BA$6:$BA$505,MATCH(B473,الزبائن!$A$6:$A$505,0)),"source key not found"))</f>
        <v/>
      </c>
      <c r="AB473" s="25" t="str">
        <f>IF(AND(A473="",C473="",D473="",H473="",K473="",L473=""),"",IF(C473="skip","SKIP",IF(OR(A473="",C473="",D473="",H473="",K473="",L473="",S473="",COUNTIF($A$6:$A$505,A473)&gt;1,AND(B473&lt;&gt;"",COUNTIF(الزبائن!$A$6:$A$505,B473)=0),(COUNTIFS('أرقام التواصل'!$A$6:$A$505,"proposed_name",'أرقام التواصل'!$B$6:$B$505,A473,'أرقام التواصل'!$I$6:$I$505,"TRUE")+COUNTIFS('أرقام التواصل'!$A$6:$A$505,"proposed_name",'أرقام التواصل'!$B$6:$B$505,A473,'أرقام التواصل'!$C$6:$C$505,1))=0,AND(U473="TRUE",V473="")),"REVIEW","READY")))</f>
        <v/>
      </c>
      <c r="AC473" s="27" t="str">
        <f>IF(AB473="","",IF(AB473="READY","",IF(AB473="SKIP","Skipped by candidate_import_action",TRIM(IF(A473="","missing proposed_name_key; ","")&amp;IF(AND(A473&lt;&gt;"",COUNTIF($A$6:$A$505,A473)&gt;1),"duplicate proposed_name_key; ","")&amp;IF(C473="","missing candidate_import_action; ","")&amp;IF(D473="","missing move_reason; ","")&amp;IF(H473="","missing branch_id; ","")&amp;IF(K473="","missing first_name; ","")&amp;IF(L473="","missing last_name; ","")&amp;IF(S473="","missing status; ","")&amp;IF(AND(B473&lt;&gt;"",COUNTIF(الزبائن!$A$6:$A$505,B473)=0),"source key not found; ","")&amp;IF((COUNTIFS('أرقام التواصل'!$A$6:$A$505,"proposed_name",'أرقام التواصل'!$B$6:$B$505,A473,'أرقام التواصل'!$I$6:$I$505,"TRUE")+COUNTIFS('أرقام التواصل'!$A$6:$A$505,"proposed_name",'أرقام التواصل'!$B$6:$B$505,A473,'أرقام التواصل'!$C$6:$C$505,1))=0,"missing primary contact in أرقام التواصل; ","")&amp;IF(AND(U473="TRUE",V473=""),"duplicate_type required when duplicate_flag TRUE; ","")))))</f>
        <v/>
      </c>
    </row>
    <row r="474" spans="1:29">
      <c r="A474" s="36"/>
      <c r="B474" s="24"/>
      <c r="C474" s="25"/>
      <c r="D474" s="25"/>
      <c r="E474" s="25"/>
      <c r="F474" s="24"/>
      <c r="G474" s="25"/>
      <c r="H474" s="25"/>
      <c r="I474" s="25"/>
      <c r="J474" s="25"/>
      <c r="K474" s="25"/>
      <c r="L474" s="25"/>
      <c r="M474" s="25"/>
      <c r="N474" s="25" t="str">
        <f t="shared" si="7"/>
        <v/>
      </c>
      <c r="O474" s="25"/>
      <c r="P474" s="25"/>
      <c r="Q474" s="25"/>
      <c r="R474" s="25"/>
      <c r="S474" s="25"/>
      <c r="T474" s="25"/>
      <c r="U474" s="25"/>
      <c r="V474" s="25"/>
      <c r="W474" s="24"/>
      <c r="X474" s="24"/>
      <c r="Y474" s="25"/>
      <c r="Z474" s="25" t="str">
        <f>IF(B474="","",IFERROR(INDEX(الزبائن!$AZ$6:$AZ$505,MATCH(B474,الزبائن!$A$6:$A$505,0)),"source key not found"))</f>
        <v/>
      </c>
      <c r="AA474" s="25" t="str">
        <f>IF(B474="","",IFERROR(INDEX(الزبائن!$BA$6:$BA$505,MATCH(B474,الزبائن!$A$6:$A$505,0)),"source key not found"))</f>
        <v/>
      </c>
      <c r="AB474" s="25" t="str">
        <f>IF(AND(A474="",C474="",D474="",H474="",K474="",L474=""),"",IF(C474="skip","SKIP",IF(OR(A474="",C474="",D474="",H474="",K474="",L474="",S474="",COUNTIF($A$6:$A$505,A474)&gt;1,AND(B474&lt;&gt;"",COUNTIF(الزبائن!$A$6:$A$505,B474)=0),(COUNTIFS('أرقام التواصل'!$A$6:$A$505,"proposed_name",'أرقام التواصل'!$B$6:$B$505,A474,'أرقام التواصل'!$I$6:$I$505,"TRUE")+COUNTIFS('أرقام التواصل'!$A$6:$A$505,"proposed_name",'أرقام التواصل'!$B$6:$B$505,A474,'أرقام التواصل'!$C$6:$C$505,1))=0,AND(U474="TRUE",V474="")),"REVIEW","READY")))</f>
        <v/>
      </c>
      <c r="AC474" s="27" t="str">
        <f>IF(AB474="","",IF(AB474="READY","",IF(AB474="SKIP","Skipped by candidate_import_action",TRIM(IF(A474="","missing proposed_name_key; ","")&amp;IF(AND(A474&lt;&gt;"",COUNTIF($A$6:$A$505,A474)&gt;1),"duplicate proposed_name_key; ","")&amp;IF(C474="","missing candidate_import_action; ","")&amp;IF(D474="","missing move_reason; ","")&amp;IF(H474="","missing branch_id; ","")&amp;IF(K474="","missing first_name; ","")&amp;IF(L474="","missing last_name; ","")&amp;IF(S474="","missing status; ","")&amp;IF(AND(B474&lt;&gt;"",COUNTIF(الزبائن!$A$6:$A$505,B474)=0),"source key not found; ","")&amp;IF((COUNTIFS('أرقام التواصل'!$A$6:$A$505,"proposed_name",'أرقام التواصل'!$B$6:$B$505,A474,'أرقام التواصل'!$I$6:$I$505,"TRUE")+COUNTIFS('أرقام التواصل'!$A$6:$A$505,"proposed_name",'أرقام التواصل'!$B$6:$B$505,A474,'أرقام التواصل'!$C$6:$C$505,1))=0,"missing primary contact in أرقام التواصل; ","")&amp;IF(AND(U474="TRUE",V474=""),"duplicate_type required when duplicate_flag TRUE; ","")))))</f>
        <v/>
      </c>
    </row>
    <row r="475" spans="1:29">
      <c r="A475" s="36"/>
      <c r="B475" s="24"/>
      <c r="C475" s="25"/>
      <c r="D475" s="25"/>
      <c r="E475" s="25"/>
      <c r="F475" s="24"/>
      <c r="G475" s="25"/>
      <c r="H475" s="25"/>
      <c r="I475" s="25"/>
      <c r="J475" s="25"/>
      <c r="K475" s="25"/>
      <c r="L475" s="25"/>
      <c r="M475" s="25"/>
      <c r="N475" s="25" t="str">
        <f t="shared" si="7"/>
        <v/>
      </c>
      <c r="O475" s="25"/>
      <c r="P475" s="25"/>
      <c r="Q475" s="25"/>
      <c r="R475" s="25"/>
      <c r="S475" s="25"/>
      <c r="T475" s="25"/>
      <c r="U475" s="25"/>
      <c r="V475" s="25"/>
      <c r="W475" s="24"/>
      <c r="X475" s="24"/>
      <c r="Y475" s="25"/>
      <c r="Z475" s="25" t="str">
        <f>IF(B475="","",IFERROR(INDEX(الزبائن!$AZ$6:$AZ$505,MATCH(B475,الزبائن!$A$6:$A$505,0)),"source key not found"))</f>
        <v/>
      </c>
      <c r="AA475" s="25" t="str">
        <f>IF(B475="","",IFERROR(INDEX(الزبائن!$BA$6:$BA$505,MATCH(B475,الزبائن!$A$6:$A$505,0)),"source key not found"))</f>
        <v/>
      </c>
      <c r="AB475" s="25" t="str">
        <f>IF(AND(A475="",C475="",D475="",H475="",K475="",L475=""),"",IF(C475="skip","SKIP",IF(OR(A475="",C475="",D475="",H475="",K475="",L475="",S475="",COUNTIF($A$6:$A$505,A475)&gt;1,AND(B475&lt;&gt;"",COUNTIF(الزبائن!$A$6:$A$505,B475)=0),(COUNTIFS('أرقام التواصل'!$A$6:$A$505,"proposed_name",'أرقام التواصل'!$B$6:$B$505,A475,'أرقام التواصل'!$I$6:$I$505,"TRUE")+COUNTIFS('أرقام التواصل'!$A$6:$A$505,"proposed_name",'أرقام التواصل'!$B$6:$B$505,A475,'أرقام التواصل'!$C$6:$C$505,1))=0,AND(U475="TRUE",V475="")),"REVIEW","READY")))</f>
        <v/>
      </c>
      <c r="AC475" s="27" t="str">
        <f>IF(AB475="","",IF(AB475="READY","",IF(AB475="SKIP","Skipped by candidate_import_action",TRIM(IF(A475="","missing proposed_name_key; ","")&amp;IF(AND(A475&lt;&gt;"",COUNTIF($A$6:$A$505,A475)&gt;1),"duplicate proposed_name_key; ","")&amp;IF(C475="","missing candidate_import_action; ","")&amp;IF(D475="","missing move_reason; ","")&amp;IF(H475="","missing branch_id; ","")&amp;IF(K475="","missing first_name; ","")&amp;IF(L475="","missing last_name; ","")&amp;IF(S475="","missing status; ","")&amp;IF(AND(B475&lt;&gt;"",COUNTIF(الزبائن!$A$6:$A$505,B475)=0),"source key not found; ","")&amp;IF((COUNTIFS('أرقام التواصل'!$A$6:$A$505,"proposed_name",'أرقام التواصل'!$B$6:$B$505,A475,'أرقام التواصل'!$I$6:$I$505,"TRUE")+COUNTIFS('أرقام التواصل'!$A$6:$A$505,"proposed_name",'أرقام التواصل'!$B$6:$B$505,A475,'أرقام التواصل'!$C$6:$C$505,1))=0,"missing primary contact in أرقام التواصل; ","")&amp;IF(AND(U475="TRUE",V475=""),"duplicate_type required when duplicate_flag TRUE; ","")))))</f>
        <v/>
      </c>
    </row>
    <row r="476" spans="1:29">
      <c r="A476" s="36"/>
      <c r="B476" s="24"/>
      <c r="C476" s="25"/>
      <c r="D476" s="25"/>
      <c r="E476" s="25"/>
      <c r="F476" s="24"/>
      <c r="G476" s="25"/>
      <c r="H476" s="25"/>
      <c r="I476" s="25"/>
      <c r="J476" s="25"/>
      <c r="K476" s="25"/>
      <c r="L476" s="25"/>
      <c r="M476" s="25"/>
      <c r="N476" s="25" t="str">
        <f t="shared" si="7"/>
        <v/>
      </c>
      <c r="O476" s="25"/>
      <c r="P476" s="25"/>
      <c r="Q476" s="25"/>
      <c r="R476" s="25"/>
      <c r="S476" s="25"/>
      <c r="T476" s="25"/>
      <c r="U476" s="25"/>
      <c r="V476" s="25"/>
      <c r="W476" s="24"/>
      <c r="X476" s="24"/>
      <c r="Y476" s="25"/>
      <c r="Z476" s="25" t="str">
        <f>IF(B476="","",IFERROR(INDEX(الزبائن!$AZ$6:$AZ$505,MATCH(B476,الزبائن!$A$6:$A$505,0)),"source key not found"))</f>
        <v/>
      </c>
      <c r="AA476" s="25" t="str">
        <f>IF(B476="","",IFERROR(INDEX(الزبائن!$BA$6:$BA$505,MATCH(B476,الزبائن!$A$6:$A$505,0)),"source key not found"))</f>
        <v/>
      </c>
      <c r="AB476" s="25" t="str">
        <f>IF(AND(A476="",C476="",D476="",H476="",K476="",L476=""),"",IF(C476="skip","SKIP",IF(OR(A476="",C476="",D476="",H476="",K476="",L476="",S476="",COUNTIF($A$6:$A$505,A476)&gt;1,AND(B476&lt;&gt;"",COUNTIF(الزبائن!$A$6:$A$505,B476)=0),(COUNTIFS('أرقام التواصل'!$A$6:$A$505,"proposed_name",'أرقام التواصل'!$B$6:$B$505,A476,'أرقام التواصل'!$I$6:$I$505,"TRUE")+COUNTIFS('أرقام التواصل'!$A$6:$A$505,"proposed_name",'أرقام التواصل'!$B$6:$B$505,A476,'أرقام التواصل'!$C$6:$C$505,1))=0,AND(U476="TRUE",V476="")),"REVIEW","READY")))</f>
        <v/>
      </c>
      <c r="AC476" s="27" t="str">
        <f>IF(AB476="","",IF(AB476="READY","",IF(AB476="SKIP","Skipped by candidate_import_action",TRIM(IF(A476="","missing proposed_name_key; ","")&amp;IF(AND(A476&lt;&gt;"",COUNTIF($A$6:$A$505,A476)&gt;1),"duplicate proposed_name_key; ","")&amp;IF(C476="","missing candidate_import_action; ","")&amp;IF(D476="","missing move_reason; ","")&amp;IF(H476="","missing branch_id; ","")&amp;IF(K476="","missing first_name; ","")&amp;IF(L476="","missing last_name; ","")&amp;IF(S476="","missing status; ","")&amp;IF(AND(B476&lt;&gt;"",COUNTIF(الزبائن!$A$6:$A$505,B476)=0),"source key not found; ","")&amp;IF((COUNTIFS('أرقام التواصل'!$A$6:$A$505,"proposed_name",'أرقام التواصل'!$B$6:$B$505,A476,'أرقام التواصل'!$I$6:$I$505,"TRUE")+COUNTIFS('أرقام التواصل'!$A$6:$A$505,"proposed_name",'أرقام التواصل'!$B$6:$B$505,A476,'أرقام التواصل'!$C$6:$C$505,1))=0,"missing primary contact in أرقام التواصل; ","")&amp;IF(AND(U476="TRUE",V476=""),"duplicate_type required when duplicate_flag TRUE; ","")))))</f>
        <v/>
      </c>
    </row>
    <row r="477" spans="1:29">
      <c r="A477" s="36"/>
      <c r="B477" s="24"/>
      <c r="C477" s="25"/>
      <c r="D477" s="25"/>
      <c r="E477" s="25"/>
      <c r="F477" s="24"/>
      <c r="G477" s="25"/>
      <c r="H477" s="25"/>
      <c r="I477" s="25"/>
      <c r="J477" s="25"/>
      <c r="K477" s="25"/>
      <c r="L477" s="25"/>
      <c r="M477" s="25"/>
      <c r="N477" s="25" t="str">
        <f t="shared" si="7"/>
        <v/>
      </c>
      <c r="O477" s="25"/>
      <c r="P477" s="25"/>
      <c r="Q477" s="25"/>
      <c r="R477" s="25"/>
      <c r="S477" s="25"/>
      <c r="T477" s="25"/>
      <c r="U477" s="25"/>
      <c r="V477" s="25"/>
      <c r="W477" s="24"/>
      <c r="X477" s="24"/>
      <c r="Y477" s="25"/>
      <c r="Z477" s="25" t="str">
        <f>IF(B477="","",IFERROR(INDEX(الزبائن!$AZ$6:$AZ$505,MATCH(B477,الزبائن!$A$6:$A$505,0)),"source key not found"))</f>
        <v/>
      </c>
      <c r="AA477" s="25" t="str">
        <f>IF(B477="","",IFERROR(INDEX(الزبائن!$BA$6:$BA$505,MATCH(B477,الزبائن!$A$6:$A$505,0)),"source key not found"))</f>
        <v/>
      </c>
      <c r="AB477" s="25" t="str">
        <f>IF(AND(A477="",C477="",D477="",H477="",K477="",L477=""),"",IF(C477="skip","SKIP",IF(OR(A477="",C477="",D477="",H477="",K477="",L477="",S477="",COUNTIF($A$6:$A$505,A477)&gt;1,AND(B477&lt;&gt;"",COUNTIF(الزبائن!$A$6:$A$505,B477)=0),(COUNTIFS('أرقام التواصل'!$A$6:$A$505,"proposed_name",'أرقام التواصل'!$B$6:$B$505,A477,'أرقام التواصل'!$I$6:$I$505,"TRUE")+COUNTIFS('أرقام التواصل'!$A$6:$A$505,"proposed_name",'أرقام التواصل'!$B$6:$B$505,A477,'أرقام التواصل'!$C$6:$C$505,1))=0,AND(U477="TRUE",V477="")),"REVIEW","READY")))</f>
        <v/>
      </c>
      <c r="AC477" s="27" t="str">
        <f>IF(AB477="","",IF(AB477="READY","",IF(AB477="SKIP","Skipped by candidate_import_action",TRIM(IF(A477="","missing proposed_name_key; ","")&amp;IF(AND(A477&lt;&gt;"",COUNTIF($A$6:$A$505,A477)&gt;1),"duplicate proposed_name_key; ","")&amp;IF(C477="","missing candidate_import_action; ","")&amp;IF(D477="","missing move_reason; ","")&amp;IF(H477="","missing branch_id; ","")&amp;IF(K477="","missing first_name; ","")&amp;IF(L477="","missing last_name; ","")&amp;IF(S477="","missing status; ","")&amp;IF(AND(B477&lt;&gt;"",COUNTIF(الزبائن!$A$6:$A$505,B477)=0),"source key not found; ","")&amp;IF((COUNTIFS('أرقام التواصل'!$A$6:$A$505,"proposed_name",'أرقام التواصل'!$B$6:$B$505,A477,'أرقام التواصل'!$I$6:$I$505,"TRUE")+COUNTIFS('أرقام التواصل'!$A$6:$A$505,"proposed_name",'أرقام التواصل'!$B$6:$B$505,A477,'أرقام التواصل'!$C$6:$C$505,1))=0,"missing primary contact in أرقام التواصل; ","")&amp;IF(AND(U477="TRUE",V477=""),"duplicate_type required when duplicate_flag TRUE; ","")))))</f>
        <v/>
      </c>
    </row>
    <row r="478" spans="1:29">
      <c r="A478" s="36"/>
      <c r="B478" s="24"/>
      <c r="C478" s="25"/>
      <c r="D478" s="25"/>
      <c r="E478" s="25"/>
      <c r="F478" s="24"/>
      <c r="G478" s="25"/>
      <c r="H478" s="25"/>
      <c r="I478" s="25"/>
      <c r="J478" s="25"/>
      <c r="K478" s="25"/>
      <c r="L478" s="25"/>
      <c r="M478" s="25"/>
      <c r="N478" s="25" t="str">
        <f t="shared" si="7"/>
        <v/>
      </c>
      <c r="O478" s="25"/>
      <c r="P478" s="25"/>
      <c r="Q478" s="25"/>
      <c r="R478" s="25"/>
      <c r="S478" s="25"/>
      <c r="T478" s="25"/>
      <c r="U478" s="25"/>
      <c r="V478" s="25"/>
      <c r="W478" s="24"/>
      <c r="X478" s="24"/>
      <c r="Y478" s="25"/>
      <c r="Z478" s="25" t="str">
        <f>IF(B478="","",IFERROR(INDEX(الزبائن!$AZ$6:$AZ$505,MATCH(B478,الزبائن!$A$6:$A$505,0)),"source key not found"))</f>
        <v/>
      </c>
      <c r="AA478" s="25" t="str">
        <f>IF(B478="","",IFERROR(INDEX(الزبائن!$BA$6:$BA$505,MATCH(B478,الزبائن!$A$6:$A$505,0)),"source key not found"))</f>
        <v/>
      </c>
      <c r="AB478" s="25" t="str">
        <f>IF(AND(A478="",C478="",D478="",H478="",K478="",L478=""),"",IF(C478="skip","SKIP",IF(OR(A478="",C478="",D478="",H478="",K478="",L478="",S478="",COUNTIF($A$6:$A$505,A478)&gt;1,AND(B478&lt;&gt;"",COUNTIF(الزبائن!$A$6:$A$505,B478)=0),(COUNTIFS('أرقام التواصل'!$A$6:$A$505,"proposed_name",'أرقام التواصل'!$B$6:$B$505,A478,'أرقام التواصل'!$I$6:$I$505,"TRUE")+COUNTIFS('أرقام التواصل'!$A$6:$A$505,"proposed_name",'أرقام التواصل'!$B$6:$B$505,A478,'أرقام التواصل'!$C$6:$C$505,1))=0,AND(U478="TRUE",V478="")),"REVIEW","READY")))</f>
        <v/>
      </c>
      <c r="AC478" s="27" t="str">
        <f>IF(AB478="","",IF(AB478="READY","",IF(AB478="SKIP","Skipped by candidate_import_action",TRIM(IF(A478="","missing proposed_name_key; ","")&amp;IF(AND(A478&lt;&gt;"",COUNTIF($A$6:$A$505,A478)&gt;1),"duplicate proposed_name_key; ","")&amp;IF(C478="","missing candidate_import_action; ","")&amp;IF(D478="","missing move_reason; ","")&amp;IF(H478="","missing branch_id; ","")&amp;IF(K478="","missing first_name; ","")&amp;IF(L478="","missing last_name; ","")&amp;IF(S478="","missing status; ","")&amp;IF(AND(B478&lt;&gt;"",COUNTIF(الزبائن!$A$6:$A$505,B478)=0),"source key not found; ","")&amp;IF((COUNTIFS('أرقام التواصل'!$A$6:$A$505,"proposed_name",'أرقام التواصل'!$B$6:$B$505,A478,'أرقام التواصل'!$I$6:$I$505,"TRUE")+COUNTIFS('أرقام التواصل'!$A$6:$A$505,"proposed_name",'أرقام التواصل'!$B$6:$B$505,A478,'أرقام التواصل'!$C$6:$C$505,1))=0,"missing primary contact in أرقام التواصل; ","")&amp;IF(AND(U478="TRUE",V478=""),"duplicate_type required when duplicate_flag TRUE; ","")))))</f>
        <v/>
      </c>
    </row>
    <row r="479" spans="1:29">
      <c r="A479" s="36"/>
      <c r="B479" s="24"/>
      <c r="C479" s="25"/>
      <c r="D479" s="25"/>
      <c r="E479" s="25"/>
      <c r="F479" s="24"/>
      <c r="G479" s="25"/>
      <c r="H479" s="25"/>
      <c r="I479" s="25"/>
      <c r="J479" s="25"/>
      <c r="K479" s="25"/>
      <c r="L479" s="25"/>
      <c r="M479" s="25"/>
      <c r="N479" s="25" t="str">
        <f t="shared" si="7"/>
        <v/>
      </c>
      <c r="O479" s="25"/>
      <c r="P479" s="25"/>
      <c r="Q479" s="25"/>
      <c r="R479" s="25"/>
      <c r="S479" s="25"/>
      <c r="T479" s="25"/>
      <c r="U479" s="25"/>
      <c r="V479" s="25"/>
      <c r="W479" s="24"/>
      <c r="X479" s="24"/>
      <c r="Y479" s="25"/>
      <c r="Z479" s="25" t="str">
        <f>IF(B479="","",IFERROR(INDEX(الزبائن!$AZ$6:$AZ$505,MATCH(B479,الزبائن!$A$6:$A$505,0)),"source key not found"))</f>
        <v/>
      </c>
      <c r="AA479" s="25" t="str">
        <f>IF(B479="","",IFERROR(INDEX(الزبائن!$BA$6:$BA$505,MATCH(B479,الزبائن!$A$6:$A$505,0)),"source key not found"))</f>
        <v/>
      </c>
      <c r="AB479" s="25" t="str">
        <f>IF(AND(A479="",C479="",D479="",H479="",K479="",L479=""),"",IF(C479="skip","SKIP",IF(OR(A479="",C479="",D479="",H479="",K479="",L479="",S479="",COUNTIF($A$6:$A$505,A479)&gt;1,AND(B479&lt;&gt;"",COUNTIF(الزبائن!$A$6:$A$505,B479)=0),(COUNTIFS('أرقام التواصل'!$A$6:$A$505,"proposed_name",'أرقام التواصل'!$B$6:$B$505,A479,'أرقام التواصل'!$I$6:$I$505,"TRUE")+COUNTIFS('أرقام التواصل'!$A$6:$A$505,"proposed_name",'أرقام التواصل'!$B$6:$B$505,A479,'أرقام التواصل'!$C$6:$C$505,1))=0,AND(U479="TRUE",V479="")),"REVIEW","READY")))</f>
        <v/>
      </c>
      <c r="AC479" s="27" t="str">
        <f>IF(AB479="","",IF(AB479="READY","",IF(AB479="SKIP","Skipped by candidate_import_action",TRIM(IF(A479="","missing proposed_name_key; ","")&amp;IF(AND(A479&lt;&gt;"",COUNTIF($A$6:$A$505,A479)&gt;1),"duplicate proposed_name_key; ","")&amp;IF(C479="","missing candidate_import_action; ","")&amp;IF(D479="","missing move_reason; ","")&amp;IF(H479="","missing branch_id; ","")&amp;IF(K479="","missing first_name; ","")&amp;IF(L479="","missing last_name; ","")&amp;IF(S479="","missing status; ","")&amp;IF(AND(B479&lt;&gt;"",COUNTIF(الزبائن!$A$6:$A$505,B479)=0),"source key not found; ","")&amp;IF((COUNTIFS('أرقام التواصل'!$A$6:$A$505,"proposed_name",'أرقام التواصل'!$B$6:$B$505,A479,'أرقام التواصل'!$I$6:$I$505,"TRUE")+COUNTIFS('أرقام التواصل'!$A$6:$A$505,"proposed_name",'أرقام التواصل'!$B$6:$B$505,A479,'أرقام التواصل'!$C$6:$C$505,1))=0,"missing primary contact in أرقام التواصل; ","")&amp;IF(AND(U479="TRUE",V479=""),"duplicate_type required when duplicate_flag TRUE; ","")))))</f>
        <v/>
      </c>
    </row>
    <row r="480" spans="1:29">
      <c r="A480" s="36"/>
      <c r="B480" s="24"/>
      <c r="C480" s="25"/>
      <c r="D480" s="25"/>
      <c r="E480" s="25"/>
      <c r="F480" s="24"/>
      <c r="G480" s="25"/>
      <c r="H480" s="25"/>
      <c r="I480" s="25"/>
      <c r="J480" s="25"/>
      <c r="K480" s="25"/>
      <c r="L480" s="25"/>
      <c r="M480" s="25"/>
      <c r="N480" s="25" t="str">
        <f t="shared" si="7"/>
        <v/>
      </c>
      <c r="O480" s="25"/>
      <c r="P480" s="25"/>
      <c r="Q480" s="25"/>
      <c r="R480" s="25"/>
      <c r="S480" s="25"/>
      <c r="T480" s="25"/>
      <c r="U480" s="25"/>
      <c r="V480" s="25"/>
      <c r="W480" s="24"/>
      <c r="X480" s="24"/>
      <c r="Y480" s="25"/>
      <c r="Z480" s="25" t="str">
        <f>IF(B480="","",IFERROR(INDEX(الزبائن!$AZ$6:$AZ$505,MATCH(B480,الزبائن!$A$6:$A$505,0)),"source key not found"))</f>
        <v/>
      </c>
      <c r="AA480" s="25" t="str">
        <f>IF(B480="","",IFERROR(INDEX(الزبائن!$BA$6:$BA$505,MATCH(B480,الزبائن!$A$6:$A$505,0)),"source key not found"))</f>
        <v/>
      </c>
      <c r="AB480" s="25" t="str">
        <f>IF(AND(A480="",C480="",D480="",H480="",K480="",L480=""),"",IF(C480="skip","SKIP",IF(OR(A480="",C480="",D480="",H480="",K480="",L480="",S480="",COUNTIF($A$6:$A$505,A480)&gt;1,AND(B480&lt;&gt;"",COUNTIF(الزبائن!$A$6:$A$505,B480)=0),(COUNTIFS('أرقام التواصل'!$A$6:$A$505,"proposed_name",'أرقام التواصل'!$B$6:$B$505,A480,'أرقام التواصل'!$I$6:$I$505,"TRUE")+COUNTIFS('أرقام التواصل'!$A$6:$A$505,"proposed_name",'أرقام التواصل'!$B$6:$B$505,A480,'أرقام التواصل'!$C$6:$C$505,1))=0,AND(U480="TRUE",V480="")),"REVIEW","READY")))</f>
        <v/>
      </c>
      <c r="AC480" s="27" t="str">
        <f>IF(AB480="","",IF(AB480="READY","",IF(AB480="SKIP","Skipped by candidate_import_action",TRIM(IF(A480="","missing proposed_name_key; ","")&amp;IF(AND(A480&lt;&gt;"",COUNTIF($A$6:$A$505,A480)&gt;1),"duplicate proposed_name_key; ","")&amp;IF(C480="","missing candidate_import_action; ","")&amp;IF(D480="","missing move_reason; ","")&amp;IF(H480="","missing branch_id; ","")&amp;IF(K480="","missing first_name; ","")&amp;IF(L480="","missing last_name; ","")&amp;IF(S480="","missing status; ","")&amp;IF(AND(B480&lt;&gt;"",COUNTIF(الزبائن!$A$6:$A$505,B480)=0),"source key not found; ","")&amp;IF((COUNTIFS('أرقام التواصل'!$A$6:$A$505,"proposed_name",'أرقام التواصل'!$B$6:$B$505,A480,'أرقام التواصل'!$I$6:$I$505,"TRUE")+COUNTIFS('أرقام التواصل'!$A$6:$A$505,"proposed_name",'أرقام التواصل'!$B$6:$B$505,A480,'أرقام التواصل'!$C$6:$C$505,1))=0,"missing primary contact in أرقام التواصل; ","")&amp;IF(AND(U480="TRUE",V480=""),"duplicate_type required when duplicate_flag TRUE; ","")))))</f>
        <v/>
      </c>
    </row>
    <row r="481" spans="1:29">
      <c r="A481" s="36"/>
      <c r="B481" s="24"/>
      <c r="C481" s="25"/>
      <c r="D481" s="25"/>
      <c r="E481" s="25"/>
      <c r="F481" s="24"/>
      <c r="G481" s="25"/>
      <c r="H481" s="25"/>
      <c r="I481" s="25"/>
      <c r="J481" s="25"/>
      <c r="K481" s="25"/>
      <c r="L481" s="25"/>
      <c r="M481" s="25"/>
      <c r="N481" s="25" t="str">
        <f t="shared" si="7"/>
        <v/>
      </c>
      <c r="O481" s="25"/>
      <c r="P481" s="25"/>
      <c r="Q481" s="25"/>
      <c r="R481" s="25"/>
      <c r="S481" s="25"/>
      <c r="T481" s="25"/>
      <c r="U481" s="25"/>
      <c r="V481" s="25"/>
      <c r="W481" s="24"/>
      <c r="X481" s="24"/>
      <c r="Y481" s="25"/>
      <c r="Z481" s="25" t="str">
        <f>IF(B481="","",IFERROR(INDEX(الزبائن!$AZ$6:$AZ$505,MATCH(B481,الزبائن!$A$6:$A$505,0)),"source key not found"))</f>
        <v/>
      </c>
      <c r="AA481" s="25" t="str">
        <f>IF(B481="","",IFERROR(INDEX(الزبائن!$BA$6:$BA$505,MATCH(B481,الزبائن!$A$6:$A$505,0)),"source key not found"))</f>
        <v/>
      </c>
      <c r="AB481" s="25" t="str">
        <f>IF(AND(A481="",C481="",D481="",H481="",K481="",L481=""),"",IF(C481="skip","SKIP",IF(OR(A481="",C481="",D481="",H481="",K481="",L481="",S481="",COUNTIF($A$6:$A$505,A481)&gt;1,AND(B481&lt;&gt;"",COUNTIF(الزبائن!$A$6:$A$505,B481)=0),(COUNTIFS('أرقام التواصل'!$A$6:$A$505,"proposed_name",'أرقام التواصل'!$B$6:$B$505,A481,'أرقام التواصل'!$I$6:$I$505,"TRUE")+COUNTIFS('أرقام التواصل'!$A$6:$A$505,"proposed_name",'أرقام التواصل'!$B$6:$B$505,A481,'أرقام التواصل'!$C$6:$C$505,1))=0,AND(U481="TRUE",V481="")),"REVIEW","READY")))</f>
        <v/>
      </c>
      <c r="AC481" s="27" t="str">
        <f>IF(AB481="","",IF(AB481="READY","",IF(AB481="SKIP","Skipped by candidate_import_action",TRIM(IF(A481="","missing proposed_name_key; ","")&amp;IF(AND(A481&lt;&gt;"",COUNTIF($A$6:$A$505,A481)&gt;1),"duplicate proposed_name_key; ","")&amp;IF(C481="","missing candidate_import_action; ","")&amp;IF(D481="","missing move_reason; ","")&amp;IF(H481="","missing branch_id; ","")&amp;IF(K481="","missing first_name; ","")&amp;IF(L481="","missing last_name; ","")&amp;IF(S481="","missing status; ","")&amp;IF(AND(B481&lt;&gt;"",COUNTIF(الزبائن!$A$6:$A$505,B481)=0),"source key not found; ","")&amp;IF((COUNTIFS('أرقام التواصل'!$A$6:$A$505,"proposed_name",'أرقام التواصل'!$B$6:$B$505,A481,'أرقام التواصل'!$I$6:$I$505,"TRUE")+COUNTIFS('أرقام التواصل'!$A$6:$A$505,"proposed_name",'أرقام التواصل'!$B$6:$B$505,A481,'أرقام التواصل'!$C$6:$C$505,1))=0,"missing primary contact in أرقام التواصل; ","")&amp;IF(AND(U481="TRUE",V481=""),"duplicate_type required when duplicate_flag TRUE; ","")))))</f>
        <v/>
      </c>
    </row>
    <row r="482" spans="1:29">
      <c r="A482" s="36"/>
      <c r="B482" s="24"/>
      <c r="C482" s="25"/>
      <c r="D482" s="25"/>
      <c r="E482" s="25"/>
      <c r="F482" s="24"/>
      <c r="G482" s="25"/>
      <c r="H482" s="25"/>
      <c r="I482" s="25"/>
      <c r="J482" s="25"/>
      <c r="K482" s="25"/>
      <c r="L482" s="25"/>
      <c r="M482" s="25"/>
      <c r="N482" s="25" t="str">
        <f t="shared" si="7"/>
        <v/>
      </c>
      <c r="O482" s="25"/>
      <c r="P482" s="25"/>
      <c r="Q482" s="25"/>
      <c r="R482" s="25"/>
      <c r="S482" s="25"/>
      <c r="T482" s="25"/>
      <c r="U482" s="25"/>
      <c r="V482" s="25"/>
      <c r="W482" s="24"/>
      <c r="X482" s="24"/>
      <c r="Y482" s="25"/>
      <c r="Z482" s="25" t="str">
        <f>IF(B482="","",IFERROR(INDEX(الزبائن!$AZ$6:$AZ$505,MATCH(B482,الزبائن!$A$6:$A$505,0)),"source key not found"))</f>
        <v/>
      </c>
      <c r="AA482" s="25" t="str">
        <f>IF(B482="","",IFERROR(INDEX(الزبائن!$BA$6:$BA$505,MATCH(B482,الزبائن!$A$6:$A$505,0)),"source key not found"))</f>
        <v/>
      </c>
      <c r="AB482" s="25" t="str">
        <f>IF(AND(A482="",C482="",D482="",H482="",K482="",L482=""),"",IF(C482="skip","SKIP",IF(OR(A482="",C482="",D482="",H482="",K482="",L482="",S482="",COUNTIF($A$6:$A$505,A482)&gt;1,AND(B482&lt;&gt;"",COUNTIF(الزبائن!$A$6:$A$505,B482)=0),(COUNTIFS('أرقام التواصل'!$A$6:$A$505,"proposed_name",'أرقام التواصل'!$B$6:$B$505,A482,'أرقام التواصل'!$I$6:$I$505,"TRUE")+COUNTIFS('أرقام التواصل'!$A$6:$A$505,"proposed_name",'أرقام التواصل'!$B$6:$B$505,A482,'أرقام التواصل'!$C$6:$C$505,1))=0,AND(U482="TRUE",V482="")),"REVIEW","READY")))</f>
        <v/>
      </c>
      <c r="AC482" s="27" t="str">
        <f>IF(AB482="","",IF(AB482="READY","",IF(AB482="SKIP","Skipped by candidate_import_action",TRIM(IF(A482="","missing proposed_name_key; ","")&amp;IF(AND(A482&lt;&gt;"",COUNTIF($A$6:$A$505,A482)&gt;1),"duplicate proposed_name_key; ","")&amp;IF(C482="","missing candidate_import_action; ","")&amp;IF(D482="","missing move_reason; ","")&amp;IF(H482="","missing branch_id; ","")&amp;IF(K482="","missing first_name; ","")&amp;IF(L482="","missing last_name; ","")&amp;IF(S482="","missing status; ","")&amp;IF(AND(B482&lt;&gt;"",COUNTIF(الزبائن!$A$6:$A$505,B482)=0),"source key not found; ","")&amp;IF((COUNTIFS('أرقام التواصل'!$A$6:$A$505,"proposed_name",'أرقام التواصل'!$B$6:$B$505,A482,'أرقام التواصل'!$I$6:$I$505,"TRUE")+COUNTIFS('أرقام التواصل'!$A$6:$A$505,"proposed_name",'أرقام التواصل'!$B$6:$B$505,A482,'أرقام التواصل'!$C$6:$C$505,1))=0,"missing primary contact in أرقام التواصل; ","")&amp;IF(AND(U482="TRUE",V482=""),"duplicate_type required when duplicate_flag TRUE; ","")))))</f>
        <v/>
      </c>
    </row>
    <row r="483" spans="1:29">
      <c r="A483" s="36"/>
      <c r="B483" s="24"/>
      <c r="C483" s="25"/>
      <c r="D483" s="25"/>
      <c r="E483" s="25"/>
      <c r="F483" s="24"/>
      <c r="G483" s="25"/>
      <c r="H483" s="25"/>
      <c r="I483" s="25"/>
      <c r="J483" s="25"/>
      <c r="K483" s="25"/>
      <c r="L483" s="25"/>
      <c r="M483" s="25"/>
      <c r="N483" s="25" t="str">
        <f t="shared" si="7"/>
        <v/>
      </c>
      <c r="O483" s="25"/>
      <c r="P483" s="25"/>
      <c r="Q483" s="25"/>
      <c r="R483" s="25"/>
      <c r="S483" s="25"/>
      <c r="T483" s="25"/>
      <c r="U483" s="25"/>
      <c r="V483" s="25"/>
      <c r="W483" s="24"/>
      <c r="X483" s="24"/>
      <c r="Y483" s="25"/>
      <c r="Z483" s="25" t="str">
        <f>IF(B483="","",IFERROR(INDEX(الزبائن!$AZ$6:$AZ$505,MATCH(B483,الزبائن!$A$6:$A$505,0)),"source key not found"))</f>
        <v/>
      </c>
      <c r="AA483" s="25" t="str">
        <f>IF(B483="","",IFERROR(INDEX(الزبائن!$BA$6:$BA$505,MATCH(B483,الزبائن!$A$6:$A$505,0)),"source key not found"))</f>
        <v/>
      </c>
      <c r="AB483" s="25" t="str">
        <f>IF(AND(A483="",C483="",D483="",H483="",K483="",L483=""),"",IF(C483="skip","SKIP",IF(OR(A483="",C483="",D483="",H483="",K483="",L483="",S483="",COUNTIF($A$6:$A$505,A483)&gt;1,AND(B483&lt;&gt;"",COUNTIF(الزبائن!$A$6:$A$505,B483)=0),(COUNTIFS('أرقام التواصل'!$A$6:$A$505,"proposed_name",'أرقام التواصل'!$B$6:$B$505,A483,'أرقام التواصل'!$I$6:$I$505,"TRUE")+COUNTIFS('أرقام التواصل'!$A$6:$A$505,"proposed_name",'أرقام التواصل'!$B$6:$B$505,A483,'أرقام التواصل'!$C$6:$C$505,1))=0,AND(U483="TRUE",V483="")),"REVIEW","READY")))</f>
        <v/>
      </c>
      <c r="AC483" s="27" t="str">
        <f>IF(AB483="","",IF(AB483="READY","",IF(AB483="SKIP","Skipped by candidate_import_action",TRIM(IF(A483="","missing proposed_name_key; ","")&amp;IF(AND(A483&lt;&gt;"",COUNTIF($A$6:$A$505,A483)&gt;1),"duplicate proposed_name_key; ","")&amp;IF(C483="","missing candidate_import_action; ","")&amp;IF(D483="","missing move_reason; ","")&amp;IF(H483="","missing branch_id; ","")&amp;IF(K483="","missing first_name; ","")&amp;IF(L483="","missing last_name; ","")&amp;IF(S483="","missing status; ","")&amp;IF(AND(B483&lt;&gt;"",COUNTIF(الزبائن!$A$6:$A$505,B483)=0),"source key not found; ","")&amp;IF((COUNTIFS('أرقام التواصل'!$A$6:$A$505,"proposed_name",'أرقام التواصل'!$B$6:$B$505,A483,'أرقام التواصل'!$I$6:$I$505,"TRUE")+COUNTIFS('أرقام التواصل'!$A$6:$A$505,"proposed_name",'أرقام التواصل'!$B$6:$B$505,A483,'أرقام التواصل'!$C$6:$C$505,1))=0,"missing primary contact in أرقام التواصل; ","")&amp;IF(AND(U483="TRUE",V483=""),"duplicate_type required when duplicate_flag TRUE; ","")))))</f>
        <v/>
      </c>
    </row>
    <row r="484" spans="1:29">
      <c r="A484" s="36"/>
      <c r="B484" s="24"/>
      <c r="C484" s="25"/>
      <c r="D484" s="25"/>
      <c r="E484" s="25"/>
      <c r="F484" s="24"/>
      <c r="G484" s="25"/>
      <c r="H484" s="25"/>
      <c r="I484" s="25"/>
      <c r="J484" s="25"/>
      <c r="K484" s="25"/>
      <c r="L484" s="25"/>
      <c r="M484" s="25"/>
      <c r="N484" s="25" t="str">
        <f t="shared" si="7"/>
        <v/>
      </c>
      <c r="O484" s="25"/>
      <c r="P484" s="25"/>
      <c r="Q484" s="25"/>
      <c r="R484" s="25"/>
      <c r="S484" s="25"/>
      <c r="T484" s="25"/>
      <c r="U484" s="25"/>
      <c r="V484" s="25"/>
      <c r="W484" s="24"/>
      <c r="X484" s="24"/>
      <c r="Y484" s="25"/>
      <c r="Z484" s="25" t="str">
        <f>IF(B484="","",IFERROR(INDEX(الزبائن!$AZ$6:$AZ$505,MATCH(B484,الزبائن!$A$6:$A$505,0)),"source key not found"))</f>
        <v/>
      </c>
      <c r="AA484" s="25" t="str">
        <f>IF(B484="","",IFERROR(INDEX(الزبائن!$BA$6:$BA$505,MATCH(B484,الزبائن!$A$6:$A$505,0)),"source key not found"))</f>
        <v/>
      </c>
      <c r="AB484" s="25" t="str">
        <f>IF(AND(A484="",C484="",D484="",H484="",K484="",L484=""),"",IF(C484="skip","SKIP",IF(OR(A484="",C484="",D484="",H484="",K484="",L484="",S484="",COUNTIF($A$6:$A$505,A484)&gt;1,AND(B484&lt;&gt;"",COUNTIF(الزبائن!$A$6:$A$505,B484)=0),(COUNTIFS('أرقام التواصل'!$A$6:$A$505,"proposed_name",'أرقام التواصل'!$B$6:$B$505,A484,'أرقام التواصل'!$I$6:$I$505,"TRUE")+COUNTIFS('أرقام التواصل'!$A$6:$A$505,"proposed_name",'أرقام التواصل'!$B$6:$B$505,A484,'أرقام التواصل'!$C$6:$C$505,1))=0,AND(U484="TRUE",V484="")),"REVIEW","READY")))</f>
        <v/>
      </c>
      <c r="AC484" s="27" t="str">
        <f>IF(AB484="","",IF(AB484="READY","",IF(AB484="SKIP","Skipped by candidate_import_action",TRIM(IF(A484="","missing proposed_name_key; ","")&amp;IF(AND(A484&lt;&gt;"",COUNTIF($A$6:$A$505,A484)&gt;1),"duplicate proposed_name_key; ","")&amp;IF(C484="","missing candidate_import_action; ","")&amp;IF(D484="","missing move_reason; ","")&amp;IF(H484="","missing branch_id; ","")&amp;IF(K484="","missing first_name; ","")&amp;IF(L484="","missing last_name; ","")&amp;IF(S484="","missing status; ","")&amp;IF(AND(B484&lt;&gt;"",COUNTIF(الزبائن!$A$6:$A$505,B484)=0),"source key not found; ","")&amp;IF((COUNTIFS('أرقام التواصل'!$A$6:$A$505,"proposed_name",'أرقام التواصل'!$B$6:$B$505,A484,'أرقام التواصل'!$I$6:$I$505,"TRUE")+COUNTIFS('أرقام التواصل'!$A$6:$A$505,"proposed_name",'أرقام التواصل'!$B$6:$B$505,A484,'أرقام التواصل'!$C$6:$C$505,1))=0,"missing primary contact in أرقام التواصل; ","")&amp;IF(AND(U484="TRUE",V484=""),"duplicate_type required when duplicate_flag TRUE; ","")))))</f>
        <v/>
      </c>
    </row>
    <row r="485" spans="1:29">
      <c r="A485" s="36"/>
      <c r="B485" s="24"/>
      <c r="C485" s="25"/>
      <c r="D485" s="25"/>
      <c r="E485" s="25"/>
      <c r="F485" s="24"/>
      <c r="G485" s="25"/>
      <c r="H485" s="25"/>
      <c r="I485" s="25"/>
      <c r="J485" s="25"/>
      <c r="K485" s="25"/>
      <c r="L485" s="25"/>
      <c r="M485" s="25"/>
      <c r="N485" s="25" t="str">
        <f t="shared" si="7"/>
        <v/>
      </c>
      <c r="O485" s="25"/>
      <c r="P485" s="25"/>
      <c r="Q485" s="25"/>
      <c r="R485" s="25"/>
      <c r="S485" s="25"/>
      <c r="T485" s="25"/>
      <c r="U485" s="25"/>
      <c r="V485" s="25"/>
      <c r="W485" s="24"/>
      <c r="X485" s="24"/>
      <c r="Y485" s="25"/>
      <c r="Z485" s="25" t="str">
        <f>IF(B485="","",IFERROR(INDEX(الزبائن!$AZ$6:$AZ$505,MATCH(B485,الزبائن!$A$6:$A$505,0)),"source key not found"))</f>
        <v/>
      </c>
      <c r="AA485" s="25" t="str">
        <f>IF(B485="","",IFERROR(INDEX(الزبائن!$BA$6:$BA$505,MATCH(B485,الزبائن!$A$6:$A$505,0)),"source key not found"))</f>
        <v/>
      </c>
      <c r="AB485" s="25" t="str">
        <f>IF(AND(A485="",C485="",D485="",H485="",K485="",L485=""),"",IF(C485="skip","SKIP",IF(OR(A485="",C485="",D485="",H485="",K485="",L485="",S485="",COUNTIF($A$6:$A$505,A485)&gt;1,AND(B485&lt;&gt;"",COUNTIF(الزبائن!$A$6:$A$505,B485)=0),(COUNTIFS('أرقام التواصل'!$A$6:$A$505,"proposed_name",'أرقام التواصل'!$B$6:$B$505,A485,'أرقام التواصل'!$I$6:$I$505,"TRUE")+COUNTIFS('أرقام التواصل'!$A$6:$A$505,"proposed_name",'أرقام التواصل'!$B$6:$B$505,A485,'أرقام التواصل'!$C$6:$C$505,1))=0,AND(U485="TRUE",V485="")),"REVIEW","READY")))</f>
        <v/>
      </c>
      <c r="AC485" s="27" t="str">
        <f>IF(AB485="","",IF(AB485="READY","",IF(AB485="SKIP","Skipped by candidate_import_action",TRIM(IF(A485="","missing proposed_name_key; ","")&amp;IF(AND(A485&lt;&gt;"",COUNTIF($A$6:$A$505,A485)&gt;1),"duplicate proposed_name_key; ","")&amp;IF(C485="","missing candidate_import_action; ","")&amp;IF(D485="","missing move_reason; ","")&amp;IF(H485="","missing branch_id; ","")&amp;IF(K485="","missing first_name; ","")&amp;IF(L485="","missing last_name; ","")&amp;IF(S485="","missing status; ","")&amp;IF(AND(B485&lt;&gt;"",COUNTIF(الزبائن!$A$6:$A$505,B485)=0),"source key not found; ","")&amp;IF((COUNTIFS('أرقام التواصل'!$A$6:$A$505,"proposed_name",'أرقام التواصل'!$B$6:$B$505,A485,'أرقام التواصل'!$I$6:$I$505,"TRUE")+COUNTIFS('أرقام التواصل'!$A$6:$A$505,"proposed_name",'أرقام التواصل'!$B$6:$B$505,A485,'أرقام التواصل'!$C$6:$C$505,1))=0,"missing primary contact in أرقام التواصل; ","")&amp;IF(AND(U485="TRUE",V485=""),"duplicate_type required when duplicate_flag TRUE; ","")))))</f>
        <v/>
      </c>
    </row>
    <row r="486" spans="1:29">
      <c r="A486" s="36"/>
      <c r="B486" s="24"/>
      <c r="C486" s="25"/>
      <c r="D486" s="25"/>
      <c r="E486" s="25"/>
      <c r="F486" s="24"/>
      <c r="G486" s="25"/>
      <c r="H486" s="25"/>
      <c r="I486" s="25"/>
      <c r="J486" s="25"/>
      <c r="K486" s="25"/>
      <c r="L486" s="25"/>
      <c r="M486" s="25"/>
      <c r="N486" s="25" t="str">
        <f t="shared" si="7"/>
        <v/>
      </c>
      <c r="O486" s="25"/>
      <c r="P486" s="25"/>
      <c r="Q486" s="25"/>
      <c r="R486" s="25"/>
      <c r="S486" s="25"/>
      <c r="T486" s="25"/>
      <c r="U486" s="25"/>
      <c r="V486" s="25"/>
      <c r="W486" s="24"/>
      <c r="X486" s="24"/>
      <c r="Y486" s="25"/>
      <c r="Z486" s="25" t="str">
        <f>IF(B486="","",IFERROR(INDEX(الزبائن!$AZ$6:$AZ$505,MATCH(B486,الزبائن!$A$6:$A$505,0)),"source key not found"))</f>
        <v/>
      </c>
      <c r="AA486" s="25" t="str">
        <f>IF(B486="","",IFERROR(INDEX(الزبائن!$BA$6:$BA$505,MATCH(B486,الزبائن!$A$6:$A$505,0)),"source key not found"))</f>
        <v/>
      </c>
      <c r="AB486" s="25" t="str">
        <f>IF(AND(A486="",C486="",D486="",H486="",K486="",L486=""),"",IF(C486="skip","SKIP",IF(OR(A486="",C486="",D486="",H486="",K486="",L486="",S486="",COUNTIF($A$6:$A$505,A486)&gt;1,AND(B486&lt;&gt;"",COUNTIF(الزبائن!$A$6:$A$505,B486)=0),(COUNTIFS('أرقام التواصل'!$A$6:$A$505,"proposed_name",'أرقام التواصل'!$B$6:$B$505,A486,'أرقام التواصل'!$I$6:$I$505,"TRUE")+COUNTIFS('أرقام التواصل'!$A$6:$A$505,"proposed_name",'أرقام التواصل'!$B$6:$B$505,A486,'أرقام التواصل'!$C$6:$C$505,1))=0,AND(U486="TRUE",V486="")),"REVIEW","READY")))</f>
        <v/>
      </c>
      <c r="AC486" s="27" t="str">
        <f>IF(AB486="","",IF(AB486="READY","",IF(AB486="SKIP","Skipped by candidate_import_action",TRIM(IF(A486="","missing proposed_name_key; ","")&amp;IF(AND(A486&lt;&gt;"",COUNTIF($A$6:$A$505,A486)&gt;1),"duplicate proposed_name_key; ","")&amp;IF(C486="","missing candidate_import_action; ","")&amp;IF(D486="","missing move_reason; ","")&amp;IF(H486="","missing branch_id; ","")&amp;IF(K486="","missing first_name; ","")&amp;IF(L486="","missing last_name; ","")&amp;IF(S486="","missing status; ","")&amp;IF(AND(B486&lt;&gt;"",COUNTIF(الزبائن!$A$6:$A$505,B486)=0),"source key not found; ","")&amp;IF((COUNTIFS('أرقام التواصل'!$A$6:$A$505,"proposed_name",'أرقام التواصل'!$B$6:$B$505,A486,'أرقام التواصل'!$I$6:$I$505,"TRUE")+COUNTIFS('أرقام التواصل'!$A$6:$A$505,"proposed_name",'أرقام التواصل'!$B$6:$B$505,A486,'أرقام التواصل'!$C$6:$C$505,1))=0,"missing primary contact in أرقام التواصل; ","")&amp;IF(AND(U486="TRUE",V486=""),"duplicate_type required when duplicate_flag TRUE; ","")))))</f>
        <v/>
      </c>
    </row>
    <row r="487" spans="1:29">
      <c r="A487" s="36"/>
      <c r="B487" s="24"/>
      <c r="C487" s="25"/>
      <c r="D487" s="25"/>
      <c r="E487" s="25"/>
      <c r="F487" s="24"/>
      <c r="G487" s="25"/>
      <c r="H487" s="25"/>
      <c r="I487" s="25"/>
      <c r="J487" s="25"/>
      <c r="K487" s="25"/>
      <c r="L487" s="25"/>
      <c r="M487" s="25"/>
      <c r="N487" s="25" t="str">
        <f t="shared" si="7"/>
        <v/>
      </c>
      <c r="O487" s="25"/>
      <c r="P487" s="25"/>
      <c r="Q487" s="25"/>
      <c r="R487" s="25"/>
      <c r="S487" s="25"/>
      <c r="T487" s="25"/>
      <c r="U487" s="25"/>
      <c r="V487" s="25"/>
      <c r="W487" s="24"/>
      <c r="X487" s="24"/>
      <c r="Y487" s="25"/>
      <c r="Z487" s="25" t="str">
        <f>IF(B487="","",IFERROR(INDEX(الزبائن!$AZ$6:$AZ$505,MATCH(B487,الزبائن!$A$6:$A$505,0)),"source key not found"))</f>
        <v/>
      </c>
      <c r="AA487" s="25" t="str">
        <f>IF(B487="","",IFERROR(INDEX(الزبائن!$BA$6:$BA$505,MATCH(B487,الزبائن!$A$6:$A$505,0)),"source key not found"))</f>
        <v/>
      </c>
      <c r="AB487" s="25" t="str">
        <f>IF(AND(A487="",C487="",D487="",H487="",K487="",L487=""),"",IF(C487="skip","SKIP",IF(OR(A487="",C487="",D487="",H487="",K487="",L487="",S487="",COUNTIF($A$6:$A$505,A487)&gt;1,AND(B487&lt;&gt;"",COUNTIF(الزبائن!$A$6:$A$505,B487)=0),(COUNTIFS('أرقام التواصل'!$A$6:$A$505,"proposed_name",'أرقام التواصل'!$B$6:$B$505,A487,'أرقام التواصل'!$I$6:$I$505,"TRUE")+COUNTIFS('أرقام التواصل'!$A$6:$A$505,"proposed_name",'أرقام التواصل'!$B$6:$B$505,A487,'أرقام التواصل'!$C$6:$C$505,1))=0,AND(U487="TRUE",V487="")),"REVIEW","READY")))</f>
        <v/>
      </c>
      <c r="AC487" s="27" t="str">
        <f>IF(AB487="","",IF(AB487="READY","",IF(AB487="SKIP","Skipped by candidate_import_action",TRIM(IF(A487="","missing proposed_name_key; ","")&amp;IF(AND(A487&lt;&gt;"",COUNTIF($A$6:$A$505,A487)&gt;1),"duplicate proposed_name_key; ","")&amp;IF(C487="","missing candidate_import_action; ","")&amp;IF(D487="","missing move_reason; ","")&amp;IF(H487="","missing branch_id; ","")&amp;IF(K487="","missing first_name; ","")&amp;IF(L487="","missing last_name; ","")&amp;IF(S487="","missing status; ","")&amp;IF(AND(B487&lt;&gt;"",COUNTIF(الزبائن!$A$6:$A$505,B487)=0),"source key not found; ","")&amp;IF((COUNTIFS('أرقام التواصل'!$A$6:$A$505,"proposed_name",'أرقام التواصل'!$B$6:$B$505,A487,'أرقام التواصل'!$I$6:$I$505,"TRUE")+COUNTIFS('أرقام التواصل'!$A$6:$A$505,"proposed_name",'أرقام التواصل'!$B$6:$B$505,A487,'أرقام التواصل'!$C$6:$C$505,1))=0,"missing primary contact in أرقام التواصل; ","")&amp;IF(AND(U487="TRUE",V487=""),"duplicate_type required when duplicate_flag TRUE; ","")))))</f>
        <v/>
      </c>
    </row>
    <row r="488" spans="1:29">
      <c r="A488" s="36"/>
      <c r="B488" s="24"/>
      <c r="C488" s="25"/>
      <c r="D488" s="25"/>
      <c r="E488" s="25"/>
      <c r="F488" s="24"/>
      <c r="G488" s="25"/>
      <c r="H488" s="25"/>
      <c r="I488" s="25"/>
      <c r="J488" s="25"/>
      <c r="K488" s="25"/>
      <c r="L488" s="25"/>
      <c r="M488" s="25"/>
      <c r="N488" s="25" t="str">
        <f t="shared" si="7"/>
        <v/>
      </c>
      <c r="O488" s="25"/>
      <c r="P488" s="25"/>
      <c r="Q488" s="25"/>
      <c r="R488" s="25"/>
      <c r="S488" s="25"/>
      <c r="T488" s="25"/>
      <c r="U488" s="25"/>
      <c r="V488" s="25"/>
      <c r="W488" s="24"/>
      <c r="X488" s="24"/>
      <c r="Y488" s="25"/>
      <c r="Z488" s="25" t="str">
        <f>IF(B488="","",IFERROR(INDEX(الزبائن!$AZ$6:$AZ$505,MATCH(B488,الزبائن!$A$6:$A$505,0)),"source key not found"))</f>
        <v/>
      </c>
      <c r="AA488" s="25" t="str">
        <f>IF(B488="","",IFERROR(INDEX(الزبائن!$BA$6:$BA$505,MATCH(B488,الزبائن!$A$6:$A$505,0)),"source key not found"))</f>
        <v/>
      </c>
      <c r="AB488" s="25" t="str">
        <f>IF(AND(A488="",C488="",D488="",H488="",K488="",L488=""),"",IF(C488="skip","SKIP",IF(OR(A488="",C488="",D488="",H488="",K488="",L488="",S488="",COUNTIF($A$6:$A$505,A488)&gt;1,AND(B488&lt;&gt;"",COUNTIF(الزبائن!$A$6:$A$505,B488)=0),(COUNTIFS('أرقام التواصل'!$A$6:$A$505,"proposed_name",'أرقام التواصل'!$B$6:$B$505,A488,'أرقام التواصل'!$I$6:$I$505,"TRUE")+COUNTIFS('أرقام التواصل'!$A$6:$A$505,"proposed_name",'أرقام التواصل'!$B$6:$B$505,A488,'أرقام التواصل'!$C$6:$C$505,1))=0,AND(U488="TRUE",V488="")),"REVIEW","READY")))</f>
        <v/>
      </c>
      <c r="AC488" s="27" t="str">
        <f>IF(AB488="","",IF(AB488="READY","",IF(AB488="SKIP","Skipped by candidate_import_action",TRIM(IF(A488="","missing proposed_name_key; ","")&amp;IF(AND(A488&lt;&gt;"",COUNTIF($A$6:$A$505,A488)&gt;1),"duplicate proposed_name_key; ","")&amp;IF(C488="","missing candidate_import_action; ","")&amp;IF(D488="","missing move_reason; ","")&amp;IF(H488="","missing branch_id; ","")&amp;IF(K488="","missing first_name; ","")&amp;IF(L488="","missing last_name; ","")&amp;IF(S488="","missing status; ","")&amp;IF(AND(B488&lt;&gt;"",COUNTIF(الزبائن!$A$6:$A$505,B488)=0),"source key not found; ","")&amp;IF((COUNTIFS('أرقام التواصل'!$A$6:$A$505,"proposed_name",'أرقام التواصل'!$B$6:$B$505,A488,'أرقام التواصل'!$I$6:$I$505,"TRUE")+COUNTIFS('أرقام التواصل'!$A$6:$A$505,"proposed_name",'أرقام التواصل'!$B$6:$B$505,A488,'أرقام التواصل'!$C$6:$C$505,1))=0,"missing primary contact in أرقام التواصل; ","")&amp;IF(AND(U488="TRUE",V488=""),"duplicate_type required when duplicate_flag TRUE; ","")))))</f>
        <v/>
      </c>
    </row>
    <row r="489" spans="1:29">
      <c r="A489" s="36"/>
      <c r="B489" s="24"/>
      <c r="C489" s="25"/>
      <c r="D489" s="25"/>
      <c r="E489" s="25"/>
      <c r="F489" s="24"/>
      <c r="G489" s="25"/>
      <c r="H489" s="25"/>
      <c r="I489" s="25"/>
      <c r="J489" s="25"/>
      <c r="K489" s="25"/>
      <c r="L489" s="25"/>
      <c r="M489" s="25"/>
      <c r="N489" s="25" t="str">
        <f t="shared" si="7"/>
        <v/>
      </c>
      <c r="O489" s="25"/>
      <c r="P489" s="25"/>
      <c r="Q489" s="25"/>
      <c r="R489" s="25"/>
      <c r="S489" s="25"/>
      <c r="T489" s="25"/>
      <c r="U489" s="25"/>
      <c r="V489" s="25"/>
      <c r="W489" s="24"/>
      <c r="X489" s="24"/>
      <c r="Y489" s="25"/>
      <c r="Z489" s="25" t="str">
        <f>IF(B489="","",IFERROR(INDEX(الزبائن!$AZ$6:$AZ$505,MATCH(B489,الزبائن!$A$6:$A$505,0)),"source key not found"))</f>
        <v/>
      </c>
      <c r="AA489" s="25" t="str">
        <f>IF(B489="","",IFERROR(INDEX(الزبائن!$BA$6:$BA$505,MATCH(B489,الزبائن!$A$6:$A$505,0)),"source key not found"))</f>
        <v/>
      </c>
      <c r="AB489" s="25" t="str">
        <f>IF(AND(A489="",C489="",D489="",H489="",K489="",L489=""),"",IF(C489="skip","SKIP",IF(OR(A489="",C489="",D489="",H489="",K489="",L489="",S489="",COUNTIF($A$6:$A$505,A489)&gt;1,AND(B489&lt;&gt;"",COUNTIF(الزبائن!$A$6:$A$505,B489)=0),(COUNTIFS('أرقام التواصل'!$A$6:$A$505,"proposed_name",'أرقام التواصل'!$B$6:$B$505,A489,'أرقام التواصل'!$I$6:$I$505,"TRUE")+COUNTIFS('أرقام التواصل'!$A$6:$A$505,"proposed_name",'أرقام التواصل'!$B$6:$B$505,A489,'أرقام التواصل'!$C$6:$C$505,1))=0,AND(U489="TRUE",V489="")),"REVIEW","READY")))</f>
        <v/>
      </c>
      <c r="AC489" s="27" t="str">
        <f>IF(AB489="","",IF(AB489="READY","",IF(AB489="SKIP","Skipped by candidate_import_action",TRIM(IF(A489="","missing proposed_name_key; ","")&amp;IF(AND(A489&lt;&gt;"",COUNTIF($A$6:$A$505,A489)&gt;1),"duplicate proposed_name_key; ","")&amp;IF(C489="","missing candidate_import_action; ","")&amp;IF(D489="","missing move_reason; ","")&amp;IF(H489="","missing branch_id; ","")&amp;IF(K489="","missing first_name; ","")&amp;IF(L489="","missing last_name; ","")&amp;IF(S489="","missing status; ","")&amp;IF(AND(B489&lt;&gt;"",COUNTIF(الزبائن!$A$6:$A$505,B489)=0),"source key not found; ","")&amp;IF((COUNTIFS('أرقام التواصل'!$A$6:$A$505,"proposed_name",'أرقام التواصل'!$B$6:$B$505,A489,'أرقام التواصل'!$I$6:$I$505,"TRUE")+COUNTIFS('أرقام التواصل'!$A$6:$A$505,"proposed_name",'أرقام التواصل'!$B$6:$B$505,A489,'أرقام التواصل'!$C$6:$C$505,1))=0,"missing primary contact in أرقام التواصل; ","")&amp;IF(AND(U489="TRUE",V489=""),"duplicate_type required when duplicate_flag TRUE; ","")))))</f>
        <v/>
      </c>
    </row>
    <row r="490" spans="1:29">
      <c r="A490" s="36"/>
      <c r="B490" s="24"/>
      <c r="C490" s="25"/>
      <c r="D490" s="25"/>
      <c r="E490" s="25"/>
      <c r="F490" s="24"/>
      <c r="G490" s="25"/>
      <c r="H490" s="25"/>
      <c r="I490" s="25"/>
      <c r="J490" s="25"/>
      <c r="K490" s="25"/>
      <c r="L490" s="25"/>
      <c r="M490" s="25"/>
      <c r="N490" s="25" t="str">
        <f t="shared" si="7"/>
        <v/>
      </c>
      <c r="O490" s="25"/>
      <c r="P490" s="25"/>
      <c r="Q490" s="25"/>
      <c r="R490" s="25"/>
      <c r="S490" s="25"/>
      <c r="T490" s="25"/>
      <c r="U490" s="25"/>
      <c r="V490" s="25"/>
      <c r="W490" s="24"/>
      <c r="X490" s="24"/>
      <c r="Y490" s="25"/>
      <c r="Z490" s="25" t="str">
        <f>IF(B490="","",IFERROR(INDEX(الزبائن!$AZ$6:$AZ$505,MATCH(B490,الزبائن!$A$6:$A$505,0)),"source key not found"))</f>
        <v/>
      </c>
      <c r="AA490" s="25" t="str">
        <f>IF(B490="","",IFERROR(INDEX(الزبائن!$BA$6:$BA$505,MATCH(B490,الزبائن!$A$6:$A$505,0)),"source key not found"))</f>
        <v/>
      </c>
      <c r="AB490" s="25" t="str">
        <f>IF(AND(A490="",C490="",D490="",H490="",K490="",L490=""),"",IF(C490="skip","SKIP",IF(OR(A490="",C490="",D490="",H490="",K490="",L490="",S490="",COUNTIF($A$6:$A$505,A490)&gt;1,AND(B490&lt;&gt;"",COUNTIF(الزبائن!$A$6:$A$505,B490)=0),(COUNTIFS('أرقام التواصل'!$A$6:$A$505,"proposed_name",'أرقام التواصل'!$B$6:$B$505,A490,'أرقام التواصل'!$I$6:$I$505,"TRUE")+COUNTIFS('أرقام التواصل'!$A$6:$A$505,"proposed_name",'أرقام التواصل'!$B$6:$B$505,A490,'أرقام التواصل'!$C$6:$C$505,1))=0,AND(U490="TRUE",V490="")),"REVIEW","READY")))</f>
        <v/>
      </c>
      <c r="AC490" s="27" t="str">
        <f>IF(AB490="","",IF(AB490="READY","",IF(AB490="SKIP","Skipped by candidate_import_action",TRIM(IF(A490="","missing proposed_name_key; ","")&amp;IF(AND(A490&lt;&gt;"",COUNTIF($A$6:$A$505,A490)&gt;1),"duplicate proposed_name_key; ","")&amp;IF(C490="","missing candidate_import_action; ","")&amp;IF(D490="","missing move_reason; ","")&amp;IF(H490="","missing branch_id; ","")&amp;IF(K490="","missing first_name; ","")&amp;IF(L490="","missing last_name; ","")&amp;IF(S490="","missing status; ","")&amp;IF(AND(B490&lt;&gt;"",COUNTIF(الزبائن!$A$6:$A$505,B490)=0),"source key not found; ","")&amp;IF((COUNTIFS('أرقام التواصل'!$A$6:$A$505,"proposed_name",'أرقام التواصل'!$B$6:$B$505,A490,'أرقام التواصل'!$I$6:$I$505,"TRUE")+COUNTIFS('أرقام التواصل'!$A$6:$A$505,"proposed_name",'أرقام التواصل'!$B$6:$B$505,A490,'أرقام التواصل'!$C$6:$C$505,1))=0,"missing primary contact in أرقام التواصل; ","")&amp;IF(AND(U490="TRUE",V490=""),"duplicate_type required when duplicate_flag TRUE; ","")))))</f>
        <v/>
      </c>
    </row>
    <row r="491" spans="1:29">
      <c r="A491" s="36"/>
      <c r="B491" s="24"/>
      <c r="C491" s="25"/>
      <c r="D491" s="25"/>
      <c r="E491" s="25"/>
      <c r="F491" s="24"/>
      <c r="G491" s="25"/>
      <c r="H491" s="25"/>
      <c r="I491" s="25"/>
      <c r="J491" s="25"/>
      <c r="K491" s="25"/>
      <c r="L491" s="25"/>
      <c r="M491" s="25"/>
      <c r="N491" s="25" t="str">
        <f t="shared" si="7"/>
        <v/>
      </c>
      <c r="O491" s="25"/>
      <c r="P491" s="25"/>
      <c r="Q491" s="25"/>
      <c r="R491" s="25"/>
      <c r="S491" s="25"/>
      <c r="T491" s="25"/>
      <c r="U491" s="25"/>
      <c r="V491" s="25"/>
      <c r="W491" s="24"/>
      <c r="X491" s="24"/>
      <c r="Y491" s="25"/>
      <c r="Z491" s="25" t="str">
        <f>IF(B491="","",IFERROR(INDEX(الزبائن!$AZ$6:$AZ$505,MATCH(B491,الزبائن!$A$6:$A$505,0)),"source key not found"))</f>
        <v/>
      </c>
      <c r="AA491" s="25" t="str">
        <f>IF(B491="","",IFERROR(INDEX(الزبائن!$BA$6:$BA$505,MATCH(B491,الزبائن!$A$6:$A$505,0)),"source key not found"))</f>
        <v/>
      </c>
      <c r="AB491" s="25" t="str">
        <f>IF(AND(A491="",C491="",D491="",H491="",K491="",L491=""),"",IF(C491="skip","SKIP",IF(OR(A491="",C491="",D491="",H491="",K491="",L491="",S491="",COUNTIF($A$6:$A$505,A491)&gt;1,AND(B491&lt;&gt;"",COUNTIF(الزبائن!$A$6:$A$505,B491)=0),(COUNTIFS('أرقام التواصل'!$A$6:$A$505,"proposed_name",'أرقام التواصل'!$B$6:$B$505,A491,'أرقام التواصل'!$I$6:$I$505,"TRUE")+COUNTIFS('أرقام التواصل'!$A$6:$A$505,"proposed_name",'أرقام التواصل'!$B$6:$B$505,A491,'أرقام التواصل'!$C$6:$C$505,1))=0,AND(U491="TRUE",V491="")),"REVIEW","READY")))</f>
        <v/>
      </c>
      <c r="AC491" s="27" t="str">
        <f>IF(AB491="","",IF(AB491="READY","",IF(AB491="SKIP","Skipped by candidate_import_action",TRIM(IF(A491="","missing proposed_name_key; ","")&amp;IF(AND(A491&lt;&gt;"",COUNTIF($A$6:$A$505,A491)&gt;1),"duplicate proposed_name_key; ","")&amp;IF(C491="","missing candidate_import_action; ","")&amp;IF(D491="","missing move_reason; ","")&amp;IF(H491="","missing branch_id; ","")&amp;IF(K491="","missing first_name; ","")&amp;IF(L491="","missing last_name; ","")&amp;IF(S491="","missing status; ","")&amp;IF(AND(B491&lt;&gt;"",COUNTIF(الزبائن!$A$6:$A$505,B491)=0),"source key not found; ","")&amp;IF((COUNTIFS('أرقام التواصل'!$A$6:$A$505,"proposed_name",'أرقام التواصل'!$B$6:$B$505,A491,'أرقام التواصل'!$I$6:$I$505,"TRUE")+COUNTIFS('أرقام التواصل'!$A$6:$A$505,"proposed_name",'أرقام التواصل'!$B$6:$B$505,A491,'أرقام التواصل'!$C$6:$C$505,1))=0,"missing primary contact in أرقام التواصل; ","")&amp;IF(AND(U491="TRUE",V491=""),"duplicate_type required when duplicate_flag TRUE; ","")))))</f>
        <v/>
      </c>
    </row>
    <row r="492" spans="1:29">
      <c r="A492" s="36"/>
      <c r="B492" s="24"/>
      <c r="C492" s="25"/>
      <c r="D492" s="25"/>
      <c r="E492" s="25"/>
      <c r="F492" s="24"/>
      <c r="G492" s="25"/>
      <c r="H492" s="25"/>
      <c r="I492" s="25"/>
      <c r="J492" s="25"/>
      <c r="K492" s="25"/>
      <c r="L492" s="25"/>
      <c r="M492" s="25"/>
      <c r="N492" s="25" t="str">
        <f t="shared" si="7"/>
        <v/>
      </c>
      <c r="O492" s="25"/>
      <c r="P492" s="25"/>
      <c r="Q492" s="25"/>
      <c r="R492" s="25"/>
      <c r="S492" s="25"/>
      <c r="T492" s="25"/>
      <c r="U492" s="25"/>
      <c r="V492" s="25"/>
      <c r="W492" s="24"/>
      <c r="X492" s="24"/>
      <c r="Y492" s="25"/>
      <c r="Z492" s="25" t="str">
        <f>IF(B492="","",IFERROR(INDEX(الزبائن!$AZ$6:$AZ$505,MATCH(B492,الزبائن!$A$6:$A$505,0)),"source key not found"))</f>
        <v/>
      </c>
      <c r="AA492" s="25" t="str">
        <f>IF(B492="","",IFERROR(INDEX(الزبائن!$BA$6:$BA$505,MATCH(B492,الزبائن!$A$6:$A$505,0)),"source key not found"))</f>
        <v/>
      </c>
      <c r="AB492" s="25" t="str">
        <f>IF(AND(A492="",C492="",D492="",H492="",K492="",L492=""),"",IF(C492="skip","SKIP",IF(OR(A492="",C492="",D492="",H492="",K492="",L492="",S492="",COUNTIF($A$6:$A$505,A492)&gt;1,AND(B492&lt;&gt;"",COUNTIF(الزبائن!$A$6:$A$505,B492)=0),(COUNTIFS('أرقام التواصل'!$A$6:$A$505,"proposed_name",'أرقام التواصل'!$B$6:$B$505,A492,'أرقام التواصل'!$I$6:$I$505,"TRUE")+COUNTIFS('أرقام التواصل'!$A$6:$A$505,"proposed_name",'أرقام التواصل'!$B$6:$B$505,A492,'أرقام التواصل'!$C$6:$C$505,1))=0,AND(U492="TRUE",V492="")),"REVIEW","READY")))</f>
        <v/>
      </c>
      <c r="AC492" s="27" t="str">
        <f>IF(AB492="","",IF(AB492="READY","",IF(AB492="SKIP","Skipped by candidate_import_action",TRIM(IF(A492="","missing proposed_name_key; ","")&amp;IF(AND(A492&lt;&gt;"",COUNTIF($A$6:$A$505,A492)&gt;1),"duplicate proposed_name_key; ","")&amp;IF(C492="","missing candidate_import_action; ","")&amp;IF(D492="","missing move_reason; ","")&amp;IF(H492="","missing branch_id; ","")&amp;IF(K492="","missing first_name; ","")&amp;IF(L492="","missing last_name; ","")&amp;IF(S492="","missing status; ","")&amp;IF(AND(B492&lt;&gt;"",COUNTIF(الزبائن!$A$6:$A$505,B492)=0),"source key not found; ","")&amp;IF((COUNTIFS('أرقام التواصل'!$A$6:$A$505,"proposed_name",'أرقام التواصل'!$B$6:$B$505,A492,'أرقام التواصل'!$I$6:$I$505,"TRUE")+COUNTIFS('أرقام التواصل'!$A$6:$A$505,"proposed_name",'أرقام التواصل'!$B$6:$B$505,A492,'أرقام التواصل'!$C$6:$C$505,1))=0,"missing primary contact in أرقام التواصل; ","")&amp;IF(AND(U492="TRUE",V492=""),"duplicate_type required when duplicate_flag TRUE; ","")))))</f>
        <v/>
      </c>
    </row>
    <row r="493" spans="1:29">
      <c r="A493" s="36"/>
      <c r="B493" s="24"/>
      <c r="C493" s="25"/>
      <c r="D493" s="25"/>
      <c r="E493" s="25"/>
      <c r="F493" s="24"/>
      <c r="G493" s="25"/>
      <c r="H493" s="25"/>
      <c r="I493" s="25"/>
      <c r="J493" s="25"/>
      <c r="K493" s="25"/>
      <c r="L493" s="25"/>
      <c r="M493" s="25"/>
      <c r="N493" s="25" t="str">
        <f t="shared" si="7"/>
        <v/>
      </c>
      <c r="O493" s="25"/>
      <c r="P493" s="25"/>
      <c r="Q493" s="25"/>
      <c r="R493" s="25"/>
      <c r="S493" s="25"/>
      <c r="T493" s="25"/>
      <c r="U493" s="25"/>
      <c r="V493" s="25"/>
      <c r="W493" s="24"/>
      <c r="X493" s="24"/>
      <c r="Y493" s="25"/>
      <c r="Z493" s="25" t="str">
        <f>IF(B493="","",IFERROR(INDEX(الزبائن!$AZ$6:$AZ$505,MATCH(B493,الزبائن!$A$6:$A$505,0)),"source key not found"))</f>
        <v/>
      </c>
      <c r="AA493" s="25" t="str">
        <f>IF(B493="","",IFERROR(INDEX(الزبائن!$BA$6:$BA$505,MATCH(B493,الزبائن!$A$6:$A$505,0)),"source key not found"))</f>
        <v/>
      </c>
      <c r="AB493" s="25" t="str">
        <f>IF(AND(A493="",C493="",D493="",H493="",K493="",L493=""),"",IF(C493="skip","SKIP",IF(OR(A493="",C493="",D493="",H493="",K493="",L493="",S493="",COUNTIF($A$6:$A$505,A493)&gt;1,AND(B493&lt;&gt;"",COUNTIF(الزبائن!$A$6:$A$505,B493)=0),(COUNTIFS('أرقام التواصل'!$A$6:$A$505,"proposed_name",'أرقام التواصل'!$B$6:$B$505,A493,'أرقام التواصل'!$I$6:$I$505,"TRUE")+COUNTIFS('أرقام التواصل'!$A$6:$A$505,"proposed_name",'أرقام التواصل'!$B$6:$B$505,A493,'أرقام التواصل'!$C$6:$C$505,1))=0,AND(U493="TRUE",V493="")),"REVIEW","READY")))</f>
        <v/>
      </c>
      <c r="AC493" s="27" t="str">
        <f>IF(AB493="","",IF(AB493="READY","",IF(AB493="SKIP","Skipped by candidate_import_action",TRIM(IF(A493="","missing proposed_name_key; ","")&amp;IF(AND(A493&lt;&gt;"",COUNTIF($A$6:$A$505,A493)&gt;1),"duplicate proposed_name_key; ","")&amp;IF(C493="","missing candidate_import_action; ","")&amp;IF(D493="","missing move_reason; ","")&amp;IF(H493="","missing branch_id; ","")&amp;IF(K493="","missing first_name; ","")&amp;IF(L493="","missing last_name; ","")&amp;IF(S493="","missing status; ","")&amp;IF(AND(B493&lt;&gt;"",COUNTIF(الزبائن!$A$6:$A$505,B493)=0),"source key not found; ","")&amp;IF((COUNTIFS('أرقام التواصل'!$A$6:$A$505,"proposed_name",'أرقام التواصل'!$B$6:$B$505,A493,'أرقام التواصل'!$I$6:$I$505,"TRUE")+COUNTIFS('أرقام التواصل'!$A$6:$A$505,"proposed_name",'أرقام التواصل'!$B$6:$B$505,A493,'أرقام التواصل'!$C$6:$C$505,1))=0,"missing primary contact in أرقام التواصل; ","")&amp;IF(AND(U493="TRUE",V493=""),"duplicate_type required when duplicate_flag TRUE; ","")))))</f>
        <v/>
      </c>
    </row>
    <row r="494" spans="1:29">
      <c r="A494" s="36"/>
      <c r="B494" s="24"/>
      <c r="C494" s="25"/>
      <c r="D494" s="25"/>
      <c r="E494" s="25"/>
      <c r="F494" s="24"/>
      <c r="G494" s="25"/>
      <c r="H494" s="25"/>
      <c r="I494" s="25"/>
      <c r="J494" s="25"/>
      <c r="K494" s="25"/>
      <c r="L494" s="25"/>
      <c r="M494" s="25"/>
      <c r="N494" s="25" t="str">
        <f t="shared" si="7"/>
        <v/>
      </c>
      <c r="O494" s="25"/>
      <c r="P494" s="25"/>
      <c r="Q494" s="25"/>
      <c r="R494" s="25"/>
      <c r="S494" s="25"/>
      <c r="T494" s="25"/>
      <c r="U494" s="25"/>
      <c r="V494" s="25"/>
      <c r="W494" s="24"/>
      <c r="X494" s="24"/>
      <c r="Y494" s="25"/>
      <c r="Z494" s="25" t="str">
        <f>IF(B494="","",IFERROR(INDEX(الزبائن!$AZ$6:$AZ$505,MATCH(B494,الزبائن!$A$6:$A$505,0)),"source key not found"))</f>
        <v/>
      </c>
      <c r="AA494" s="25" t="str">
        <f>IF(B494="","",IFERROR(INDEX(الزبائن!$BA$6:$BA$505,MATCH(B494,الزبائن!$A$6:$A$505,0)),"source key not found"))</f>
        <v/>
      </c>
      <c r="AB494" s="25" t="str">
        <f>IF(AND(A494="",C494="",D494="",H494="",K494="",L494=""),"",IF(C494="skip","SKIP",IF(OR(A494="",C494="",D494="",H494="",K494="",L494="",S494="",COUNTIF($A$6:$A$505,A494)&gt;1,AND(B494&lt;&gt;"",COUNTIF(الزبائن!$A$6:$A$505,B494)=0),(COUNTIFS('أرقام التواصل'!$A$6:$A$505,"proposed_name",'أرقام التواصل'!$B$6:$B$505,A494,'أرقام التواصل'!$I$6:$I$505,"TRUE")+COUNTIFS('أرقام التواصل'!$A$6:$A$505,"proposed_name",'أرقام التواصل'!$B$6:$B$505,A494,'أرقام التواصل'!$C$6:$C$505,1))=0,AND(U494="TRUE",V494="")),"REVIEW","READY")))</f>
        <v/>
      </c>
      <c r="AC494" s="27" t="str">
        <f>IF(AB494="","",IF(AB494="READY","",IF(AB494="SKIP","Skipped by candidate_import_action",TRIM(IF(A494="","missing proposed_name_key; ","")&amp;IF(AND(A494&lt;&gt;"",COUNTIF($A$6:$A$505,A494)&gt;1),"duplicate proposed_name_key; ","")&amp;IF(C494="","missing candidate_import_action; ","")&amp;IF(D494="","missing move_reason; ","")&amp;IF(H494="","missing branch_id; ","")&amp;IF(K494="","missing first_name; ","")&amp;IF(L494="","missing last_name; ","")&amp;IF(S494="","missing status; ","")&amp;IF(AND(B494&lt;&gt;"",COUNTIF(الزبائن!$A$6:$A$505,B494)=0),"source key not found; ","")&amp;IF((COUNTIFS('أرقام التواصل'!$A$6:$A$505,"proposed_name",'أرقام التواصل'!$B$6:$B$505,A494,'أرقام التواصل'!$I$6:$I$505,"TRUE")+COUNTIFS('أرقام التواصل'!$A$6:$A$505,"proposed_name",'أرقام التواصل'!$B$6:$B$505,A494,'أرقام التواصل'!$C$6:$C$505,1))=0,"missing primary contact in أرقام التواصل; ","")&amp;IF(AND(U494="TRUE",V494=""),"duplicate_type required when duplicate_flag TRUE; ","")))))</f>
        <v/>
      </c>
    </row>
    <row r="495" spans="1:29">
      <c r="A495" s="36"/>
      <c r="B495" s="24"/>
      <c r="C495" s="25"/>
      <c r="D495" s="25"/>
      <c r="E495" s="25"/>
      <c r="F495" s="24"/>
      <c r="G495" s="25"/>
      <c r="H495" s="25"/>
      <c r="I495" s="25"/>
      <c r="J495" s="25"/>
      <c r="K495" s="25"/>
      <c r="L495" s="25"/>
      <c r="M495" s="25"/>
      <c r="N495" s="25" t="str">
        <f t="shared" si="7"/>
        <v/>
      </c>
      <c r="O495" s="25"/>
      <c r="P495" s="25"/>
      <c r="Q495" s="25"/>
      <c r="R495" s="25"/>
      <c r="S495" s="25"/>
      <c r="T495" s="25"/>
      <c r="U495" s="25"/>
      <c r="V495" s="25"/>
      <c r="W495" s="24"/>
      <c r="X495" s="24"/>
      <c r="Y495" s="25"/>
      <c r="Z495" s="25" t="str">
        <f>IF(B495="","",IFERROR(INDEX(الزبائن!$AZ$6:$AZ$505,MATCH(B495,الزبائن!$A$6:$A$505,0)),"source key not found"))</f>
        <v/>
      </c>
      <c r="AA495" s="25" t="str">
        <f>IF(B495="","",IFERROR(INDEX(الزبائن!$BA$6:$BA$505,MATCH(B495,الزبائن!$A$6:$A$505,0)),"source key not found"))</f>
        <v/>
      </c>
      <c r="AB495" s="25" t="str">
        <f>IF(AND(A495="",C495="",D495="",H495="",K495="",L495=""),"",IF(C495="skip","SKIP",IF(OR(A495="",C495="",D495="",H495="",K495="",L495="",S495="",COUNTIF($A$6:$A$505,A495)&gt;1,AND(B495&lt;&gt;"",COUNTIF(الزبائن!$A$6:$A$505,B495)=0),(COUNTIFS('أرقام التواصل'!$A$6:$A$505,"proposed_name",'أرقام التواصل'!$B$6:$B$505,A495,'أرقام التواصل'!$I$6:$I$505,"TRUE")+COUNTIFS('أرقام التواصل'!$A$6:$A$505,"proposed_name",'أرقام التواصل'!$B$6:$B$505,A495,'أرقام التواصل'!$C$6:$C$505,1))=0,AND(U495="TRUE",V495="")),"REVIEW","READY")))</f>
        <v/>
      </c>
      <c r="AC495" s="27" t="str">
        <f>IF(AB495="","",IF(AB495="READY","",IF(AB495="SKIP","Skipped by candidate_import_action",TRIM(IF(A495="","missing proposed_name_key; ","")&amp;IF(AND(A495&lt;&gt;"",COUNTIF($A$6:$A$505,A495)&gt;1),"duplicate proposed_name_key; ","")&amp;IF(C495="","missing candidate_import_action; ","")&amp;IF(D495="","missing move_reason; ","")&amp;IF(H495="","missing branch_id; ","")&amp;IF(K495="","missing first_name; ","")&amp;IF(L495="","missing last_name; ","")&amp;IF(S495="","missing status; ","")&amp;IF(AND(B495&lt;&gt;"",COUNTIF(الزبائن!$A$6:$A$505,B495)=0),"source key not found; ","")&amp;IF((COUNTIFS('أرقام التواصل'!$A$6:$A$505,"proposed_name",'أرقام التواصل'!$B$6:$B$505,A495,'أرقام التواصل'!$I$6:$I$505,"TRUE")+COUNTIFS('أرقام التواصل'!$A$6:$A$505,"proposed_name",'أرقام التواصل'!$B$6:$B$505,A495,'أرقام التواصل'!$C$6:$C$505,1))=0,"missing primary contact in أرقام التواصل; ","")&amp;IF(AND(U495="TRUE",V495=""),"duplicate_type required when duplicate_flag TRUE; ","")))))</f>
        <v/>
      </c>
    </row>
    <row r="496" spans="1:29">
      <c r="A496" s="36"/>
      <c r="B496" s="24"/>
      <c r="C496" s="25"/>
      <c r="D496" s="25"/>
      <c r="E496" s="25"/>
      <c r="F496" s="24"/>
      <c r="G496" s="25"/>
      <c r="H496" s="25"/>
      <c r="I496" s="25"/>
      <c r="J496" s="25"/>
      <c r="K496" s="25"/>
      <c r="L496" s="25"/>
      <c r="M496" s="25"/>
      <c r="N496" s="25" t="str">
        <f t="shared" si="7"/>
        <v/>
      </c>
      <c r="O496" s="25"/>
      <c r="P496" s="25"/>
      <c r="Q496" s="25"/>
      <c r="R496" s="25"/>
      <c r="S496" s="25"/>
      <c r="T496" s="25"/>
      <c r="U496" s="25"/>
      <c r="V496" s="25"/>
      <c r="W496" s="24"/>
      <c r="X496" s="24"/>
      <c r="Y496" s="25"/>
      <c r="Z496" s="25" t="str">
        <f>IF(B496="","",IFERROR(INDEX(الزبائن!$AZ$6:$AZ$505,MATCH(B496,الزبائن!$A$6:$A$505,0)),"source key not found"))</f>
        <v/>
      </c>
      <c r="AA496" s="25" t="str">
        <f>IF(B496="","",IFERROR(INDEX(الزبائن!$BA$6:$BA$505,MATCH(B496,الزبائن!$A$6:$A$505,0)),"source key not found"))</f>
        <v/>
      </c>
      <c r="AB496" s="25" t="str">
        <f>IF(AND(A496="",C496="",D496="",H496="",K496="",L496=""),"",IF(C496="skip","SKIP",IF(OR(A496="",C496="",D496="",H496="",K496="",L496="",S496="",COUNTIF($A$6:$A$505,A496)&gt;1,AND(B496&lt;&gt;"",COUNTIF(الزبائن!$A$6:$A$505,B496)=0),(COUNTIFS('أرقام التواصل'!$A$6:$A$505,"proposed_name",'أرقام التواصل'!$B$6:$B$505,A496,'أرقام التواصل'!$I$6:$I$505,"TRUE")+COUNTIFS('أرقام التواصل'!$A$6:$A$505,"proposed_name",'أرقام التواصل'!$B$6:$B$505,A496,'أرقام التواصل'!$C$6:$C$505,1))=0,AND(U496="TRUE",V496="")),"REVIEW","READY")))</f>
        <v/>
      </c>
      <c r="AC496" s="27" t="str">
        <f>IF(AB496="","",IF(AB496="READY","",IF(AB496="SKIP","Skipped by candidate_import_action",TRIM(IF(A496="","missing proposed_name_key; ","")&amp;IF(AND(A496&lt;&gt;"",COUNTIF($A$6:$A$505,A496)&gt;1),"duplicate proposed_name_key; ","")&amp;IF(C496="","missing candidate_import_action; ","")&amp;IF(D496="","missing move_reason; ","")&amp;IF(H496="","missing branch_id; ","")&amp;IF(K496="","missing first_name; ","")&amp;IF(L496="","missing last_name; ","")&amp;IF(S496="","missing status; ","")&amp;IF(AND(B496&lt;&gt;"",COUNTIF(الزبائن!$A$6:$A$505,B496)=0),"source key not found; ","")&amp;IF((COUNTIFS('أرقام التواصل'!$A$6:$A$505,"proposed_name",'أرقام التواصل'!$B$6:$B$505,A496,'أرقام التواصل'!$I$6:$I$505,"TRUE")+COUNTIFS('أرقام التواصل'!$A$6:$A$505,"proposed_name",'أرقام التواصل'!$B$6:$B$505,A496,'أرقام التواصل'!$C$6:$C$505,1))=0,"missing primary contact in أرقام التواصل; ","")&amp;IF(AND(U496="TRUE",V496=""),"duplicate_type required when duplicate_flag TRUE; ","")))))</f>
        <v/>
      </c>
    </row>
    <row r="497" spans="1:29">
      <c r="A497" s="36"/>
      <c r="B497" s="24"/>
      <c r="C497" s="25"/>
      <c r="D497" s="25"/>
      <c r="E497" s="25"/>
      <c r="F497" s="24"/>
      <c r="G497" s="25"/>
      <c r="H497" s="25"/>
      <c r="I497" s="25"/>
      <c r="J497" s="25"/>
      <c r="K497" s="25"/>
      <c r="L497" s="25"/>
      <c r="M497" s="25"/>
      <c r="N497" s="25" t="str">
        <f t="shared" si="7"/>
        <v/>
      </c>
      <c r="O497" s="25"/>
      <c r="P497" s="25"/>
      <c r="Q497" s="25"/>
      <c r="R497" s="25"/>
      <c r="S497" s="25"/>
      <c r="T497" s="25"/>
      <c r="U497" s="25"/>
      <c r="V497" s="25"/>
      <c r="W497" s="24"/>
      <c r="X497" s="24"/>
      <c r="Y497" s="25"/>
      <c r="Z497" s="25" t="str">
        <f>IF(B497="","",IFERROR(INDEX(الزبائن!$AZ$6:$AZ$505,MATCH(B497,الزبائن!$A$6:$A$505,0)),"source key not found"))</f>
        <v/>
      </c>
      <c r="AA497" s="25" t="str">
        <f>IF(B497="","",IFERROR(INDEX(الزبائن!$BA$6:$BA$505,MATCH(B497,الزبائن!$A$6:$A$505,0)),"source key not found"))</f>
        <v/>
      </c>
      <c r="AB497" s="25" t="str">
        <f>IF(AND(A497="",C497="",D497="",H497="",K497="",L497=""),"",IF(C497="skip","SKIP",IF(OR(A497="",C497="",D497="",H497="",K497="",L497="",S497="",COUNTIF($A$6:$A$505,A497)&gt;1,AND(B497&lt;&gt;"",COUNTIF(الزبائن!$A$6:$A$505,B497)=0),(COUNTIFS('أرقام التواصل'!$A$6:$A$505,"proposed_name",'أرقام التواصل'!$B$6:$B$505,A497,'أرقام التواصل'!$I$6:$I$505,"TRUE")+COUNTIFS('أرقام التواصل'!$A$6:$A$505,"proposed_name",'أرقام التواصل'!$B$6:$B$505,A497,'أرقام التواصل'!$C$6:$C$505,1))=0,AND(U497="TRUE",V497="")),"REVIEW","READY")))</f>
        <v/>
      </c>
      <c r="AC497" s="27" t="str">
        <f>IF(AB497="","",IF(AB497="READY","",IF(AB497="SKIP","Skipped by candidate_import_action",TRIM(IF(A497="","missing proposed_name_key; ","")&amp;IF(AND(A497&lt;&gt;"",COUNTIF($A$6:$A$505,A497)&gt;1),"duplicate proposed_name_key; ","")&amp;IF(C497="","missing candidate_import_action; ","")&amp;IF(D497="","missing move_reason; ","")&amp;IF(H497="","missing branch_id; ","")&amp;IF(K497="","missing first_name; ","")&amp;IF(L497="","missing last_name; ","")&amp;IF(S497="","missing status; ","")&amp;IF(AND(B497&lt;&gt;"",COUNTIF(الزبائن!$A$6:$A$505,B497)=0),"source key not found; ","")&amp;IF((COUNTIFS('أرقام التواصل'!$A$6:$A$505,"proposed_name",'أرقام التواصل'!$B$6:$B$505,A497,'أرقام التواصل'!$I$6:$I$505,"TRUE")+COUNTIFS('أرقام التواصل'!$A$6:$A$505,"proposed_name",'أرقام التواصل'!$B$6:$B$505,A497,'أرقام التواصل'!$C$6:$C$505,1))=0,"missing primary contact in أرقام التواصل; ","")&amp;IF(AND(U497="TRUE",V497=""),"duplicate_type required when duplicate_flag TRUE; ","")))))</f>
        <v/>
      </c>
    </row>
    <row r="498" spans="1:29">
      <c r="A498" s="36"/>
      <c r="B498" s="24"/>
      <c r="C498" s="25"/>
      <c r="D498" s="25"/>
      <c r="E498" s="25"/>
      <c r="F498" s="24"/>
      <c r="G498" s="25"/>
      <c r="H498" s="25"/>
      <c r="I498" s="25"/>
      <c r="J498" s="25"/>
      <c r="K498" s="25"/>
      <c r="L498" s="25"/>
      <c r="M498" s="25"/>
      <c r="N498" s="25" t="str">
        <f t="shared" si="7"/>
        <v/>
      </c>
      <c r="O498" s="25"/>
      <c r="P498" s="25"/>
      <c r="Q498" s="25"/>
      <c r="R498" s="25"/>
      <c r="S498" s="25"/>
      <c r="T498" s="25"/>
      <c r="U498" s="25"/>
      <c r="V498" s="25"/>
      <c r="W498" s="24"/>
      <c r="X498" s="24"/>
      <c r="Y498" s="25"/>
      <c r="Z498" s="25" t="str">
        <f>IF(B498="","",IFERROR(INDEX(الزبائن!$AZ$6:$AZ$505,MATCH(B498,الزبائن!$A$6:$A$505,0)),"source key not found"))</f>
        <v/>
      </c>
      <c r="AA498" s="25" t="str">
        <f>IF(B498="","",IFERROR(INDEX(الزبائن!$BA$6:$BA$505,MATCH(B498,الزبائن!$A$6:$A$505,0)),"source key not found"))</f>
        <v/>
      </c>
      <c r="AB498" s="25" t="str">
        <f>IF(AND(A498="",C498="",D498="",H498="",K498="",L498=""),"",IF(C498="skip","SKIP",IF(OR(A498="",C498="",D498="",H498="",K498="",L498="",S498="",COUNTIF($A$6:$A$505,A498)&gt;1,AND(B498&lt;&gt;"",COUNTIF(الزبائن!$A$6:$A$505,B498)=0),(COUNTIFS('أرقام التواصل'!$A$6:$A$505,"proposed_name",'أرقام التواصل'!$B$6:$B$505,A498,'أرقام التواصل'!$I$6:$I$505,"TRUE")+COUNTIFS('أرقام التواصل'!$A$6:$A$505,"proposed_name",'أرقام التواصل'!$B$6:$B$505,A498,'أرقام التواصل'!$C$6:$C$505,1))=0,AND(U498="TRUE",V498="")),"REVIEW","READY")))</f>
        <v/>
      </c>
      <c r="AC498" s="27" t="str">
        <f>IF(AB498="","",IF(AB498="READY","",IF(AB498="SKIP","Skipped by candidate_import_action",TRIM(IF(A498="","missing proposed_name_key; ","")&amp;IF(AND(A498&lt;&gt;"",COUNTIF($A$6:$A$505,A498)&gt;1),"duplicate proposed_name_key; ","")&amp;IF(C498="","missing candidate_import_action; ","")&amp;IF(D498="","missing move_reason; ","")&amp;IF(H498="","missing branch_id; ","")&amp;IF(K498="","missing first_name; ","")&amp;IF(L498="","missing last_name; ","")&amp;IF(S498="","missing status; ","")&amp;IF(AND(B498&lt;&gt;"",COUNTIF(الزبائن!$A$6:$A$505,B498)=0),"source key not found; ","")&amp;IF((COUNTIFS('أرقام التواصل'!$A$6:$A$505,"proposed_name",'أرقام التواصل'!$B$6:$B$505,A498,'أرقام التواصل'!$I$6:$I$505,"TRUE")+COUNTIFS('أرقام التواصل'!$A$6:$A$505,"proposed_name",'أرقام التواصل'!$B$6:$B$505,A498,'أرقام التواصل'!$C$6:$C$505,1))=0,"missing primary contact in أرقام التواصل; ","")&amp;IF(AND(U498="TRUE",V498=""),"duplicate_type required when duplicate_flag TRUE; ","")))))</f>
        <v/>
      </c>
    </row>
    <row r="499" spans="1:29">
      <c r="A499" s="36"/>
      <c r="B499" s="24"/>
      <c r="C499" s="25"/>
      <c r="D499" s="25"/>
      <c r="E499" s="25"/>
      <c r="F499" s="24"/>
      <c r="G499" s="25"/>
      <c r="H499" s="25"/>
      <c r="I499" s="25"/>
      <c r="J499" s="25"/>
      <c r="K499" s="25"/>
      <c r="L499" s="25"/>
      <c r="M499" s="25"/>
      <c r="N499" s="25" t="str">
        <f t="shared" si="7"/>
        <v/>
      </c>
      <c r="O499" s="25"/>
      <c r="P499" s="25"/>
      <c r="Q499" s="25"/>
      <c r="R499" s="25"/>
      <c r="S499" s="25"/>
      <c r="T499" s="25"/>
      <c r="U499" s="25"/>
      <c r="V499" s="25"/>
      <c r="W499" s="24"/>
      <c r="X499" s="24"/>
      <c r="Y499" s="25"/>
      <c r="Z499" s="25" t="str">
        <f>IF(B499="","",IFERROR(INDEX(الزبائن!$AZ$6:$AZ$505,MATCH(B499,الزبائن!$A$6:$A$505,0)),"source key not found"))</f>
        <v/>
      </c>
      <c r="AA499" s="25" t="str">
        <f>IF(B499="","",IFERROR(INDEX(الزبائن!$BA$6:$BA$505,MATCH(B499,الزبائن!$A$6:$A$505,0)),"source key not found"))</f>
        <v/>
      </c>
      <c r="AB499" s="25" t="str">
        <f>IF(AND(A499="",C499="",D499="",H499="",K499="",L499=""),"",IF(C499="skip","SKIP",IF(OR(A499="",C499="",D499="",H499="",K499="",L499="",S499="",COUNTIF($A$6:$A$505,A499)&gt;1,AND(B499&lt;&gt;"",COUNTIF(الزبائن!$A$6:$A$505,B499)=0),(COUNTIFS('أرقام التواصل'!$A$6:$A$505,"proposed_name",'أرقام التواصل'!$B$6:$B$505,A499,'أرقام التواصل'!$I$6:$I$505,"TRUE")+COUNTIFS('أرقام التواصل'!$A$6:$A$505,"proposed_name",'أرقام التواصل'!$B$6:$B$505,A499,'أرقام التواصل'!$C$6:$C$505,1))=0,AND(U499="TRUE",V499="")),"REVIEW","READY")))</f>
        <v/>
      </c>
      <c r="AC499" s="27" t="str">
        <f>IF(AB499="","",IF(AB499="READY","",IF(AB499="SKIP","Skipped by candidate_import_action",TRIM(IF(A499="","missing proposed_name_key; ","")&amp;IF(AND(A499&lt;&gt;"",COUNTIF($A$6:$A$505,A499)&gt;1),"duplicate proposed_name_key; ","")&amp;IF(C499="","missing candidate_import_action; ","")&amp;IF(D499="","missing move_reason; ","")&amp;IF(H499="","missing branch_id; ","")&amp;IF(K499="","missing first_name; ","")&amp;IF(L499="","missing last_name; ","")&amp;IF(S499="","missing status; ","")&amp;IF(AND(B499&lt;&gt;"",COUNTIF(الزبائن!$A$6:$A$505,B499)=0),"source key not found; ","")&amp;IF((COUNTIFS('أرقام التواصل'!$A$6:$A$505,"proposed_name",'أرقام التواصل'!$B$6:$B$505,A499,'أرقام التواصل'!$I$6:$I$505,"TRUE")+COUNTIFS('أرقام التواصل'!$A$6:$A$505,"proposed_name",'أرقام التواصل'!$B$6:$B$505,A499,'أرقام التواصل'!$C$6:$C$505,1))=0,"missing primary contact in أرقام التواصل; ","")&amp;IF(AND(U499="TRUE",V499=""),"duplicate_type required when duplicate_flag TRUE; ","")))))</f>
        <v/>
      </c>
    </row>
    <row r="500" spans="1:29">
      <c r="A500" s="36"/>
      <c r="B500" s="24"/>
      <c r="C500" s="25"/>
      <c r="D500" s="25"/>
      <c r="E500" s="25"/>
      <c r="F500" s="24"/>
      <c r="G500" s="25"/>
      <c r="H500" s="25"/>
      <c r="I500" s="25"/>
      <c r="J500" s="25"/>
      <c r="K500" s="25"/>
      <c r="L500" s="25"/>
      <c r="M500" s="25"/>
      <c r="N500" s="25" t="str">
        <f t="shared" si="7"/>
        <v/>
      </c>
      <c r="O500" s="25"/>
      <c r="P500" s="25"/>
      <c r="Q500" s="25"/>
      <c r="R500" s="25"/>
      <c r="S500" s="25"/>
      <c r="T500" s="25"/>
      <c r="U500" s="25"/>
      <c r="V500" s="25"/>
      <c r="W500" s="24"/>
      <c r="X500" s="24"/>
      <c r="Y500" s="25"/>
      <c r="Z500" s="25" t="str">
        <f>IF(B500="","",IFERROR(INDEX(الزبائن!$AZ$6:$AZ$505,MATCH(B500,الزبائن!$A$6:$A$505,0)),"source key not found"))</f>
        <v/>
      </c>
      <c r="AA500" s="25" t="str">
        <f>IF(B500="","",IFERROR(INDEX(الزبائن!$BA$6:$BA$505,MATCH(B500,الزبائن!$A$6:$A$505,0)),"source key not found"))</f>
        <v/>
      </c>
      <c r="AB500" s="25" t="str">
        <f>IF(AND(A500="",C500="",D500="",H500="",K500="",L500=""),"",IF(C500="skip","SKIP",IF(OR(A500="",C500="",D500="",H500="",K500="",L500="",S500="",COUNTIF($A$6:$A$505,A500)&gt;1,AND(B500&lt;&gt;"",COUNTIF(الزبائن!$A$6:$A$505,B500)=0),(COUNTIFS('أرقام التواصل'!$A$6:$A$505,"proposed_name",'أرقام التواصل'!$B$6:$B$505,A500,'أرقام التواصل'!$I$6:$I$505,"TRUE")+COUNTIFS('أرقام التواصل'!$A$6:$A$505,"proposed_name",'أرقام التواصل'!$B$6:$B$505,A500,'أرقام التواصل'!$C$6:$C$505,1))=0,AND(U500="TRUE",V500="")),"REVIEW","READY")))</f>
        <v/>
      </c>
      <c r="AC500" s="27" t="str">
        <f>IF(AB500="","",IF(AB500="READY","",IF(AB500="SKIP","Skipped by candidate_import_action",TRIM(IF(A500="","missing proposed_name_key; ","")&amp;IF(AND(A500&lt;&gt;"",COUNTIF($A$6:$A$505,A500)&gt;1),"duplicate proposed_name_key; ","")&amp;IF(C500="","missing candidate_import_action; ","")&amp;IF(D500="","missing move_reason; ","")&amp;IF(H500="","missing branch_id; ","")&amp;IF(K500="","missing first_name; ","")&amp;IF(L500="","missing last_name; ","")&amp;IF(S500="","missing status; ","")&amp;IF(AND(B500&lt;&gt;"",COUNTIF(الزبائن!$A$6:$A$505,B500)=0),"source key not found; ","")&amp;IF((COUNTIFS('أرقام التواصل'!$A$6:$A$505,"proposed_name",'أرقام التواصل'!$B$6:$B$505,A500,'أرقام التواصل'!$I$6:$I$505,"TRUE")+COUNTIFS('أرقام التواصل'!$A$6:$A$505,"proposed_name",'أرقام التواصل'!$B$6:$B$505,A500,'أرقام التواصل'!$C$6:$C$505,1))=0,"missing primary contact in أرقام التواصل; ","")&amp;IF(AND(U500="TRUE",V500=""),"duplicate_type required when duplicate_flag TRUE; ","")))))</f>
        <v/>
      </c>
    </row>
    <row r="501" spans="1:29">
      <c r="A501" s="36"/>
      <c r="B501" s="24"/>
      <c r="C501" s="25"/>
      <c r="D501" s="25"/>
      <c r="E501" s="25"/>
      <c r="F501" s="24"/>
      <c r="G501" s="25"/>
      <c r="H501" s="25"/>
      <c r="I501" s="25"/>
      <c r="J501" s="25"/>
      <c r="K501" s="25"/>
      <c r="L501" s="25"/>
      <c r="M501" s="25"/>
      <c r="N501" s="25" t="str">
        <f t="shared" si="7"/>
        <v/>
      </c>
      <c r="O501" s="25"/>
      <c r="P501" s="25"/>
      <c r="Q501" s="25"/>
      <c r="R501" s="25"/>
      <c r="S501" s="25"/>
      <c r="T501" s="25"/>
      <c r="U501" s="25"/>
      <c r="V501" s="25"/>
      <c r="W501" s="24"/>
      <c r="X501" s="24"/>
      <c r="Y501" s="25"/>
      <c r="Z501" s="25" t="str">
        <f>IF(B501="","",IFERROR(INDEX(الزبائن!$AZ$6:$AZ$505,MATCH(B501,الزبائن!$A$6:$A$505,0)),"source key not found"))</f>
        <v/>
      </c>
      <c r="AA501" s="25" t="str">
        <f>IF(B501="","",IFERROR(INDEX(الزبائن!$BA$6:$BA$505,MATCH(B501,الزبائن!$A$6:$A$505,0)),"source key not found"))</f>
        <v/>
      </c>
      <c r="AB501" s="25" t="str">
        <f>IF(AND(A501="",C501="",D501="",H501="",K501="",L501=""),"",IF(C501="skip","SKIP",IF(OR(A501="",C501="",D501="",H501="",K501="",L501="",S501="",COUNTIF($A$6:$A$505,A501)&gt;1,AND(B501&lt;&gt;"",COUNTIF(الزبائن!$A$6:$A$505,B501)=0),(COUNTIFS('أرقام التواصل'!$A$6:$A$505,"proposed_name",'أرقام التواصل'!$B$6:$B$505,A501,'أرقام التواصل'!$I$6:$I$505,"TRUE")+COUNTIFS('أرقام التواصل'!$A$6:$A$505,"proposed_name",'أرقام التواصل'!$B$6:$B$505,A501,'أرقام التواصل'!$C$6:$C$505,1))=0,AND(U501="TRUE",V501="")),"REVIEW","READY")))</f>
        <v/>
      </c>
      <c r="AC501" s="27" t="str">
        <f>IF(AB501="","",IF(AB501="READY","",IF(AB501="SKIP","Skipped by candidate_import_action",TRIM(IF(A501="","missing proposed_name_key; ","")&amp;IF(AND(A501&lt;&gt;"",COUNTIF($A$6:$A$505,A501)&gt;1),"duplicate proposed_name_key; ","")&amp;IF(C501="","missing candidate_import_action; ","")&amp;IF(D501="","missing move_reason; ","")&amp;IF(H501="","missing branch_id; ","")&amp;IF(K501="","missing first_name; ","")&amp;IF(L501="","missing last_name; ","")&amp;IF(S501="","missing status; ","")&amp;IF(AND(B501&lt;&gt;"",COUNTIF(الزبائن!$A$6:$A$505,B501)=0),"source key not found; ","")&amp;IF((COUNTIFS('أرقام التواصل'!$A$6:$A$505,"proposed_name",'أرقام التواصل'!$B$6:$B$505,A501,'أرقام التواصل'!$I$6:$I$505,"TRUE")+COUNTIFS('أرقام التواصل'!$A$6:$A$505,"proposed_name",'أرقام التواصل'!$B$6:$B$505,A501,'أرقام التواصل'!$C$6:$C$505,1))=0,"missing primary contact in أرقام التواصل; ","")&amp;IF(AND(U501="TRUE",V501=""),"duplicate_type required when duplicate_flag TRUE; ","")))))</f>
        <v/>
      </c>
    </row>
    <row r="502" spans="1:29">
      <c r="A502" s="36"/>
      <c r="B502" s="24"/>
      <c r="C502" s="25"/>
      <c r="D502" s="25"/>
      <c r="E502" s="25"/>
      <c r="F502" s="24"/>
      <c r="G502" s="25"/>
      <c r="H502" s="25"/>
      <c r="I502" s="25"/>
      <c r="J502" s="25"/>
      <c r="K502" s="25"/>
      <c r="L502" s="25"/>
      <c r="M502" s="25"/>
      <c r="N502" s="25" t="str">
        <f t="shared" si="7"/>
        <v/>
      </c>
      <c r="O502" s="25"/>
      <c r="P502" s="25"/>
      <c r="Q502" s="25"/>
      <c r="R502" s="25"/>
      <c r="S502" s="25"/>
      <c r="T502" s="25"/>
      <c r="U502" s="25"/>
      <c r="V502" s="25"/>
      <c r="W502" s="24"/>
      <c r="X502" s="24"/>
      <c r="Y502" s="25"/>
      <c r="Z502" s="25" t="str">
        <f>IF(B502="","",IFERROR(INDEX(الزبائن!$AZ$6:$AZ$505,MATCH(B502,الزبائن!$A$6:$A$505,0)),"source key not found"))</f>
        <v/>
      </c>
      <c r="AA502" s="25" t="str">
        <f>IF(B502="","",IFERROR(INDEX(الزبائن!$BA$6:$BA$505,MATCH(B502,الزبائن!$A$6:$A$505,0)),"source key not found"))</f>
        <v/>
      </c>
      <c r="AB502" s="25" t="str">
        <f>IF(AND(A502="",C502="",D502="",H502="",K502="",L502=""),"",IF(C502="skip","SKIP",IF(OR(A502="",C502="",D502="",H502="",K502="",L502="",S502="",COUNTIF($A$6:$A$505,A502)&gt;1,AND(B502&lt;&gt;"",COUNTIF(الزبائن!$A$6:$A$505,B502)=0),(COUNTIFS('أرقام التواصل'!$A$6:$A$505,"proposed_name",'أرقام التواصل'!$B$6:$B$505,A502,'أرقام التواصل'!$I$6:$I$505,"TRUE")+COUNTIFS('أرقام التواصل'!$A$6:$A$505,"proposed_name",'أرقام التواصل'!$B$6:$B$505,A502,'أرقام التواصل'!$C$6:$C$505,1))=0,AND(U502="TRUE",V502="")),"REVIEW","READY")))</f>
        <v/>
      </c>
      <c r="AC502" s="27" t="str">
        <f>IF(AB502="","",IF(AB502="READY","",IF(AB502="SKIP","Skipped by candidate_import_action",TRIM(IF(A502="","missing proposed_name_key; ","")&amp;IF(AND(A502&lt;&gt;"",COUNTIF($A$6:$A$505,A502)&gt;1),"duplicate proposed_name_key; ","")&amp;IF(C502="","missing candidate_import_action; ","")&amp;IF(D502="","missing move_reason; ","")&amp;IF(H502="","missing branch_id; ","")&amp;IF(K502="","missing first_name; ","")&amp;IF(L502="","missing last_name; ","")&amp;IF(S502="","missing status; ","")&amp;IF(AND(B502&lt;&gt;"",COUNTIF(الزبائن!$A$6:$A$505,B502)=0),"source key not found; ","")&amp;IF((COUNTIFS('أرقام التواصل'!$A$6:$A$505,"proposed_name",'أرقام التواصل'!$B$6:$B$505,A502,'أرقام التواصل'!$I$6:$I$505,"TRUE")+COUNTIFS('أرقام التواصل'!$A$6:$A$505,"proposed_name",'أرقام التواصل'!$B$6:$B$505,A502,'أرقام التواصل'!$C$6:$C$505,1))=0,"missing primary contact in أرقام التواصل; ","")&amp;IF(AND(U502="TRUE",V502=""),"duplicate_type required when duplicate_flag TRUE; ","")))))</f>
        <v/>
      </c>
    </row>
    <row r="503" spans="1:29">
      <c r="A503" s="36"/>
      <c r="B503" s="24"/>
      <c r="C503" s="25"/>
      <c r="D503" s="25"/>
      <c r="E503" s="25"/>
      <c r="F503" s="24"/>
      <c r="G503" s="25"/>
      <c r="H503" s="25"/>
      <c r="I503" s="25"/>
      <c r="J503" s="25"/>
      <c r="K503" s="25"/>
      <c r="L503" s="25"/>
      <c r="M503" s="25"/>
      <c r="N503" s="25" t="str">
        <f t="shared" si="7"/>
        <v/>
      </c>
      <c r="O503" s="25"/>
      <c r="P503" s="25"/>
      <c r="Q503" s="25"/>
      <c r="R503" s="25"/>
      <c r="S503" s="25"/>
      <c r="T503" s="25"/>
      <c r="U503" s="25"/>
      <c r="V503" s="25"/>
      <c r="W503" s="24"/>
      <c r="X503" s="24"/>
      <c r="Y503" s="25"/>
      <c r="Z503" s="25" t="str">
        <f>IF(B503="","",IFERROR(INDEX(الزبائن!$AZ$6:$AZ$505,MATCH(B503,الزبائن!$A$6:$A$505,0)),"source key not found"))</f>
        <v/>
      </c>
      <c r="AA503" s="25" t="str">
        <f>IF(B503="","",IFERROR(INDEX(الزبائن!$BA$6:$BA$505,MATCH(B503,الزبائن!$A$6:$A$505,0)),"source key not found"))</f>
        <v/>
      </c>
      <c r="AB503" s="25" t="str">
        <f>IF(AND(A503="",C503="",D503="",H503="",K503="",L503=""),"",IF(C503="skip","SKIP",IF(OR(A503="",C503="",D503="",H503="",K503="",L503="",S503="",COUNTIF($A$6:$A$505,A503)&gt;1,AND(B503&lt;&gt;"",COUNTIF(الزبائن!$A$6:$A$505,B503)=0),(COUNTIFS('أرقام التواصل'!$A$6:$A$505,"proposed_name",'أرقام التواصل'!$B$6:$B$505,A503,'أرقام التواصل'!$I$6:$I$505,"TRUE")+COUNTIFS('أرقام التواصل'!$A$6:$A$505,"proposed_name",'أرقام التواصل'!$B$6:$B$505,A503,'أرقام التواصل'!$C$6:$C$505,1))=0,AND(U503="TRUE",V503="")),"REVIEW","READY")))</f>
        <v/>
      </c>
      <c r="AC503" s="27" t="str">
        <f>IF(AB503="","",IF(AB503="READY","",IF(AB503="SKIP","Skipped by candidate_import_action",TRIM(IF(A503="","missing proposed_name_key; ","")&amp;IF(AND(A503&lt;&gt;"",COUNTIF($A$6:$A$505,A503)&gt;1),"duplicate proposed_name_key; ","")&amp;IF(C503="","missing candidate_import_action; ","")&amp;IF(D503="","missing move_reason; ","")&amp;IF(H503="","missing branch_id; ","")&amp;IF(K503="","missing first_name; ","")&amp;IF(L503="","missing last_name; ","")&amp;IF(S503="","missing status; ","")&amp;IF(AND(B503&lt;&gt;"",COUNTIF(الزبائن!$A$6:$A$505,B503)=0),"source key not found; ","")&amp;IF((COUNTIFS('أرقام التواصل'!$A$6:$A$505,"proposed_name",'أرقام التواصل'!$B$6:$B$505,A503,'أرقام التواصل'!$I$6:$I$505,"TRUE")+COUNTIFS('أرقام التواصل'!$A$6:$A$505,"proposed_name",'أرقام التواصل'!$B$6:$B$505,A503,'أرقام التواصل'!$C$6:$C$505,1))=0,"missing primary contact in أرقام التواصل; ","")&amp;IF(AND(U503="TRUE",V503=""),"duplicate_type required when duplicate_flag TRUE; ","")))))</f>
        <v/>
      </c>
    </row>
    <row r="504" spans="1:29">
      <c r="A504" s="36"/>
      <c r="B504" s="24"/>
      <c r="C504" s="25"/>
      <c r="D504" s="25"/>
      <c r="E504" s="25"/>
      <c r="F504" s="24"/>
      <c r="G504" s="25"/>
      <c r="H504" s="25"/>
      <c r="I504" s="25"/>
      <c r="J504" s="25"/>
      <c r="K504" s="25"/>
      <c r="L504" s="25"/>
      <c r="M504" s="25"/>
      <c r="N504" s="25" t="str">
        <f t="shared" si="7"/>
        <v/>
      </c>
      <c r="O504" s="25"/>
      <c r="P504" s="25"/>
      <c r="Q504" s="25"/>
      <c r="R504" s="25"/>
      <c r="S504" s="25"/>
      <c r="T504" s="25"/>
      <c r="U504" s="25"/>
      <c r="V504" s="25"/>
      <c r="W504" s="24"/>
      <c r="X504" s="24"/>
      <c r="Y504" s="25"/>
      <c r="Z504" s="25" t="str">
        <f>IF(B504="","",IFERROR(INDEX(الزبائن!$AZ$6:$AZ$505,MATCH(B504,الزبائن!$A$6:$A$505,0)),"source key not found"))</f>
        <v/>
      </c>
      <c r="AA504" s="25" t="str">
        <f>IF(B504="","",IFERROR(INDEX(الزبائن!$BA$6:$BA$505,MATCH(B504,الزبائن!$A$6:$A$505,0)),"source key not found"))</f>
        <v/>
      </c>
      <c r="AB504" s="25" t="str">
        <f>IF(AND(A504="",C504="",D504="",H504="",K504="",L504=""),"",IF(C504="skip","SKIP",IF(OR(A504="",C504="",D504="",H504="",K504="",L504="",S504="",COUNTIF($A$6:$A$505,A504)&gt;1,AND(B504&lt;&gt;"",COUNTIF(الزبائن!$A$6:$A$505,B504)=0),(COUNTIFS('أرقام التواصل'!$A$6:$A$505,"proposed_name",'أرقام التواصل'!$B$6:$B$505,A504,'أرقام التواصل'!$I$6:$I$505,"TRUE")+COUNTIFS('أرقام التواصل'!$A$6:$A$505,"proposed_name",'أرقام التواصل'!$B$6:$B$505,A504,'أرقام التواصل'!$C$6:$C$505,1))=0,AND(U504="TRUE",V504="")),"REVIEW","READY")))</f>
        <v/>
      </c>
      <c r="AC504" s="27" t="str">
        <f>IF(AB504="","",IF(AB504="READY","",IF(AB504="SKIP","Skipped by candidate_import_action",TRIM(IF(A504="","missing proposed_name_key; ","")&amp;IF(AND(A504&lt;&gt;"",COUNTIF($A$6:$A$505,A504)&gt;1),"duplicate proposed_name_key; ","")&amp;IF(C504="","missing candidate_import_action; ","")&amp;IF(D504="","missing move_reason; ","")&amp;IF(H504="","missing branch_id; ","")&amp;IF(K504="","missing first_name; ","")&amp;IF(L504="","missing last_name; ","")&amp;IF(S504="","missing status; ","")&amp;IF(AND(B504&lt;&gt;"",COUNTIF(الزبائن!$A$6:$A$505,B504)=0),"source key not found; ","")&amp;IF((COUNTIFS('أرقام التواصل'!$A$6:$A$505,"proposed_name",'أرقام التواصل'!$B$6:$B$505,A504,'أرقام التواصل'!$I$6:$I$505,"TRUE")+COUNTIFS('أرقام التواصل'!$A$6:$A$505,"proposed_name",'أرقام التواصل'!$B$6:$B$505,A504,'أرقام التواصل'!$C$6:$C$505,1))=0,"missing primary contact in أرقام التواصل; ","")&amp;IF(AND(U504="TRUE",V504=""),"duplicate_type required when duplicate_flag TRUE; ","")))))</f>
        <v/>
      </c>
    </row>
    <row r="505" spans="1:29">
      <c r="A505" s="37"/>
      <c r="B505" s="29"/>
      <c r="C505" s="30"/>
      <c r="D505" s="30"/>
      <c r="E505" s="30"/>
      <c r="F505" s="29"/>
      <c r="G505" s="30"/>
      <c r="H505" s="30"/>
      <c r="I505" s="30"/>
      <c r="J505" s="30"/>
      <c r="K505" s="30"/>
      <c r="L505" s="30"/>
      <c r="M505" s="30"/>
      <c r="N505" s="30" t="str">
        <f t="shared" si="7"/>
        <v/>
      </c>
      <c r="O505" s="30"/>
      <c r="P505" s="30"/>
      <c r="Q505" s="30"/>
      <c r="R505" s="30"/>
      <c r="S505" s="30"/>
      <c r="T505" s="30"/>
      <c r="U505" s="30"/>
      <c r="V505" s="30"/>
      <c r="W505" s="29"/>
      <c r="X505" s="29"/>
      <c r="Y505" s="30"/>
      <c r="Z505" s="30" t="str">
        <f>IF(B505="","",IFERROR(INDEX(الزبائن!$AZ$6:$AZ$505,MATCH(B505,الزبائن!$A$6:$A$505,0)),"source key not found"))</f>
        <v/>
      </c>
      <c r="AA505" s="30" t="str">
        <f>IF(B505="","",IFERROR(INDEX(الزبائن!$BA$6:$BA$505,MATCH(B505,الزبائن!$A$6:$A$505,0)),"source key not found"))</f>
        <v/>
      </c>
      <c r="AB505" s="30" t="str">
        <f>IF(AND(A505="",C505="",D505="",H505="",K505="",L505=""),"",IF(C505="skip","SKIP",IF(OR(A505="",C505="",D505="",H505="",K505="",L505="",S505="",COUNTIF($A$6:$A$505,A505)&gt;1,AND(B505&lt;&gt;"",COUNTIF(الزبائن!$A$6:$A$505,B505)=0),(COUNTIFS('أرقام التواصل'!$A$6:$A$505,"proposed_name",'أرقام التواصل'!$B$6:$B$505,A505,'أرقام التواصل'!$I$6:$I$505,"TRUE")+COUNTIFS('أرقام التواصل'!$A$6:$A$505,"proposed_name",'أرقام التواصل'!$B$6:$B$505,A505,'أرقام التواصل'!$C$6:$C$505,1))=0,AND(U505="TRUE",V505="")),"REVIEW","READY")))</f>
        <v/>
      </c>
      <c r="AC505" s="31" t="str">
        <f>IF(AB505="","",IF(AB505="READY","",IF(AB505="SKIP","Skipped by candidate_import_action",TRIM(IF(A505="","missing proposed_name_key; ","")&amp;IF(AND(A505&lt;&gt;"",COUNTIF($A$6:$A$505,A505)&gt;1),"duplicate proposed_name_key; ","")&amp;IF(C505="","missing candidate_import_action; ","")&amp;IF(D505="","missing move_reason; ","")&amp;IF(H505="","missing branch_id; ","")&amp;IF(K505="","missing first_name; ","")&amp;IF(L505="","missing last_name; ","")&amp;IF(S505="","missing status; ","")&amp;IF(AND(B505&lt;&gt;"",COUNTIF(الزبائن!$A$6:$A$505,B505)=0),"source key not found; ","")&amp;IF((COUNTIFS('أرقام التواصل'!$A$6:$A$505,"proposed_name",'أرقام التواصل'!$B$6:$B$505,A505,'أرقام التواصل'!$I$6:$I$505,"TRUE")+COUNTIFS('أرقام التواصل'!$A$6:$A$505,"proposed_name",'أرقام التواصل'!$B$6:$B$505,A505,'أرقام التواصل'!$C$6:$C$505,1))=0,"missing primary contact in أرقام التواصل; ","")&amp;IF(AND(U505="TRUE",V505=""),"duplicate_type required when duplicate_flag TRUE; ","")))))</f>
        <v/>
      </c>
    </row>
  </sheetData>
  <mergeCells count="10">
    <mergeCell ref="A1:AC1"/>
    <mergeCell ref="A2:AC2"/>
    <mergeCell ref="A4:C4"/>
    <mergeCell ref="D4:E4"/>
    <mergeCell ref="F4:G4"/>
    <mergeCell ref="H4:J4"/>
    <mergeCell ref="K4:N4"/>
    <mergeCell ref="O4:R4"/>
    <mergeCell ref="U4:X4"/>
    <mergeCell ref="Y4:AC4"/>
  </mergeCells>
  <conditionalFormatting sqref="AB6:AB505">
    <cfRule type="containsText" dxfId="3" priority="1" operator="containsText" text="READY"/>
    <cfRule type="containsText" dxfId="2" priority="2" operator="containsText" text="TO_PROPOSED"/>
    <cfRule type="containsText" dxfId="1" priority="3" operator="containsText" text="REVIEW"/>
    <cfRule type="containsText" dxfId="0" priority="4" operator="containsText" text="SKIP"/>
  </conditionalFormatting>
  <dataValidations count="7">
    <dataValidation type="list" sqref="C6:C505">
      <formula1>"create_candidate,update_candidate,skip"</formula1>
    </dataValidation>
    <dataValidation type="list" sqref="D6:D505">
      <formula1>"uncertain_identity,duplicate,missing_required_data,missing_or_invalid_phone,unclear_address,unknown_branch,outside_coverage,needs_manual_review"</formula1>
    </dataValidation>
    <dataValidation type="list" sqref="E6:E505">
      <formula1>"high,medium,low"</formula1>
    </dataValidation>
    <dataValidation type="list" sqref="R6:R505">
      <formula1>"clear,unclear,unknown"</formula1>
    </dataValidation>
    <dataValidation type="list" sqref="S6:S505">
      <formula1>"New,Suggested,FollowUp,Contacted,Qualified,Junk"</formula1>
    </dataValidation>
    <dataValidation type="list" sqref="U6:U505">
      <formula1>"TRUE,FALSE"</formula1>
    </dataValidation>
    <dataValidation type="list" sqref="V6:V505">
      <formula1>"Candidate,Client,Both"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showGridLines="0" workbookViewId="0">
      <selection sqref="A1:H1"/>
    </sheetView>
  </sheetViews>
  <sheetFormatPr defaultRowHeight="14.25"/>
  <cols>
    <col min="1" max="1" width="18" customWidth="1"/>
    <col min="2" max="2" width="20" customWidth="1"/>
    <col min="3" max="4" width="28" customWidth="1"/>
    <col min="5" max="5" width="16" customWidth="1"/>
    <col min="6" max="6" width="34" customWidth="1"/>
    <col min="7" max="7" width="30" customWidth="1"/>
    <col min="8" max="8" width="64" customWidth="1"/>
  </cols>
  <sheetData>
    <row r="1" spans="1:8" ht="33.950000000000003" customHeight="1">
      <c r="A1" s="43" t="s">
        <v>329</v>
      </c>
      <c r="B1" s="43" t="s">
        <v>329</v>
      </c>
      <c r="C1" s="43" t="s">
        <v>329</v>
      </c>
      <c r="D1" s="43" t="s">
        <v>329</v>
      </c>
      <c r="E1" s="43" t="s">
        <v>329</v>
      </c>
      <c r="F1" s="43" t="s">
        <v>329</v>
      </c>
      <c r="G1" s="43" t="s">
        <v>329</v>
      </c>
      <c r="H1" s="43" t="s">
        <v>329</v>
      </c>
    </row>
    <row r="2" spans="1:8" ht="27.95" customHeight="1">
      <c r="A2" s="44" t="s">
        <v>330</v>
      </c>
      <c r="B2" s="44" t="s">
        <v>330</v>
      </c>
      <c r="C2" s="44" t="s">
        <v>330</v>
      </c>
      <c r="D2" s="44" t="s">
        <v>330</v>
      </c>
      <c r="E2" s="44" t="s">
        <v>330</v>
      </c>
      <c r="F2" s="44" t="s">
        <v>330</v>
      </c>
      <c r="G2" s="44" t="s">
        <v>330</v>
      </c>
      <c r="H2" s="44" t="s">
        <v>330</v>
      </c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 ht="15">
      <c r="A5" s="2" t="s">
        <v>331</v>
      </c>
      <c r="B5" s="2" t="s">
        <v>332</v>
      </c>
      <c r="C5" s="2" t="s">
        <v>333</v>
      </c>
      <c r="D5" s="2" t="s">
        <v>106</v>
      </c>
      <c r="E5" s="2" t="s">
        <v>334</v>
      </c>
      <c r="F5" s="2" t="s">
        <v>335</v>
      </c>
      <c r="G5" s="2" t="s">
        <v>336</v>
      </c>
      <c r="H5" s="2" t="s">
        <v>158</v>
      </c>
    </row>
    <row r="6" spans="1:8">
      <c r="A6" s="3" t="s">
        <v>337</v>
      </c>
      <c r="B6" s="3" t="s">
        <v>102</v>
      </c>
      <c r="C6" s="3" t="s">
        <v>48</v>
      </c>
      <c r="D6" s="3" t="s">
        <v>113</v>
      </c>
      <c r="E6" s="3" t="s">
        <v>338</v>
      </c>
      <c r="F6" s="3" t="s">
        <v>339</v>
      </c>
      <c r="G6" s="3" t="s">
        <v>340</v>
      </c>
      <c r="H6" s="3" t="s">
        <v>341</v>
      </c>
    </row>
    <row r="7" spans="1:8">
      <c r="A7" s="3" t="s">
        <v>337</v>
      </c>
      <c r="B7" s="3" t="s">
        <v>102</v>
      </c>
      <c r="C7" s="3" t="s">
        <v>49</v>
      </c>
      <c r="D7" s="3" t="s">
        <v>114</v>
      </c>
      <c r="E7" s="3" t="s">
        <v>338</v>
      </c>
      <c r="F7" s="3" t="s">
        <v>342</v>
      </c>
      <c r="G7" s="3" t="s">
        <v>343</v>
      </c>
      <c r="H7" s="3" t="s">
        <v>344</v>
      </c>
    </row>
    <row r="8" spans="1:8">
      <c r="A8" s="3" t="s">
        <v>337</v>
      </c>
      <c r="B8" s="3" t="s">
        <v>102</v>
      </c>
      <c r="C8" s="3" t="s">
        <v>50</v>
      </c>
      <c r="D8" s="3" t="s">
        <v>115</v>
      </c>
      <c r="E8" s="3" t="s">
        <v>345</v>
      </c>
      <c r="F8" s="3" t="s">
        <v>346</v>
      </c>
      <c r="G8" s="3" t="s">
        <v>347</v>
      </c>
      <c r="H8" s="3" t="s">
        <v>348</v>
      </c>
    </row>
    <row r="9" spans="1:8">
      <c r="A9" s="3" t="s">
        <v>337</v>
      </c>
      <c r="B9" s="3" t="s">
        <v>102</v>
      </c>
      <c r="C9" s="3" t="s">
        <v>51</v>
      </c>
      <c r="D9" s="3" t="s">
        <v>116</v>
      </c>
      <c r="E9" s="3" t="s">
        <v>345</v>
      </c>
      <c r="F9" s="3" t="s">
        <v>346</v>
      </c>
      <c r="G9" s="3" t="s">
        <v>347</v>
      </c>
      <c r="H9" s="3" t="s">
        <v>349</v>
      </c>
    </row>
    <row r="10" spans="1:8">
      <c r="A10" s="3" t="s">
        <v>337</v>
      </c>
      <c r="B10" s="3" t="s">
        <v>103</v>
      </c>
      <c r="C10" s="3" t="s">
        <v>52</v>
      </c>
      <c r="D10" s="3" t="s">
        <v>117</v>
      </c>
      <c r="E10" s="3" t="s">
        <v>338</v>
      </c>
      <c r="F10" s="3" t="s">
        <v>350</v>
      </c>
      <c r="G10" s="3" t="s">
        <v>351</v>
      </c>
      <c r="H10" s="3" t="s">
        <v>352</v>
      </c>
    </row>
    <row r="11" spans="1:8">
      <c r="A11" s="3" t="s">
        <v>337</v>
      </c>
      <c r="B11" s="3" t="s">
        <v>103</v>
      </c>
      <c r="C11" s="3" t="s">
        <v>53</v>
      </c>
      <c r="D11" s="3" t="s">
        <v>118</v>
      </c>
      <c r="E11" s="3" t="s">
        <v>353</v>
      </c>
      <c r="F11" s="3" t="s">
        <v>354</v>
      </c>
      <c r="G11" s="3" t="s">
        <v>347</v>
      </c>
      <c r="H11" s="3" t="s">
        <v>355</v>
      </c>
    </row>
    <row r="12" spans="1:8">
      <c r="A12" s="3" t="s">
        <v>337</v>
      </c>
      <c r="B12" s="3" t="s">
        <v>104</v>
      </c>
      <c r="C12" s="3" t="s">
        <v>54</v>
      </c>
      <c r="D12" s="3" t="s">
        <v>119</v>
      </c>
      <c r="E12" s="3" t="s">
        <v>338</v>
      </c>
      <c r="F12" s="3" t="s">
        <v>356</v>
      </c>
      <c r="G12" s="3" t="s">
        <v>347</v>
      </c>
      <c r="H12" s="3" t="s">
        <v>357</v>
      </c>
    </row>
    <row r="13" spans="1:8">
      <c r="A13" s="3" t="s">
        <v>337</v>
      </c>
      <c r="B13" s="3" t="s">
        <v>104</v>
      </c>
      <c r="C13" s="3" t="s">
        <v>55</v>
      </c>
      <c r="D13" s="3" t="s">
        <v>120</v>
      </c>
      <c r="E13" s="3" t="s">
        <v>345</v>
      </c>
      <c r="F13" s="3" t="s">
        <v>358</v>
      </c>
      <c r="G13" s="3" t="s">
        <v>347</v>
      </c>
      <c r="H13" s="3" t="s">
        <v>359</v>
      </c>
    </row>
    <row r="14" spans="1:8">
      <c r="A14" s="3" t="s">
        <v>337</v>
      </c>
      <c r="B14" s="3" t="s">
        <v>104</v>
      </c>
      <c r="C14" s="3" t="s">
        <v>56</v>
      </c>
      <c r="D14" s="3" t="s">
        <v>121</v>
      </c>
      <c r="E14" s="3" t="s">
        <v>338</v>
      </c>
      <c r="F14" s="3" t="s">
        <v>360</v>
      </c>
      <c r="G14" s="3" t="s">
        <v>347</v>
      </c>
      <c r="H14" s="3" t="s">
        <v>361</v>
      </c>
    </row>
    <row r="15" spans="1:8">
      <c r="A15" s="3" t="s">
        <v>337</v>
      </c>
      <c r="B15" s="3" t="s">
        <v>104</v>
      </c>
      <c r="C15" s="3" t="s">
        <v>57</v>
      </c>
      <c r="D15" s="3" t="s">
        <v>122</v>
      </c>
      <c r="E15" s="3" t="s">
        <v>345</v>
      </c>
      <c r="F15" s="3" t="s">
        <v>362</v>
      </c>
      <c r="G15" s="3" t="s">
        <v>347</v>
      </c>
      <c r="H15" s="3" t="s">
        <v>363</v>
      </c>
    </row>
    <row r="16" spans="1:8">
      <c r="A16" s="3" t="s">
        <v>337</v>
      </c>
      <c r="B16" s="3" t="s">
        <v>104</v>
      </c>
      <c r="C16" s="3" t="s">
        <v>58</v>
      </c>
      <c r="D16" s="3" t="s">
        <v>123</v>
      </c>
      <c r="E16" s="3" t="s">
        <v>364</v>
      </c>
      <c r="F16" s="3" t="s">
        <v>365</v>
      </c>
      <c r="G16" s="3" t="s">
        <v>366</v>
      </c>
      <c r="H16" s="3" t="s">
        <v>367</v>
      </c>
    </row>
    <row r="17" spans="1:8">
      <c r="A17" s="3" t="s">
        <v>337</v>
      </c>
      <c r="B17" s="3" t="s">
        <v>105</v>
      </c>
      <c r="C17" s="3" t="s">
        <v>59</v>
      </c>
      <c r="D17" s="3" t="s">
        <v>124</v>
      </c>
      <c r="E17" s="3" t="s">
        <v>353</v>
      </c>
      <c r="F17" s="3" t="s">
        <v>368</v>
      </c>
      <c r="G17" s="3" t="s">
        <v>369</v>
      </c>
      <c r="H17" s="3" t="s">
        <v>370</v>
      </c>
    </row>
    <row r="18" spans="1:8">
      <c r="A18" s="3" t="s">
        <v>337</v>
      </c>
      <c r="B18" s="3" t="s">
        <v>105</v>
      </c>
      <c r="C18" s="3" t="s">
        <v>60</v>
      </c>
      <c r="D18" s="3" t="s">
        <v>125</v>
      </c>
      <c r="E18" s="3" t="s">
        <v>353</v>
      </c>
      <c r="F18" s="3" t="s">
        <v>371</v>
      </c>
      <c r="G18" s="3" t="s">
        <v>347</v>
      </c>
      <c r="H18" s="3" t="s">
        <v>372</v>
      </c>
    </row>
    <row r="19" spans="1:8">
      <c r="A19" s="3" t="s">
        <v>337</v>
      </c>
      <c r="B19" s="3" t="s">
        <v>105</v>
      </c>
      <c r="C19" s="3" t="s">
        <v>61</v>
      </c>
      <c r="D19" s="3" t="s">
        <v>126</v>
      </c>
      <c r="E19" s="3" t="s">
        <v>353</v>
      </c>
      <c r="F19" s="3" t="s">
        <v>373</v>
      </c>
      <c r="G19" s="3" t="s">
        <v>374</v>
      </c>
      <c r="H19" s="3" t="s">
        <v>375</v>
      </c>
    </row>
    <row r="20" spans="1:8">
      <c r="A20" s="3" t="s">
        <v>337</v>
      </c>
      <c r="B20" s="3" t="s">
        <v>105</v>
      </c>
      <c r="C20" s="3" t="s">
        <v>62</v>
      </c>
      <c r="D20" s="3" t="s">
        <v>127</v>
      </c>
      <c r="E20" s="3" t="s">
        <v>353</v>
      </c>
      <c r="F20" s="3" t="s">
        <v>371</v>
      </c>
      <c r="G20" s="3" t="s">
        <v>347</v>
      </c>
      <c r="H20" s="3" t="s">
        <v>372</v>
      </c>
    </row>
    <row r="21" spans="1:8">
      <c r="A21" s="3" t="s">
        <v>337</v>
      </c>
      <c r="B21" s="3" t="s">
        <v>105</v>
      </c>
      <c r="C21" s="3" t="s">
        <v>63</v>
      </c>
      <c r="D21" s="3" t="s">
        <v>128</v>
      </c>
      <c r="E21" s="3" t="s">
        <v>353</v>
      </c>
      <c r="F21" s="3" t="s">
        <v>376</v>
      </c>
      <c r="G21" s="3" t="s">
        <v>377</v>
      </c>
      <c r="H21" s="3"/>
    </row>
    <row r="22" spans="1:8">
      <c r="A22" s="3" t="s">
        <v>337</v>
      </c>
      <c r="B22" s="3" t="s">
        <v>105</v>
      </c>
      <c r="C22" s="3" t="s">
        <v>64</v>
      </c>
      <c r="D22" s="3" t="s">
        <v>129</v>
      </c>
      <c r="E22" s="3" t="s">
        <v>353</v>
      </c>
      <c r="F22" s="3" t="s">
        <v>371</v>
      </c>
      <c r="G22" s="3" t="s">
        <v>347</v>
      </c>
      <c r="H22" s="3" t="s">
        <v>372</v>
      </c>
    </row>
    <row r="23" spans="1:8">
      <c r="A23" s="3" t="s">
        <v>337</v>
      </c>
      <c r="B23" s="3" t="s">
        <v>105</v>
      </c>
      <c r="C23" s="3" t="s">
        <v>65</v>
      </c>
      <c r="D23" s="3" t="s">
        <v>130</v>
      </c>
      <c r="E23" s="3" t="s">
        <v>353</v>
      </c>
      <c r="F23" s="3" t="s">
        <v>378</v>
      </c>
      <c r="G23" s="3" t="s">
        <v>379</v>
      </c>
      <c r="H23" s="3"/>
    </row>
    <row r="24" spans="1:8">
      <c r="A24" s="3" t="s">
        <v>337</v>
      </c>
      <c r="B24" s="3" t="s">
        <v>105</v>
      </c>
      <c r="C24" s="3" t="s">
        <v>66</v>
      </c>
      <c r="D24" s="3" t="s">
        <v>131</v>
      </c>
      <c r="E24" s="3" t="s">
        <v>353</v>
      </c>
      <c r="F24" s="3" t="s">
        <v>371</v>
      </c>
      <c r="G24" s="3" t="s">
        <v>347</v>
      </c>
      <c r="H24" s="3" t="s">
        <v>372</v>
      </c>
    </row>
    <row r="25" spans="1:8">
      <c r="A25" s="3" t="s">
        <v>337</v>
      </c>
      <c r="B25" s="3" t="s">
        <v>105</v>
      </c>
      <c r="C25" s="3" t="s">
        <v>67</v>
      </c>
      <c r="D25" s="3" t="s">
        <v>132</v>
      </c>
      <c r="E25" s="3" t="s">
        <v>380</v>
      </c>
      <c r="F25" s="3" t="s">
        <v>381</v>
      </c>
      <c r="G25" s="3" t="s">
        <v>382</v>
      </c>
      <c r="H25" s="3" t="s">
        <v>383</v>
      </c>
    </row>
    <row r="26" spans="1:8">
      <c r="A26" s="3" t="s">
        <v>337</v>
      </c>
      <c r="B26" s="3" t="s">
        <v>105</v>
      </c>
      <c r="C26" s="3" t="s">
        <v>68</v>
      </c>
      <c r="D26" s="3" t="s">
        <v>133</v>
      </c>
      <c r="E26" s="3" t="s">
        <v>364</v>
      </c>
      <c r="F26" s="3" t="s">
        <v>371</v>
      </c>
      <c r="G26" s="3" t="s">
        <v>366</v>
      </c>
      <c r="H26" s="3" t="s">
        <v>384</v>
      </c>
    </row>
    <row r="27" spans="1:8">
      <c r="A27" s="3" t="s">
        <v>337</v>
      </c>
      <c r="B27" s="3" t="s">
        <v>106</v>
      </c>
      <c r="C27" s="3" t="s">
        <v>69</v>
      </c>
      <c r="D27" s="3" t="s">
        <v>134</v>
      </c>
      <c r="E27" s="3" t="s">
        <v>385</v>
      </c>
      <c r="F27" s="3" t="s">
        <v>386</v>
      </c>
      <c r="G27" s="3" t="s">
        <v>347</v>
      </c>
      <c r="H27" s="3" t="s">
        <v>387</v>
      </c>
    </row>
    <row r="28" spans="1:8">
      <c r="A28" s="3" t="s">
        <v>337</v>
      </c>
      <c r="B28" s="3" t="s">
        <v>106</v>
      </c>
      <c r="C28" s="3" t="s">
        <v>70</v>
      </c>
      <c r="D28" s="3" t="s">
        <v>135</v>
      </c>
      <c r="E28" s="3" t="s">
        <v>338</v>
      </c>
      <c r="F28" s="3" t="s">
        <v>388</v>
      </c>
      <c r="G28" s="3" t="s">
        <v>389</v>
      </c>
      <c r="H28" s="3" t="s">
        <v>390</v>
      </c>
    </row>
    <row r="29" spans="1:8">
      <c r="A29" s="3" t="s">
        <v>337</v>
      </c>
      <c r="B29" s="3" t="s">
        <v>106</v>
      </c>
      <c r="C29" s="3" t="s">
        <v>71</v>
      </c>
      <c r="D29" s="3" t="s">
        <v>136</v>
      </c>
      <c r="E29" s="3" t="s">
        <v>345</v>
      </c>
      <c r="F29" s="3" t="s">
        <v>391</v>
      </c>
      <c r="G29" s="3" t="s">
        <v>392</v>
      </c>
      <c r="H29" s="3" t="s">
        <v>393</v>
      </c>
    </row>
    <row r="30" spans="1:8">
      <c r="A30" s="3" t="s">
        <v>337</v>
      </c>
      <c r="B30" s="3" t="s">
        <v>106</v>
      </c>
      <c r="C30" s="3" t="s">
        <v>72</v>
      </c>
      <c r="D30" s="3" t="s">
        <v>137</v>
      </c>
      <c r="E30" s="3" t="s">
        <v>345</v>
      </c>
      <c r="F30" s="3" t="s">
        <v>391</v>
      </c>
      <c r="G30" s="3" t="s">
        <v>392</v>
      </c>
      <c r="H30" s="3" t="s">
        <v>393</v>
      </c>
    </row>
    <row r="31" spans="1:8">
      <c r="A31" s="3" t="s">
        <v>337</v>
      </c>
      <c r="B31" s="3" t="s">
        <v>103</v>
      </c>
      <c r="C31" s="3" t="s">
        <v>73</v>
      </c>
      <c r="D31" s="3" t="s">
        <v>138</v>
      </c>
      <c r="E31" s="3" t="s">
        <v>345</v>
      </c>
      <c r="F31" s="3" t="s">
        <v>394</v>
      </c>
      <c r="G31" s="3" t="s">
        <v>395</v>
      </c>
      <c r="H31" s="3" t="s">
        <v>396</v>
      </c>
    </row>
    <row r="32" spans="1:8">
      <c r="A32" s="3" t="s">
        <v>337</v>
      </c>
      <c r="B32" s="3" t="s">
        <v>107</v>
      </c>
      <c r="C32" s="3" t="s">
        <v>74</v>
      </c>
      <c r="D32" s="3" t="s">
        <v>139</v>
      </c>
      <c r="E32" s="3" t="s">
        <v>345</v>
      </c>
      <c r="F32" s="3" t="s">
        <v>397</v>
      </c>
      <c r="G32" s="3" t="s">
        <v>398</v>
      </c>
      <c r="H32" s="3" t="s">
        <v>399</v>
      </c>
    </row>
    <row r="33" spans="1:8">
      <c r="A33" s="3" t="s">
        <v>337</v>
      </c>
      <c r="B33" s="3" t="s">
        <v>107</v>
      </c>
      <c r="C33" s="3" t="s">
        <v>75</v>
      </c>
      <c r="D33" s="3" t="s">
        <v>140</v>
      </c>
      <c r="E33" s="3" t="s">
        <v>345</v>
      </c>
      <c r="F33" s="3" t="s">
        <v>400</v>
      </c>
      <c r="G33" s="3" t="s">
        <v>401</v>
      </c>
      <c r="H33" s="3" t="s">
        <v>402</v>
      </c>
    </row>
    <row r="34" spans="1:8">
      <c r="A34" s="3" t="s">
        <v>337</v>
      </c>
      <c r="B34" s="3" t="s">
        <v>107</v>
      </c>
      <c r="C34" s="3" t="s">
        <v>76</v>
      </c>
      <c r="D34" s="3" t="s">
        <v>141</v>
      </c>
      <c r="E34" s="3" t="s">
        <v>345</v>
      </c>
      <c r="F34" s="3" t="s">
        <v>403</v>
      </c>
      <c r="G34" s="3" t="s">
        <v>347</v>
      </c>
      <c r="H34" s="3" t="s">
        <v>404</v>
      </c>
    </row>
    <row r="35" spans="1:8">
      <c r="A35" s="3" t="s">
        <v>337</v>
      </c>
      <c r="B35" s="3" t="s">
        <v>108</v>
      </c>
      <c r="C35" s="3" t="s">
        <v>77</v>
      </c>
      <c r="D35" s="3" t="s">
        <v>142</v>
      </c>
      <c r="E35" s="3" t="s">
        <v>345</v>
      </c>
      <c r="F35" s="3" t="s">
        <v>405</v>
      </c>
      <c r="G35" s="3" t="s">
        <v>406</v>
      </c>
      <c r="H35" s="3" t="s">
        <v>393</v>
      </c>
    </row>
    <row r="36" spans="1:8">
      <c r="A36" s="3" t="s">
        <v>337</v>
      </c>
      <c r="B36" s="3" t="s">
        <v>108</v>
      </c>
      <c r="C36" s="3" t="s">
        <v>78</v>
      </c>
      <c r="D36" s="3" t="s">
        <v>143</v>
      </c>
      <c r="E36" s="3" t="s">
        <v>345</v>
      </c>
      <c r="F36" s="3" t="s">
        <v>407</v>
      </c>
      <c r="G36" s="3" t="s">
        <v>408</v>
      </c>
      <c r="H36" s="3" t="s">
        <v>409</v>
      </c>
    </row>
    <row r="37" spans="1:8">
      <c r="A37" s="3" t="s">
        <v>337</v>
      </c>
      <c r="B37" s="3" t="s">
        <v>108</v>
      </c>
      <c r="C37" s="3" t="s">
        <v>79</v>
      </c>
      <c r="D37" s="3" t="s">
        <v>144</v>
      </c>
      <c r="E37" s="3" t="s">
        <v>345</v>
      </c>
      <c r="F37" s="3" t="s">
        <v>410</v>
      </c>
      <c r="G37" s="3" t="s">
        <v>347</v>
      </c>
      <c r="H37" s="3" t="s">
        <v>393</v>
      </c>
    </row>
    <row r="38" spans="1:8">
      <c r="A38" s="3" t="s">
        <v>337</v>
      </c>
      <c r="B38" s="3" t="s">
        <v>108</v>
      </c>
      <c r="C38" s="3" t="s">
        <v>80</v>
      </c>
      <c r="D38" s="3" t="s">
        <v>145</v>
      </c>
      <c r="E38" s="3" t="s">
        <v>345</v>
      </c>
      <c r="F38" s="3" t="s">
        <v>411</v>
      </c>
      <c r="G38" s="3" t="s">
        <v>347</v>
      </c>
      <c r="H38" s="3" t="s">
        <v>412</v>
      </c>
    </row>
    <row r="39" spans="1:8">
      <c r="A39" s="3" t="s">
        <v>337</v>
      </c>
      <c r="B39" s="3" t="s">
        <v>108</v>
      </c>
      <c r="C39" s="3" t="s">
        <v>81</v>
      </c>
      <c r="D39" s="3" t="s">
        <v>146</v>
      </c>
      <c r="E39" s="3" t="s">
        <v>345</v>
      </c>
      <c r="F39" s="3" t="s">
        <v>413</v>
      </c>
      <c r="G39" s="3" t="s">
        <v>347</v>
      </c>
      <c r="H39" s="3" t="s">
        <v>393</v>
      </c>
    </row>
    <row r="40" spans="1:8">
      <c r="A40" s="3" t="s">
        <v>337</v>
      </c>
      <c r="B40" s="3" t="s">
        <v>108</v>
      </c>
      <c r="C40" s="3" t="s">
        <v>82</v>
      </c>
      <c r="D40" s="3" t="s">
        <v>147</v>
      </c>
      <c r="E40" s="3" t="s">
        <v>345</v>
      </c>
      <c r="F40" s="3" t="s">
        <v>414</v>
      </c>
      <c r="G40" s="3" t="s">
        <v>347</v>
      </c>
      <c r="H40" s="3" t="s">
        <v>393</v>
      </c>
    </row>
    <row r="41" spans="1:8">
      <c r="A41" s="3" t="s">
        <v>337</v>
      </c>
      <c r="B41" s="3" t="s">
        <v>108</v>
      </c>
      <c r="C41" s="3" t="s">
        <v>83</v>
      </c>
      <c r="D41" s="3" t="s">
        <v>148</v>
      </c>
      <c r="E41" s="3" t="s">
        <v>345</v>
      </c>
      <c r="F41" s="3" t="s">
        <v>415</v>
      </c>
      <c r="G41" s="3" t="s">
        <v>408</v>
      </c>
      <c r="H41" s="3" t="s">
        <v>393</v>
      </c>
    </row>
    <row r="42" spans="1:8">
      <c r="A42" s="3" t="s">
        <v>337</v>
      </c>
      <c r="B42" s="3" t="s">
        <v>108</v>
      </c>
      <c r="C42" s="3" t="s">
        <v>84</v>
      </c>
      <c r="D42" s="3" t="s">
        <v>149</v>
      </c>
      <c r="E42" s="3" t="s">
        <v>345</v>
      </c>
      <c r="F42" s="3" t="s">
        <v>416</v>
      </c>
      <c r="G42" s="3" t="s">
        <v>347</v>
      </c>
      <c r="H42" s="3" t="s">
        <v>393</v>
      </c>
    </row>
    <row r="43" spans="1:8">
      <c r="A43" s="3" t="s">
        <v>337</v>
      </c>
      <c r="B43" s="3" t="s">
        <v>109</v>
      </c>
      <c r="C43" s="3" t="s">
        <v>85</v>
      </c>
      <c r="D43" s="3" t="s">
        <v>150</v>
      </c>
      <c r="E43" s="3" t="s">
        <v>345</v>
      </c>
      <c r="F43" s="3" t="s">
        <v>417</v>
      </c>
      <c r="G43" s="3" t="s">
        <v>347</v>
      </c>
      <c r="H43" s="3" t="s">
        <v>393</v>
      </c>
    </row>
    <row r="44" spans="1:8">
      <c r="A44" s="3" t="s">
        <v>337</v>
      </c>
      <c r="B44" s="3" t="s">
        <v>109</v>
      </c>
      <c r="C44" s="3" t="s">
        <v>86</v>
      </c>
      <c r="D44" s="3" t="s">
        <v>151</v>
      </c>
      <c r="E44" s="3" t="s">
        <v>345</v>
      </c>
      <c r="F44" s="3" t="s">
        <v>418</v>
      </c>
      <c r="G44" s="3" t="s">
        <v>347</v>
      </c>
      <c r="H44" s="3" t="s">
        <v>393</v>
      </c>
    </row>
    <row r="45" spans="1:8">
      <c r="A45" s="3" t="s">
        <v>337</v>
      </c>
      <c r="B45" s="3" t="s">
        <v>109</v>
      </c>
      <c r="C45" s="3" t="s">
        <v>87</v>
      </c>
      <c r="D45" s="3" t="s">
        <v>152</v>
      </c>
      <c r="E45" s="3" t="s">
        <v>345</v>
      </c>
      <c r="F45" s="3" t="s">
        <v>419</v>
      </c>
      <c r="G45" s="3" t="s">
        <v>347</v>
      </c>
      <c r="H45" s="3" t="s">
        <v>393</v>
      </c>
    </row>
    <row r="46" spans="1:8">
      <c r="A46" s="3" t="s">
        <v>337</v>
      </c>
      <c r="B46" s="3" t="s">
        <v>110</v>
      </c>
      <c r="C46" s="3" t="s">
        <v>88</v>
      </c>
      <c r="D46" s="3" t="s">
        <v>153</v>
      </c>
      <c r="E46" s="3" t="s">
        <v>345</v>
      </c>
      <c r="F46" s="3" t="s">
        <v>420</v>
      </c>
      <c r="G46" s="3" t="s">
        <v>421</v>
      </c>
      <c r="H46" s="3" t="s">
        <v>422</v>
      </c>
    </row>
    <row r="47" spans="1:8" ht="28.5">
      <c r="A47" s="3" t="s">
        <v>337</v>
      </c>
      <c r="B47" s="3" t="s">
        <v>110</v>
      </c>
      <c r="C47" s="3" t="s">
        <v>89</v>
      </c>
      <c r="D47" s="3" t="s">
        <v>154</v>
      </c>
      <c r="E47" s="3" t="s">
        <v>345</v>
      </c>
      <c r="F47" s="3" t="s">
        <v>423</v>
      </c>
      <c r="G47" s="3" t="s">
        <v>424</v>
      </c>
      <c r="H47" s="3" t="s">
        <v>425</v>
      </c>
    </row>
    <row r="48" spans="1:8">
      <c r="A48" s="3" t="s">
        <v>337</v>
      </c>
      <c r="B48" s="3" t="s">
        <v>110</v>
      </c>
      <c r="C48" s="3" t="s">
        <v>90</v>
      </c>
      <c r="D48" s="3" t="s">
        <v>155</v>
      </c>
      <c r="E48" s="3" t="s">
        <v>345</v>
      </c>
      <c r="F48" s="3" t="s">
        <v>426</v>
      </c>
      <c r="G48" s="3" t="s">
        <v>398</v>
      </c>
      <c r="H48" s="3" t="s">
        <v>427</v>
      </c>
    </row>
    <row r="49" spans="1:8">
      <c r="A49" s="3" t="s">
        <v>337</v>
      </c>
      <c r="B49" s="3" t="s">
        <v>110</v>
      </c>
      <c r="C49" s="3" t="s">
        <v>91</v>
      </c>
      <c r="D49" s="3" t="s">
        <v>156</v>
      </c>
      <c r="E49" s="3" t="s">
        <v>345</v>
      </c>
      <c r="F49" s="3" t="s">
        <v>428</v>
      </c>
      <c r="G49" s="3" t="s">
        <v>408</v>
      </c>
      <c r="H49" s="3" t="s">
        <v>393</v>
      </c>
    </row>
    <row r="50" spans="1:8">
      <c r="A50" s="3" t="s">
        <v>337</v>
      </c>
      <c r="B50" s="3" t="s">
        <v>110</v>
      </c>
      <c r="C50" s="3" t="s">
        <v>92</v>
      </c>
      <c r="D50" s="3" t="s">
        <v>157</v>
      </c>
      <c r="E50" s="3" t="s">
        <v>345</v>
      </c>
      <c r="F50" s="3" t="s">
        <v>429</v>
      </c>
      <c r="G50" s="3" t="s">
        <v>347</v>
      </c>
      <c r="H50" s="3" t="s">
        <v>393</v>
      </c>
    </row>
    <row r="51" spans="1:8">
      <c r="A51" s="3" t="s">
        <v>337</v>
      </c>
      <c r="B51" s="3" t="s">
        <v>111</v>
      </c>
      <c r="C51" s="3" t="s">
        <v>93</v>
      </c>
      <c r="D51" s="3" t="s">
        <v>158</v>
      </c>
      <c r="E51" s="3" t="s">
        <v>345</v>
      </c>
      <c r="F51" s="3" t="s">
        <v>430</v>
      </c>
      <c r="G51" s="3" t="s">
        <v>347</v>
      </c>
      <c r="H51" s="3" t="s">
        <v>431</v>
      </c>
    </row>
    <row r="52" spans="1:8" ht="28.5">
      <c r="A52" s="3" t="s">
        <v>337</v>
      </c>
      <c r="B52" s="3" t="s">
        <v>111</v>
      </c>
      <c r="C52" s="3" t="s">
        <v>94</v>
      </c>
      <c r="D52" s="3" t="s">
        <v>159</v>
      </c>
      <c r="E52" s="3" t="s">
        <v>338</v>
      </c>
      <c r="F52" s="3" t="s">
        <v>339</v>
      </c>
      <c r="G52" s="3" t="s">
        <v>432</v>
      </c>
      <c r="H52" s="3" t="s">
        <v>433</v>
      </c>
    </row>
    <row r="53" spans="1:8">
      <c r="A53" s="3" t="s">
        <v>337</v>
      </c>
      <c r="B53" s="3" t="s">
        <v>111</v>
      </c>
      <c r="C53" s="3" t="s">
        <v>95</v>
      </c>
      <c r="D53" s="3" t="s">
        <v>160</v>
      </c>
      <c r="E53" s="3" t="s">
        <v>345</v>
      </c>
      <c r="F53" s="3" t="s">
        <v>339</v>
      </c>
      <c r="G53" s="3" t="s">
        <v>347</v>
      </c>
      <c r="H53" s="3" t="s">
        <v>434</v>
      </c>
    </row>
    <row r="54" spans="1:8" ht="28.5">
      <c r="A54" s="3" t="s">
        <v>337</v>
      </c>
      <c r="B54" s="3" t="s">
        <v>112</v>
      </c>
      <c r="C54" s="3" t="s">
        <v>96</v>
      </c>
      <c r="D54" s="3" t="s">
        <v>161</v>
      </c>
      <c r="E54" s="3" t="s">
        <v>338</v>
      </c>
      <c r="F54" s="3" t="s">
        <v>435</v>
      </c>
      <c r="G54" s="3" t="s">
        <v>436</v>
      </c>
      <c r="H54" s="3" t="s">
        <v>437</v>
      </c>
    </row>
    <row r="55" spans="1:8">
      <c r="A55" s="3" t="s">
        <v>337</v>
      </c>
      <c r="B55" s="3" t="s">
        <v>112</v>
      </c>
      <c r="C55" s="3" t="s">
        <v>97</v>
      </c>
      <c r="D55" s="3" t="s">
        <v>162</v>
      </c>
      <c r="E55" s="3" t="s">
        <v>438</v>
      </c>
      <c r="F55" s="3" t="s">
        <v>439</v>
      </c>
      <c r="G55" s="3" t="s">
        <v>97</v>
      </c>
      <c r="H55" s="3" t="s">
        <v>440</v>
      </c>
    </row>
    <row r="56" spans="1:8">
      <c r="A56" s="3" t="s">
        <v>337</v>
      </c>
      <c r="B56" s="3" t="s">
        <v>112</v>
      </c>
      <c r="C56" s="3" t="s">
        <v>98</v>
      </c>
      <c r="D56" s="3" t="s">
        <v>163</v>
      </c>
      <c r="E56" s="3" t="s">
        <v>438</v>
      </c>
      <c r="F56" s="3" t="s">
        <v>439</v>
      </c>
      <c r="G56" s="3" t="s">
        <v>340</v>
      </c>
      <c r="H56" s="3" t="s">
        <v>441</v>
      </c>
    </row>
    <row r="57" spans="1:8">
      <c r="A57" s="3" t="s">
        <v>337</v>
      </c>
      <c r="B57" s="3" t="s">
        <v>112</v>
      </c>
      <c r="C57" s="3" t="s">
        <v>99</v>
      </c>
      <c r="D57" s="3" t="s">
        <v>164</v>
      </c>
      <c r="E57" s="3" t="s">
        <v>345</v>
      </c>
      <c r="F57" s="3" t="s">
        <v>339</v>
      </c>
      <c r="G57" s="3" t="s">
        <v>347</v>
      </c>
      <c r="H57" s="3" t="s">
        <v>442</v>
      </c>
    </row>
    <row r="58" spans="1:8">
      <c r="A58" s="3" t="s">
        <v>337</v>
      </c>
      <c r="B58" s="3" t="s">
        <v>111</v>
      </c>
      <c r="C58" s="3" t="s">
        <v>100</v>
      </c>
      <c r="D58" s="3" t="s">
        <v>165</v>
      </c>
      <c r="E58" s="3" t="s">
        <v>364</v>
      </c>
      <c r="F58" s="3" t="s">
        <v>339</v>
      </c>
      <c r="G58" s="3" t="s">
        <v>366</v>
      </c>
      <c r="H58" s="3" t="s">
        <v>443</v>
      </c>
    </row>
    <row r="59" spans="1:8">
      <c r="A59" s="3" t="s">
        <v>337</v>
      </c>
      <c r="B59" s="3" t="s">
        <v>111</v>
      </c>
      <c r="C59" s="3" t="s">
        <v>101</v>
      </c>
      <c r="D59" s="3" t="s">
        <v>166</v>
      </c>
      <c r="E59" s="3" t="s">
        <v>364</v>
      </c>
      <c r="F59" s="3" t="s">
        <v>339</v>
      </c>
      <c r="G59" s="3" t="s">
        <v>366</v>
      </c>
      <c r="H59" s="3" t="s">
        <v>444</v>
      </c>
    </row>
    <row r="60" spans="1:8">
      <c r="A60" s="3" t="s">
        <v>212</v>
      </c>
      <c r="B60" s="3" t="s">
        <v>224</v>
      </c>
      <c r="C60" s="3" t="s">
        <v>214</v>
      </c>
      <c r="D60" s="3" t="s">
        <v>226</v>
      </c>
      <c r="E60" s="3" t="s">
        <v>338</v>
      </c>
      <c r="F60" s="3" t="s">
        <v>339</v>
      </c>
      <c r="G60" s="3" t="s">
        <v>445</v>
      </c>
      <c r="H60" s="3" t="s">
        <v>446</v>
      </c>
    </row>
    <row r="61" spans="1:8">
      <c r="A61" s="3" t="s">
        <v>212</v>
      </c>
      <c r="B61" s="3" t="s">
        <v>224</v>
      </c>
      <c r="C61" s="3" t="s">
        <v>215</v>
      </c>
      <c r="D61" s="3" t="s">
        <v>227</v>
      </c>
      <c r="E61" s="3" t="s">
        <v>338</v>
      </c>
      <c r="F61" s="3" t="s">
        <v>339</v>
      </c>
      <c r="G61" s="3" t="s">
        <v>347</v>
      </c>
      <c r="H61" s="3" t="s">
        <v>447</v>
      </c>
    </row>
    <row r="62" spans="1:8">
      <c r="A62" s="3" t="s">
        <v>212</v>
      </c>
      <c r="B62" s="3" t="s">
        <v>225</v>
      </c>
      <c r="C62" s="3" t="s">
        <v>216</v>
      </c>
      <c r="D62" s="3" t="s">
        <v>228</v>
      </c>
      <c r="E62" s="3" t="s">
        <v>338</v>
      </c>
      <c r="F62" s="3" t="s">
        <v>448</v>
      </c>
      <c r="G62" s="3" t="s">
        <v>218</v>
      </c>
      <c r="H62" s="3" t="s">
        <v>449</v>
      </c>
    </row>
    <row r="63" spans="1:8">
      <c r="A63" s="3" t="s">
        <v>212</v>
      </c>
      <c r="B63" s="3" t="s">
        <v>225</v>
      </c>
      <c r="C63" s="3" t="s">
        <v>217</v>
      </c>
      <c r="D63" s="3" t="s">
        <v>229</v>
      </c>
      <c r="E63" s="3" t="s">
        <v>338</v>
      </c>
      <c r="F63" s="3" t="s">
        <v>450</v>
      </c>
      <c r="G63" s="3" t="s">
        <v>451</v>
      </c>
      <c r="H63" s="3" t="s">
        <v>452</v>
      </c>
    </row>
    <row r="64" spans="1:8">
      <c r="A64" s="3" t="s">
        <v>212</v>
      </c>
      <c r="B64" s="3" t="s">
        <v>225</v>
      </c>
      <c r="C64" s="3" t="s">
        <v>218</v>
      </c>
      <c r="D64" s="3" t="s">
        <v>230</v>
      </c>
      <c r="E64" s="3" t="s">
        <v>338</v>
      </c>
      <c r="F64" s="3" t="s">
        <v>453</v>
      </c>
      <c r="G64" s="3" t="s">
        <v>454</v>
      </c>
      <c r="H64" s="3" t="s">
        <v>455</v>
      </c>
    </row>
    <row r="65" spans="1:8">
      <c r="A65" s="3" t="s">
        <v>212</v>
      </c>
      <c r="B65" s="3" t="s">
        <v>225</v>
      </c>
      <c r="C65" s="3" t="s">
        <v>219</v>
      </c>
      <c r="D65" s="3" t="s">
        <v>231</v>
      </c>
      <c r="E65" s="3" t="s">
        <v>345</v>
      </c>
      <c r="F65" s="3" t="s">
        <v>456</v>
      </c>
      <c r="G65" s="3" t="s">
        <v>347</v>
      </c>
      <c r="H65" s="3" t="s">
        <v>457</v>
      </c>
    </row>
    <row r="66" spans="1:8">
      <c r="A66" s="3" t="s">
        <v>212</v>
      </c>
      <c r="B66" s="3" t="s">
        <v>225</v>
      </c>
      <c r="C66" s="3" t="s">
        <v>220</v>
      </c>
      <c r="D66" s="3" t="s">
        <v>232</v>
      </c>
      <c r="E66" s="3" t="s">
        <v>345</v>
      </c>
      <c r="F66" s="3" t="s">
        <v>458</v>
      </c>
      <c r="G66" s="3" t="s">
        <v>347</v>
      </c>
      <c r="H66" s="3" t="s">
        <v>459</v>
      </c>
    </row>
    <row r="67" spans="1:8">
      <c r="A67" s="3" t="s">
        <v>212</v>
      </c>
      <c r="B67" s="3" t="s">
        <v>225</v>
      </c>
      <c r="C67" s="3" t="s">
        <v>221</v>
      </c>
      <c r="D67" s="3" t="s">
        <v>233</v>
      </c>
      <c r="E67" s="3" t="s">
        <v>345</v>
      </c>
      <c r="F67" s="3" t="s">
        <v>460</v>
      </c>
      <c r="G67" s="3" t="s">
        <v>398</v>
      </c>
      <c r="H67" s="3" t="s">
        <v>393</v>
      </c>
    </row>
    <row r="68" spans="1:8">
      <c r="A68" s="3" t="s">
        <v>212</v>
      </c>
      <c r="B68" s="3" t="s">
        <v>225</v>
      </c>
      <c r="C68" s="3" t="s">
        <v>222</v>
      </c>
      <c r="D68" s="3" t="s">
        <v>234</v>
      </c>
      <c r="E68" s="3" t="s">
        <v>345</v>
      </c>
      <c r="F68" s="3" t="s">
        <v>461</v>
      </c>
      <c r="G68" s="3" t="s">
        <v>398</v>
      </c>
      <c r="H68" s="3" t="s">
        <v>462</v>
      </c>
    </row>
    <row r="69" spans="1:8" ht="28.5">
      <c r="A69" s="3" t="s">
        <v>212</v>
      </c>
      <c r="B69" s="3" t="s">
        <v>225</v>
      </c>
      <c r="C69" s="3" t="s">
        <v>223</v>
      </c>
      <c r="D69" s="3" t="s">
        <v>235</v>
      </c>
      <c r="E69" s="3" t="s">
        <v>338</v>
      </c>
      <c r="F69" s="3" t="s">
        <v>463</v>
      </c>
      <c r="G69" s="3" t="s">
        <v>464</v>
      </c>
      <c r="H69" s="3" t="s">
        <v>465</v>
      </c>
    </row>
    <row r="70" spans="1:8">
      <c r="A70" s="3" t="s">
        <v>212</v>
      </c>
      <c r="B70" s="3" t="s">
        <v>111</v>
      </c>
      <c r="C70" s="3" t="s">
        <v>94</v>
      </c>
      <c r="D70" s="3" t="s">
        <v>159</v>
      </c>
      <c r="E70" s="3" t="s">
        <v>345</v>
      </c>
      <c r="F70" s="3" t="s">
        <v>339</v>
      </c>
      <c r="G70" s="3" t="s">
        <v>94</v>
      </c>
      <c r="H70" s="3" t="s">
        <v>466</v>
      </c>
    </row>
    <row r="71" spans="1:8">
      <c r="A71" s="3" t="s">
        <v>212</v>
      </c>
      <c r="B71" s="3" t="s">
        <v>111</v>
      </c>
      <c r="C71" s="3" t="s">
        <v>93</v>
      </c>
      <c r="D71" s="3" t="s">
        <v>158</v>
      </c>
      <c r="E71" s="3" t="s">
        <v>345</v>
      </c>
      <c r="F71" s="3" t="s">
        <v>339</v>
      </c>
      <c r="G71" s="3" t="s">
        <v>347</v>
      </c>
      <c r="H71" s="3" t="s">
        <v>467</v>
      </c>
    </row>
    <row r="72" spans="1:8">
      <c r="A72" s="3" t="s">
        <v>212</v>
      </c>
      <c r="B72" s="3" t="s">
        <v>111</v>
      </c>
      <c r="C72" s="3" t="s">
        <v>100</v>
      </c>
      <c r="D72" s="3" t="s">
        <v>165</v>
      </c>
      <c r="E72" s="3" t="s">
        <v>364</v>
      </c>
      <c r="F72" s="3" t="s">
        <v>339</v>
      </c>
      <c r="G72" s="3" t="s">
        <v>366</v>
      </c>
      <c r="H72" s="3" t="s">
        <v>468</v>
      </c>
    </row>
    <row r="73" spans="1:8">
      <c r="A73" s="3" t="s">
        <v>212</v>
      </c>
      <c r="B73" s="3" t="s">
        <v>111</v>
      </c>
      <c r="C73" s="3" t="s">
        <v>101</v>
      </c>
      <c r="D73" s="3" t="s">
        <v>166</v>
      </c>
      <c r="E73" s="3" t="s">
        <v>364</v>
      </c>
      <c r="F73" s="3" t="s">
        <v>339</v>
      </c>
      <c r="G73" s="3" t="s">
        <v>366</v>
      </c>
      <c r="H73" s="3" t="s">
        <v>444</v>
      </c>
    </row>
    <row r="74" spans="1:8">
      <c r="A74" s="3" t="s">
        <v>261</v>
      </c>
      <c r="B74" s="3" t="s">
        <v>224</v>
      </c>
      <c r="C74" s="3" t="s">
        <v>214</v>
      </c>
      <c r="D74" s="3" t="s">
        <v>226</v>
      </c>
      <c r="E74" s="3" t="s">
        <v>338</v>
      </c>
      <c r="F74" s="3" t="s">
        <v>339</v>
      </c>
      <c r="G74" s="3" t="s">
        <v>445</v>
      </c>
      <c r="H74" s="3" t="s">
        <v>469</v>
      </c>
    </row>
    <row r="75" spans="1:8">
      <c r="A75" s="3" t="s">
        <v>261</v>
      </c>
      <c r="B75" s="3" t="s">
        <v>224</v>
      </c>
      <c r="C75" s="3" t="s">
        <v>215</v>
      </c>
      <c r="D75" s="3" t="s">
        <v>227</v>
      </c>
      <c r="E75" s="3" t="s">
        <v>338</v>
      </c>
      <c r="F75" s="3" t="s">
        <v>339</v>
      </c>
      <c r="G75" s="3" t="s">
        <v>347</v>
      </c>
      <c r="H75" s="3" t="s">
        <v>470</v>
      </c>
    </row>
    <row r="76" spans="1:8">
      <c r="A76" s="3" t="s">
        <v>261</v>
      </c>
      <c r="B76" s="3" t="s">
        <v>261</v>
      </c>
      <c r="C76" s="3" t="s">
        <v>250</v>
      </c>
      <c r="D76" s="3" t="s">
        <v>262</v>
      </c>
      <c r="E76" s="3" t="s">
        <v>338</v>
      </c>
      <c r="F76" s="3" t="s">
        <v>471</v>
      </c>
      <c r="G76" s="3" t="s">
        <v>218</v>
      </c>
      <c r="H76" s="3" t="s">
        <v>472</v>
      </c>
    </row>
    <row r="77" spans="1:8">
      <c r="A77" s="3" t="s">
        <v>261</v>
      </c>
      <c r="B77" s="3" t="s">
        <v>261</v>
      </c>
      <c r="C77" s="3" t="s">
        <v>222</v>
      </c>
      <c r="D77" s="3" t="s">
        <v>234</v>
      </c>
      <c r="E77" s="3" t="s">
        <v>345</v>
      </c>
      <c r="F77" s="3" t="s">
        <v>473</v>
      </c>
      <c r="G77" s="3" t="s">
        <v>398</v>
      </c>
      <c r="H77" s="3" t="s">
        <v>474</v>
      </c>
    </row>
    <row r="78" spans="1:8" ht="28.5">
      <c r="A78" s="3" t="s">
        <v>261</v>
      </c>
      <c r="B78" s="3" t="s">
        <v>261</v>
      </c>
      <c r="C78" s="3" t="s">
        <v>251</v>
      </c>
      <c r="D78" s="3" t="s">
        <v>263</v>
      </c>
      <c r="E78" s="3" t="s">
        <v>338</v>
      </c>
      <c r="F78" s="3" t="s">
        <v>475</v>
      </c>
      <c r="G78" s="3" t="s">
        <v>476</v>
      </c>
      <c r="H78" s="3" t="s">
        <v>477</v>
      </c>
    </row>
    <row r="79" spans="1:8" ht="28.5">
      <c r="A79" s="3" t="s">
        <v>261</v>
      </c>
      <c r="B79" s="3" t="s">
        <v>261</v>
      </c>
      <c r="C79" s="3" t="s">
        <v>252</v>
      </c>
      <c r="D79" s="3" t="s">
        <v>264</v>
      </c>
      <c r="E79" s="3" t="s">
        <v>338</v>
      </c>
      <c r="F79" s="3" t="s">
        <v>478</v>
      </c>
      <c r="G79" s="3" t="s">
        <v>479</v>
      </c>
      <c r="H79" s="3" t="s">
        <v>480</v>
      </c>
    </row>
    <row r="80" spans="1:8">
      <c r="A80" s="3" t="s">
        <v>261</v>
      </c>
      <c r="B80" s="3" t="s">
        <v>261</v>
      </c>
      <c r="C80" s="3" t="s">
        <v>253</v>
      </c>
      <c r="D80" s="3" t="s">
        <v>265</v>
      </c>
      <c r="E80" s="3" t="s">
        <v>345</v>
      </c>
      <c r="F80" s="3" t="s">
        <v>481</v>
      </c>
      <c r="G80" s="3" t="s">
        <v>347</v>
      </c>
      <c r="H80" s="3" t="s">
        <v>482</v>
      </c>
    </row>
    <row r="81" spans="1:8">
      <c r="A81" s="3" t="s">
        <v>261</v>
      </c>
      <c r="B81" s="3" t="s">
        <v>261</v>
      </c>
      <c r="C81" s="3" t="s">
        <v>254</v>
      </c>
      <c r="D81" s="3" t="s">
        <v>266</v>
      </c>
      <c r="E81" s="3" t="s">
        <v>385</v>
      </c>
      <c r="F81" s="3" t="s">
        <v>483</v>
      </c>
      <c r="G81" s="3" t="s">
        <v>347</v>
      </c>
      <c r="H81" s="3" t="s">
        <v>484</v>
      </c>
    </row>
    <row r="82" spans="1:8">
      <c r="A82" s="3" t="s">
        <v>261</v>
      </c>
      <c r="B82" s="3" t="s">
        <v>261</v>
      </c>
      <c r="C82" s="3" t="s">
        <v>255</v>
      </c>
      <c r="D82" s="3" t="s">
        <v>267</v>
      </c>
      <c r="E82" s="3" t="s">
        <v>345</v>
      </c>
      <c r="F82" s="3" t="s">
        <v>485</v>
      </c>
      <c r="G82" s="3" t="s">
        <v>408</v>
      </c>
      <c r="H82" s="3" t="s">
        <v>393</v>
      </c>
    </row>
    <row r="83" spans="1:8">
      <c r="A83" s="3" t="s">
        <v>261</v>
      </c>
      <c r="B83" s="3" t="s">
        <v>261</v>
      </c>
      <c r="C83" s="3" t="s">
        <v>256</v>
      </c>
      <c r="D83" s="3" t="s">
        <v>268</v>
      </c>
      <c r="E83" s="3" t="s">
        <v>345</v>
      </c>
      <c r="F83" s="3" t="s">
        <v>486</v>
      </c>
      <c r="G83" s="3" t="s">
        <v>347</v>
      </c>
      <c r="H83" s="3" t="s">
        <v>393</v>
      </c>
    </row>
    <row r="84" spans="1:8">
      <c r="A84" s="3" t="s">
        <v>261</v>
      </c>
      <c r="B84" s="3" t="s">
        <v>261</v>
      </c>
      <c r="C84" s="3" t="s">
        <v>257</v>
      </c>
      <c r="D84" s="3" t="s">
        <v>269</v>
      </c>
      <c r="E84" s="3" t="s">
        <v>345</v>
      </c>
      <c r="F84" s="3" t="s">
        <v>487</v>
      </c>
      <c r="G84" s="3" t="s">
        <v>347</v>
      </c>
      <c r="H84" s="3" t="s">
        <v>393</v>
      </c>
    </row>
    <row r="85" spans="1:8">
      <c r="A85" s="3" t="s">
        <v>261</v>
      </c>
      <c r="B85" s="3" t="s">
        <v>261</v>
      </c>
      <c r="C85" s="3" t="s">
        <v>258</v>
      </c>
      <c r="D85" s="3" t="s">
        <v>270</v>
      </c>
      <c r="E85" s="3" t="s">
        <v>345</v>
      </c>
      <c r="F85" s="3" t="s">
        <v>488</v>
      </c>
      <c r="G85" s="3" t="s">
        <v>347</v>
      </c>
      <c r="H85" s="3" t="s">
        <v>393</v>
      </c>
    </row>
    <row r="86" spans="1:8">
      <c r="A86" s="3" t="s">
        <v>261</v>
      </c>
      <c r="B86" s="3" t="s">
        <v>261</v>
      </c>
      <c r="C86" s="3" t="s">
        <v>259</v>
      </c>
      <c r="D86" s="3" t="s">
        <v>271</v>
      </c>
      <c r="E86" s="3" t="s">
        <v>345</v>
      </c>
      <c r="F86" s="3" t="s">
        <v>489</v>
      </c>
      <c r="G86" s="3" t="s">
        <v>490</v>
      </c>
      <c r="H86" s="3" t="s">
        <v>393</v>
      </c>
    </row>
    <row r="87" spans="1:8">
      <c r="A87" s="3" t="s">
        <v>261</v>
      </c>
      <c r="B87" s="3" t="s">
        <v>111</v>
      </c>
      <c r="C87" s="3" t="s">
        <v>260</v>
      </c>
      <c r="D87" s="3" t="s">
        <v>272</v>
      </c>
      <c r="E87" s="3" t="s">
        <v>345</v>
      </c>
      <c r="F87" s="3" t="s">
        <v>339</v>
      </c>
      <c r="G87" s="3" t="s">
        <v>347</v>
      </c>
      <c r="H87" s="3" t="s">
        <v>491</v>
      </c>
    </row>
    <row r="88" spans="1:8">
      <c r="A88" s="3" t="s">
        <v>261</v>
      </c>
      <c r="B88" s="3" t="s">
        <v>111</v>
      </c>
      <c r="C88" s="3" t="s">
        <v>94</v>
      </c>
      <c r="D88" s="3" t="s">
        <v>159</v>
      </c>
      <c r="E88" s="3" t="s">
        <v>345</v>
      </c>
      <c r="F88" s="3" t="s">
        <v>339</v>
      </c>
      <c r="G88" s="3" t="s">
        <v>94</v>
      </c>
      <c r="H88" s="3" t="s">
        <v>492</v>
      </c>
    </row>
    <row r="89" spans="1:8">
      <c r="A89" s="3" t="s">
        <v>261</v>
      </c>
      <c r="B89" s="3" t="s">
        <v>111</v>
      </c>
      <c r="C89" s="3" t="s">
        <v>100</v>
      </c>
      <c r="D89" s="3" t="s">
        <v>165</v>
      </c>
      <c r="E89" s="3" t="s">
        <v>364</v>
      </c>
      <c r="F89" s="3" t="s">
        <v>339</v>
      </c>
      <c r="G89" s="3" t="s">
        <v>366</v>
      </c>
      <c r="H89" s="3" t="s">
        <v>468</v>
      </c>
    </row>
    <row r="90" spans="1:8">
      <c r="A90" s="3" t="s">
        <v>261</v>
      </c>
      <c r="B90" s="3" t="s">
        <v>111</v>
      </c>
      <c r="C90" s="3" t="s">
        <v>101</v>
      </c>
      <c r="D90" s="3" t="s">
        <v>166</v>
      </c>
      <c r="E90" s="3" t="s">
        <v>364</v>
      </c>
      <c r="F90" s="3" t="s">
        <v>339</v>
      </c>
      <c r="G90" s="3" t="s">
        <v>366</v>
      </c>
      <c r="H90" s="3" t="s">
        <v>444</v>
      </c>
    </row>
    <row r="91" spans="1:8">
      <c r="A91" s="3" t="s">
        <v>283</v>
      </c>
      <c r="B91" s="3" t="s">
        <v>102</v>
      </c>
      <c r="C91" s="3" t="s">
        <v>98</v>
      </c>
      <c r="D91" s="3" t="s">
        <v>163</v>
      </c>
      <c r="E91" s="3" t="s">
        <v>338</v>
      </c>
      <c r="F91" s="3" t="s">
        <v>339</v>
      </c>
      <c r="G91" s="3" t="s">
        <v>340</v>
      </c>
      <c r="H91" s="3" t="s">
        <v>493</v>
      </c>
    </row>
    <row r="92" spans="1:8">
      <c r="A92" s="3" t="s">
        <v>283</v>
      </c>
      <c r="B92" s="3" t="s">
        <v>102</v>
      </c>
      <c r="C92" s="3" t="s">
        <v>285</v>
      </c>
      <c r="D92" s="3" t="s">
        <v>307</v>
      </c>
      <c r="E92" s="3" t="s">
        <v>345</v>
      </c>
      <c r="F92" s="3" t="s">
        <v>339</v>
      </c>
      <c r="G92" s="3" t="s">
        <v>48</v>
      </c>
      <c r="H92" s="3" t="s">
        <v>494</v>
      </c>
    </row>
    <row r="93" spans="1:8" ht="28.5">
      <c r="A93" s="3" t="s">
        <v>283</v>
      </c>
      <c r="B93" s="3" t="s">
        <v>102</v>
      </c>
      <c r="C93" s="3" t="s">
        <v>286</v>
      </c>
      <c r="D93" s="3" t="s">
        <v>308</v>
      </c>
      <c r="E93" s="3" t="s">
        <v>338</v>
      </c>
      <c r="F93" s="3" t="s">
        <v>495</v>
      </c>
      <c r="G93" s="3" t="s">
        <v>496</v>
      </c>
      <c r="H93" s="3" t="s">
        <v>497</v>
      </c>
    </row>
    <row r="94" spans="1:8">
      <c r="A94" s="3" t="s">
        <v>283</v>
      </c>
      <c r="B94" s="3" t="s">
        <v>303</v>
      </c>
      <c r="C94" s="3" t="s">
        <v>287</v>
      </c>
      <c r="D94" s="3" t="s">
        <v>303</v>
      </c>
      <c r="E94" s="3" t="s">
        <v>338</v>
      </c>
      <c r="F94" s="3" t="s">
        <v>495</v>
      </c>
      <c r="G94" s="3" t="s">
        <v>97</v>
      </c>
      <c r="H94" s="3" t="s">
        <v>498</v>
      </c>
    </row>
    <row r="95" spans="1:8">
      <c r="A95" s="3" t="s">
        <v>283</v>
      </c>
      <c r="B95" s="3" t="s">
        <v>303</v>
      </c>
      <c r="C95" s="3" t="s">
        <v>288</v>
      </c>
      <c r="D95" s="3" t="s">
        <v>309</v>
      </c>
      <c r="E95" s="3" t="s">
        <v>345</v>
      </c>
      <c r="F95" s="3" t="s">
        <v>339</v>
      </c>
      <c r="G95" s="3" t="s">
        <v>499</v>
      </c>
      <c r="H95" s="3" t="s">
        <v>500</v>
      </c>
    </row>
    <row r="96" spans="1:8">
      <c r="A96" s="3" t="s">
        <v>283</v>
      </c>
      <c r="B96" s="3" t="s">
        <v>102</v>
      </c>
      <c r="C96" s="3" t="s">
        <v>50</v>
      </c>
      <c r="D96" s="3" t="s">
        <v>115</v>
      </c>
      <c r="E96" s="3" t="s">
        <v>345</v>
      </c>
      <c r="F96" s="3" t="s">
        <v>346</v>
      </c>
      <c r="G96" s="3" t="s">
        <v>347</v>
      </c>
      <c r="H96" s="3" t="s">
        <v>501</v>
      </c>
    </row>
    <row r="97" spans="1:8">
      <c r="A97" s="3" t="s">
        <v>283</v>
      </c>
      <c r="B97" s="3" t="s">
        <v>102</v>
      </c>
      <c r="C97" s="3" t="s">
        <v>51</v>
      </c>
      <c r="D97" s="3" t="s">
        <v>116</v>
      </c>
      <c r="E97" s="3" t="s">
        <v>345</v>
      </c>
      <c r="F97" s="3" t="s">
        <v>346</v>
      </c>
      <c r="G97" s="3" t="s">
        <v>347</v>
      </c>
      <c r="H97" s="3" t="s">
        <v>502</v>
      </c>
    </row>
    <row r="98" spans="1:8">
      <c r="A98" s="3" t="s">
        <v>283</v>
      </c>
      <c r="B98" s="3" t="s">
        <v>103</v>
      </c>
      <c r="C98" s="3" t="s">
        <v>52</v>
      </c>
      <c r="D98" s="3" t="s">
        <v>117</v>
      </c>
      <c r="E98" s="3" t="s">
        <v>338</v>
      </c>
      <c r="F98" s="3" t="s">
        <v>503</v>
      </c>
      <c r="G98" s="3" t="s">
        <v>351</v>
      </c>
      <c r="H98" s="3" t="s">
        <v>504</v>
      </c>
    </row>
    <row r="99" spans="1:8">
      <c r="A99" s="3" t="s">
        <v>283</v>
      </c>
      <c r="B99" s="3" t="s">
        <v>103</v>
      </c>
      <c r="C99" s="3" t="s">
        <v>53</v>
      </c>
      <c r="D99" s="3" t="s">
        <v>118</v>
      </c>
      <c r="E99" s="3" t="s">
        <v>353</v>
      </c>
      <c r="F99" s="3" t="s">
        <v>354</v>
      </c>
      <c r="G99" s="3" t="s">
        <v>347</v>
      </c>
      <c r="H99" s="3" t="s">
        <v>505</v>
      </c>
    </row>
    <row r="100" spans="1:8">
      <c r="A100" s="3" t="s">
        <v>283</v>
      </c>
      <c r="B100" s="3" t="s">
        <v>103</v>
      </c>
      <c r="C100" s="3" t="s">
        <v>289</v>
      </c>
      <c r="D100" s="3" t="s">
        <v>310</v>
      </c>
      <c r="E100" s="3" t="s">
        <v>345</v>
      </c>
      <c r="F100" s="3" t="s">
        <v>506</v>
      </c>
      <c r="G100" s="3" t="s">
        <v>507</v>
      </c>
      <c r="H100" s="3" t="s">
        <v>393</v>
      </c>
    </row>
    <row r="101" spans="1:8">
      <c r="A101" s="3" t="s">
        <v>283</v>
      </c>
      <c r="B101" s="3" t="s">
        <v>304</v>
      </c>
      <c r="C101" s="3" t="s">
        <v>54</v>
      </c>
      <c r="D101" s="3" t="s">
        <v>119</v>
      </c>
      <c r="E101" s="3" t="s">
        <v>338</v>
      </c>
      <c r="F101" s="3" t="s">
        <v>508</v>
      </c>
      <c r="G101" s="3" t="s">
        <v>347</v>
      </c>
      <c r="H101" s="3" t="s">
        <v>509</v>
      </c>
    </row>
    <row r="102" spans="1:8">
      <c r="A102" s="3" t="s">
        <v>283</v>
      </c>
      <c r="B102" s="3" t="s">
        <v>304</v>
      </c>
      <c r="C102" s="3" t="s">
        <v>56</v>
      </c>
      <c r="D102" s="3" t="s">
        <v>121</v>
      </c>
      <c r="E102" s="3" t="s">
        <v>338</v>
      </c>
      <c r="F102" s="3" t="s">
        <v>510</v>
      </c>
      <c r="G102" s="3" t="s">
        <v>347</v>
      </c>
      <c r="H102" s="3" t="s">
        <v>511</v>
      </c>
    </row>
    <row r="103" spans="1:8">
      <c r="A103" s="3" t="s">
        <v>283</v>
      </c>
      <c r="B103" s="3" t="s">
        <v>304</v>
      </c>
      <c r="C103" s="3" t="s">
        <v>57</v>
      </c>
      <c r="D103" s="3" t="s">
        <v>122</v>
      </c>
      <c r="E103" s="3" t="s">
        <v>345</v>
      </c>
      <c r="F103" s="3" t="s">
        <v>512</v>
      </c>
      <c r="G103" s="3" t="s">
        <v>347</v>
      </c>
      <c r="H103" s="3" t="s">
        <v>393</v>
      </c>
    </row>
    <row r="104" spans="1:8">
      <c r="A104" s="3" t="s">
        <v>283</v>
      </c>
      <c r="B104" s="3" t="s">
        <v>304</v>
      </c>
      <c r="C104" s="3" t="s">
        <v>290</v>
      </c>
      <c r="D104" s="3" t="s">
        <v>123</v>
      </c>
      <c r="E104" s="3" t="s">
        <v>364</v>
      </c>
      <c r="F104" s="3" t="s">
        <v>513</v>
      </c>
      <c r="G104" s="3" t="s">
        <v>366</v>
      </c>
      <c r="H104" s="3" t="s">
        <v>367</v>
      </c>
    </row>
    <row r="105" spans="1:8">
      <c r="A105" s="3" t="s">
        <v>283</v>
      </c>
      <c r="B105" s="3" t="s">
        <v>106</v>
      </c>
      <c r="C105" s="3" t="s">
        <v>291</v>
      </c>
      <c r="D105" s="3" t="s">
        <v>311</v>
      </c>
      <c r="E105" s="3" t="s">
        <v>385</v>
      </c>
      <c r="F105" s="3" t="s">
        <v>514</v>
      </c>
      <c r="G105" s="3" t="s">
        <v>347</v>
      </c>
      <c r="H105" s="3" t="s">
        <v>515</v>
      </c>
    </row>
    <row r="106" spans="1:8">
      <c r="A106" s="3" t="s">
        <v>283</v>
      </c>
      <c r="B106" s="3" t="s">
        <v>106</v>
      </c>
      <c r="C106" s="3" t="s">
        <v>292</v>
      </c>
      <c r="D106" s="3" t="s">
        <v>312</v>
      </c>
      <c r="E106" s="3" t="s">
        <v>345</v>
      </c>
      <c r="F106" s="3" t="s">
        <v>516</v>
      </c>
      <c r="G106" s="3" t="s">
        <v>517</v>
      </c>
      <c r="H106" s="3" t="s">
        <v>518</v>
      </c>
    </row>
    <row r="107" spans="1:8">
      <c r="A107" s="3" t="s">
        <v>283</v>
      </c>
      <c r="B107" s="3" t="s">
        <v>106</v>
      </c>
      <c r="C107" s="3" t="s">
        <v>293</v>
      </c>
      <c r="D107" s="3" t="s">
        <v>313</v>
      </c>
      <c r="E107" s="3" t="s">
        <v>353</v>
      </c>
      <c r="F107" s="3" t="s">
        <v>371</v>
      </c>
      <c r="G107" s="3" t="s">
        <v>347</v>
      </c>
      <c r="H107" s="3" t="s">
        <v>505</v>
      </c>
    </row>
    <row r="108" spans="1:8">
      <c r="A108" s="3" t="s">
        <v>283</v>
      </c>
      <c r="B108" s="3" t="s">
        <v>106</v>
      </c>
      <c r="C108" s="3" t="s">
        <v>70</v>
      </c>
      <c r="D108" s="3" t="s">
        <v>135</v>
      </c>
      <c r="E108" s="3" t="s">
        <v>338</v>
      </c>
      <c r="F108" s="3" t="s">
        <v>388</v>
      </c>
      <c r="G108" s="3" t="s">
        <v>389</v>
      </c>
      <c r="H108" s="3" t="s">
        <v>519</v>
      </c>
    </row>
    <row r="109" spans="1:8" ht="28.5">
      <c r="A109" s="3" t="s">
        <v>283</v>
      </c>
      <c r="B109" s="3" t="s">
        <v>305</v>
      </c>
      <c r="C109" s="3" t="s">
        <v>223</v>
      </c>
      <c r="D109" s="3" t="s">
        <v>314</v>
      </c>
      <c r="E109" s="3" t="s">
        <v>338</v>
      </c>
      <c r="F109" s="3" t="s">
        <v>520</v>
      </c>
      <c r="G109" s="3" t="s">
        <v>521</v>
      </c>
      <c r="H109" s="3" t="s">
        <v>522</v>
      </c>
    </row>
    <row r="110" spans="1:8">
      <c r="A110" s="3" t="s">
        <v>283</v>
      </c>
      <c r="B110" s="3" t="s">
        <v>109</v>
      </c>
      <c r="C110" s="3" t="s">
        <v>85</v>
      </c>
      <c r="D110" s="3" t="s">
        <v>150</v>
      </c>
      <c r="E110" s="3" t="s">
        <v>345</v>
      </c>
      <c r="F110" s="3" t="s">
        <v>523</v>
      </c>
      <c r="G110" s="3" t="s">
        <v>347</v>
      </c>
      <c r="H110" s="3" t="s">
        <v>393</v>
      </c>
    </row>
    <row r="111" spans="1:8">
      <c r="A111" s="3" t="s">
        <v>283</v>
      </c>
      <c r="B111" s="3" t="s">
        <v>306</v>
      </c>
      <c r="C111" s="3" t="s">
        <v>294</v>
      </c>
      <c r="D111" s="3" t="s">
        <v>315</v>
      </c>
      <c r="E111" s="3" t="s">
        <v>345</v>
      </c>
      <c r="F111" s="3" t="s">
        <v>524</v>
      </c>
      <c r="G111" s="3" t="s">
        <v>398</v>
      </c>
      <c r="H111" s="3" t="s">
        <v>525</v>
      </c>
    </row>
    <row r="112" spans="1:8">
      <c r="A112" s="3" t="s">
        <v>283</v>
      </c>
      <c r="B112" s="3" t="s">
        <v>306</v>
      </c>
      <c r="C112" s="3" t="s">
        <v>295</v>
      </c>
      <c r="D112" s="3" t="s">
        <v>316</v>
      </c>
      <c r="E112" s="3" t="s">
        <v>526</v>
      </c>
      <c r="F112" s="3" t="s">
        <v>527</v>
      </c>
      <c r="G112" s="3" t="s">
        <v>528</v>
      </c>
      <c r="H112" s="3" t="s">
        <v>529</v>
      </c>
    </row>
    <row r="113" spans="1:8">
      <c r="A113" s="3" t="s">
        <v>283</v>
      </c>
      <c r="B113" s="3" t="s">
        <v>306</v>
      </c>
      <c r="C113" s="3" t="s">
        <v>296</v>
      </c>
      <c r="D113" s="3" t="s">
        <v>317</v>
      </c>
      <c r="E113" s="3" t="s">
        <v>345</v>
      </c>
      <c r="F113" s="3" t="s">
        <v>530</v>
      </c>
      <c r="G113" s="3" t="s">
        <v>347</v>
      </c>
      <c r="H113" s="3" t="s">
        <v>531</v>
      </c>
    </row>
    <row r="114" spans="1:8">
      <c r="A114" s="3" t="s">
        <v>283</v>
      </c>
      <c r="B114" s="3" t="s">
        <v>306</v>
      </c>
      <c r="C114" s="3" t="s">
        <v>297</v>
      </c>
      <c r="D114" s="3" t="s">
        <v>318</v>
      </c>
      <c r="E114" s="3" t="s">
        <v>345</v>
      </c>
      <c r="F114" s="3" t="s">
        <v>339</v>
      </c>
      <c r="G114" s="3" t="s">
        <v>347</v>
      </c>
      <c r="H114" s="3" t="s">
        <v>532</v>
      </c>
    </row>
    <row r="115" spans="1:8">
      <c r="A115" s="3" t="s">
        <v>283</v>
      </c>
      <c r="B115" s="3" t="s">
        <v>111</v>
      </c>
      <c r="C115" s="3" t="s">
        <v>298</v>
      </c>
      <c r="D115" s="3" t="s">
        <v>319</v>
      </c>
      <c r="E115" s="3" t="s">
        <v>345</v>
      </c>
      <c r="F115" s="3" t="s">
        <v>533</v>
      </c>
      <c r="G115" s="3" t="s">
        <v>347</v>
      </c>
      <c r="H115" s="3" t="s">
        <v>534</v>
      </c>
    </row>
    <row r="116" spans="1:8">
      <c r="A116" s="3" t="s">
        <v>283</v>
      </c>
      <c r="B116" s="3" t="s">
        <v>111</v>
      </c>
      <c r="C116" s="3" t="s">
        <v>299</v>
      </c>
      <c r="D116" s="3" t="s">
        <v>320</v>
      </c>
      <c r="E116" s="3" t="s">
        <v>364</v>
      </c>
      <c r="F116" s="3" t="s">
        <v>339</v>
      </c>
      <c r="G116" s="3" t="s">
        <v>366</v>
      </c>
      <c r="H116" s="3" t="s">
        <v>535</v>
      </c>
    </row>
    <row r="117" spans="1:8">
      <c r="A117" s="3" t="s">
        <v>283</v>
      </c>
      <c r="B117" s="3" t="s">
        <v>111</v>
      </c>
      <c r="C117" s="3" t="s">
        <v>300</v>
      </c>
      <c r="D117" s="3" t="s">
        <v>321</v>
      </c>
      <c r="E117" s="3" t="s">
        <v>364</v>
      </c>
      <c r="F117" s="3" t="s">
        <v>339</v>
      </c>
      <c r="G117" s="3" t="s">
        <v>366</v>
      </c>
      <c r="H117" s="3" t="s">
        <v>536</v>
      </c>
    </row>
    <row r="118" spans="1:8">
      <c r="A118" s="3" t="s">
        <v>283</v>
      </c>
      <c r="B118" s="3" t="s">
        <v>111</v>
      </c>
      <c r="C118" s="3" t="s">
        <v>301</v>
      </c>
      <c r="D118" s="3" t="s">
        <v>322</v>
      </c>
      <c r="E118" s="3" t="s">
        <v>364</v>
      </c>
      <c r="F118" s="3" t="s">
        <v>339</v>
      </c>
      <c r="G118" s="3" t="s">
        <v>366</v>
      </c>
      <c r="H118" s="3" t="s">
        <v>537</v>
      </c>
    </row>
    <row r="119" spans="1:8">
      <c r="A119" s="3" t="s">
        <v>283</v>
      </c>
      <c r="B119" s="3" t="s">
        <v>111</v>
      </c>
      <c r="C119" s="3" t="s">
        <v>302</v>
      </c>
      <c r="D119" s="3" t="s">
        <v>323</v>
      </c>
      <c r="E119" s="3" t="s">
        <v>364</v>
      </c>
      <c r="F119" s="3" t="s">
        <v>339</v>
      </c>
      <c r="G119" s="3" t="s">
        <v>366</v>
      </c>
      <c r="H119" s="3" t="s">
        <v>444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0"/>
  <sheetViews>
    <sheetView showGridLines="0" workbookViewId="0">
      <selection sqref="A1:X1"/>
    </sheetView>
  </sheetViews>
  <sheetFormatPr defaultRowHeight="14.25"/>
  <cols>
    <col min="1" max="2" width="18" customWidth="1"/>
    <col min="3" max="3" width="22" customWidth="1"/>
    <col min="4" max="4" width="34" customWidth="1"/>
    <col min="5" max="5" width="3" customWidth="1"/>
    <col min="6" max="6" width="14" customWidth="1"/>
    <col min="7" max="7" width="22" customWidth="1"/>
    <col min="8" max="8" width="12" customWidth="1"/>
    <col min="9" max="9" width="34" customWidth="1"/>
    <col min="10" max="10" width="3" customWidth="1"/>
    <col min="11" max="11" width="14" customWidth="1"/>
    <col min="12" max="12" width="22" customWidth="1"/>
    <col min="13" max="13" width="18" customWidth="1"/>
    <col min="14" max="14" width="14" customWidth="1"/>
    <col min="15" max="15" width="22" customWidth="1"/>
    <col min="16" max="16" width="12" customWidth="1"/>
    <col min="17" max="17" width="18" customWidth="1"/>
    <col min="18" max="18" width="3" customWidth="1"/>
    <col min="19" max="19" width="14" customWidth="1"/>
    <col min="20" max="20" width="22" customWidth="1"/>
    <col min="21" max="21" width="14" customWidth="1"/>
    <col min="22" max="22" width="22" customWidth="1"/>
    <col min="23" max="23" width="36" customWidth="1"/>
  </cols>
  <sheetData>
    <row r="1" spans="1:24" ht="33.950000000000003" customHeight="1">
      <c r="A1" s="43" t="s">
        <v>538</v>
      </c>
      <c r="B1" s="43" t="s">
        <v>538</v>
      </c>
      <c r="C1" s="43" t="s">
        <v>538</v>
      </c>
      <c r="D1" s="43" t="s">
        <v>538</v>
      </c>
      <c r="E1" s="43" t="s">
        <v>538</v>
      </c>
      <c r="F1" s="43" t="s">
        <v>538</v>
      </c>
      <c r="G1" s="43" t="s">
        <v>538</v>
      </c>
      <c r="H1" s="43" t="s">
        <v>538</v>
      </c>
      <c r="I1" s="43" t="s">
        <v>538</v>
      </c>
      <c r="J1" s="43" t="s">
        <v>538</v>
      </c>
      <c r="K1" s="43" t="s">
        <v>538</v>
      </c>
      <c r="L1" s="43" t="s">
        <v>538</v>
      </c>
      <c r="M1" s="43" t="s">
        <v>538</v>
      </c>
      <c r="N1" s="43" t="s">
        <v>538</v>
      </c>
      <c r="O1" s="43" t="s">
        <v>538</v>
      </c>
      <c r="P1" s="43" t="s">
        <v>538</v>
      </c>
      <c r="Q1" s="43" t="s">
        <v>538</v>
      </c>
      <c r="R1" s="43" t="s">
        <v>538</v>
      </c>
      <c r="S1" s="43" t="s">
        <v>538</v>
      </c>
      <c r="T1" s="43" t="s">
        <v>538</v>
      </c>
      <c r="U1" s="43" t="s">
        <v>538</v>
      </c>
      <c r="V1" s="43" t="s">
        <v>538</v>
      </c>
      <c r="W1" s="43" t="s">
        <v>538</v>
      </c>
      <c r="X1" s="43" t="s">
        <v>538</v>
      </c>
    </row>
    <row r="2" spans="1:24" ht="27.95" customHeight="1">
      <c r="A2" s="44" t="s">
        <v>539</v>
      </c>
      <c r="B2" s="44" t="s">
        <v>539</v>
      </c>
      <c r="C2" s="44" t="s">
        <v>539</v>
      </c>
      <c r="D2" s="44" t="s">
        <v>539</v>
      </c>
      <c r="E2" s="44" t="s">
        <v>539</v>
      </c>
      <c r="F2" s="44" t="s">
        <v>539</v>
      </c>
      <c r="G2" s="44" t="s">
        <v>539</v>
      </c>
      <c r="H2" s="44" t="s">
        <v>539</v>
      </c>
      <c r="I2" s="44" t="s">
        <v>539</v>
      </c>
      <c r="J2" s="44" t="s">
        <v>539</v>
      </c>
      <c r="K2" s="44" t="s">
        <v>539</v>
      </c>
      <c r="L2" s="44" t="s">
        <v>539</v>
      </c>
      <c r="M2" s="44" t="s">
        <v>539</v>
      </c>
      <c r="N2" s="44" t="s">
        <v>539</v>
      </c>
      <c r="O2" s="44" t="s">
        <v>539</v>
      </c>
      <c r="P2" s="44" t="s">
        <v>539</v>
      </c>
      <c r="Q2" s="44" t="s">
        <v>539</v>
      </c>
      <c r="R2" s="44" t="s">
        <v>539</v>
      </c>
      <c r="S2" s="44" t="s">
        <v>539</v>
      </c>
      <c r="T2" s="44" t="s">
        <v>539</v>
      </c>
      <c r="U2" s="44" t="s">
        <v>539</v>
      </c>
      <c r="V2" s="44" t="s">
        <v>539</v>
      </c>
      <c r="W2" s="44" t="s">
        <v>539</v>
      </c>
      <c r="X2" s="44" t="s">
        <v>539</v>
      </c>
    </row>
    <row r="3" spans="1:2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>
      <c r="A5" s="2" t="s">
        <v>540</v>
      </c>
      <c r="B5" s="2" t="s">
        <v>541</v>
      </c>
      <c r="C5" s="2" t="s">
        <v>542</v>
      </c>
      <c r="D5" s="2" t="s">
        <v>158</v>
      </c>
      <c r="E5" s="1"/>
      <c r="F5" s="38" t="s">
        <v>52</v>
      </c>
      <c r="G5" s="38" t="s">
        <v>53</v>
      </c>
      <c r="H5" s="38" t="s">
        <v>223</v>
      </c>
      <c r="I5" s="38" t="s">
        <v>93</v>
      </c>
      <c r="J5" s="1"/>
      <c r="K5" s="39" t="s">
        <v>292</v>
      </c>
      <c r="L5" s="39" t="s">
        <v>543</v>
      </c>
      <c r="M5" s="39" t="s">
        <v>544</v>
      </c>
      <c r="N5" s="39" t="s">
        <v>545</v>
      </c>
      <c r="O5" s="39" t="s">
        <v>546</v>
      </c>
      <c r="P5" s="39" t="s">
        <v>223</v>
      </c>
      <c r="Q5" s="39" t="s">
        <v>547</v>
      </c>
      <c r="R5" s="1"/>
      <c r="S5" s="40" t="s">
        <v>548</v>
      </c>
      <c r="T5" s="40" t="s">
        <v>543</v>
      </c>
      <c r="U5" s="40" t="s">
        <v>52</v>
      </c>
      <c r="V5" s="40" t="s">
        <v>549</v>
      </c>
      <c r="W5" s="40" t="s">
        <v>550</v>
      </c>
      <c r="X5" s="1"/>
    </row>
    <row r="6" spans="1:24">
      <c r="A6" s="41" t="s">
        <v>49</v>
      </c>
      <c r="B6" s="41" t="s">
        <v>168</v>
      </c>
      <c r="C6" s="41" t="s">
        <v>551</v>
      </c>
      <c r="D6" s="41"/>
      <c r="E6" s="1"/>
      <c r="F6" s="42"/>
      <c r="G6" s="42"/>
      <c r="H6" s="42"/>
      <c r="I6" s="42" t="s">
        <v>552</v>
      </c>
      <c r="J6" s="1"/>
      <c r="K6" s="42"/>
      <c r="L6" s="42"/>
      <c r="M6" s="42" t="s">
        <v>553</v>
      </c>
      <c r="N6" s="42"/>
      <c r="O6" s="42"/>
      <c r="P6" s="42"/>
      <c r="Q6" s="42" t="s">
        <v>554</v>
      </c>
      <c r="R6" s="1"/>
      <c r="S6" s="42"/>
      <c r="T6" s="42"/>
      <c r="U6" s="42"/>
      <c r="V6" s="42"/>
      <c r="W6" s="42" t="s">
        <v>555</v>
      </c>
      <c r="X6" s="1"/>
    </row>
    <row r="7" spans="1:24">
      <c r="A7" s="41" t="s">
        <v>49</v>
      </c>
      <c r="B7" s="41" t="s">
        <v>556</v>
      </c>
      <c r="C7" s="41" t="s">
        <v>557</v>
      </c>
      <c r="D7" s="41"/>
      <c r="E7" s="1"/>
      <c r="F7" s="42"/>
      <c r="G7" s="42"/>
      <c r="H7" s="42"/>
      <c r="I7" s="42"/>
      <c r="J7" s="1"/>
      <c r="K7" s="42"/>
      <c r="L7" s="42"/>
      <c r="M7" s="42"/>
      <c r="N7" s="42"/>
      <c r="O7" s="42"/>
      <c r="P7" s="42"/>
      <c r="Q7" s="42"/>
      <c r="R7" s="1"/>
      <c r="S7" s="42"/>
      <c r="T7" s="42"/>
      <c r="U7" s="42"/>
      <c r="V7" s="42"/>
      <c r="W7" s="42"/>
      <c r="X7" s="1"/>
    </row>
    <row r="8" spans="1:24">
      <c r="A8" s="41" t="s">
        <v>49</v>
      </c>
      <c r="B8" s="41" t="s">
        <v>558</v>
      </c>
      <c r="C8" s="41" t="s">
        <v>559</v>
      </c>
      <c r="D8" s="41"/>
      <c r="E8" s="1"/>
      <c r="F8" s="42"/>
      <c r="G8" s="42"/>
      <c r="H8" s="42"/>
      <c r="I8" s="42"/>
      <c r="J8" s="1"/>
      <c r="K8" s="42"/>
      <c r="L8" s="42"/>
      <c r="M8" s="42"/>
      <c r="N8" s="42"/>
      <c r="O8" s="42"/>
      <c r="P8" s="42"/>
      <c r="Q8" s="42"/>
      <c r="R8" s="1"/>
      <c r="S8" s="42"/>
      <c r="T8" s="42"/>
      <c r="U8" s="42"/>
      <c r="V8" s="42"/>
      <c r="W8" s="42"/>
      <c r="X8" s="1"/>
    </row>
    <row r="9" spans="1:24">
      <c r="A9" s="41" t="s">
        <v>49</v>
      </c>
      <c r="B9" s="41" t="s">
        <v>195</v>
      </c>
      <c r="C9" s="41" t="s">
        <v>560</v>
      </c>
      <c r="D9" s="41"/>
      <c r="E9" s="1"/>
      <c r="F9" s="42"/>
      <c r="G9" s="42"/>
      <c r="H9" s="42"/>
      <c r="I9" s="42"/>
      <c r="J9" s="1"/>
      <c r="K9" s="42"/>
      <c r="L9" s="42"/>
      <c r="M9" s="42"/>
      <c r="N9" s="42"/>
      <c r="O9" s="42"/>
      <c r="P9" s="42"/>
      <c r="Q9" s="42"/>
      <c r="R9" s="1"/>
      <c r="S9" s="42"/>
      <c r="T9" s="42"/>
      <c r="U9" s="42"/>
      <c r="V9" s="42"/>
      <c r="W9" s="42"/>
      <c r="X9" s="1"/>
    </row>
    <row r="10" spans="1:24">
      <c r="A10" s="41" t="s">
        <v>96</v>
      </c>
      <c r="B10" s="41" t="s">
        <v>192</v>
      </c>
      <c r="C10" s="41" t="s">
        <v>561</v>
      </c>
      <c r="D10" s="41"/>
      <c r="E10" s="1"/>
      <c r="F10" s="42"/>
      <c r="G10" s="42"/>
      <c r="H10" s="42"/>
      <c r="I10" s="42"/>
      <c r="J10" s="1"/>
      <c r="K10" s="42"/>
      <c r="L10" s="42"/>
      <c r="M10" s="42"/>
      <c r="N10" s="42"/>
      <c r="O10" s="42"/>
      <c r="P10" s="42"/>
      <c r="Q10" s="42"/>
      <c r="R10" s="1"/>
      <c r="S10" s="42"/>
      <c r="T10" s="42"/>
      <c r="U10" s="42"/>
      <c r="V10" s="42"/>
      <c r="W10" s="42"/>
      <c r="X10" s="1"/>
    </row>
    <row r="11" spans="1:24">
      <c r="A11" s="41" t="s">
        <v>96</v>
      </c>
      <c r="B11" s="41" t="s">
        <v>208</v>
      </c>
      <c r="C11" s="41" t="s">
        <v>562</v>
      </c>
      <c r="D11" s="41"/>
      <c r="E11" s="1"/>
      <c r="F11" s="42"/>
      <c r="G11" s="42"/>
      <c r="H11" s="42"/>
      <c r="I11" s="42"/>
      <c r="J11" s="1"/>
      <c r="K11" s="42"/>
      <c r="L11" s="42"/>
      <c r="M11" s="42"/>
      <c r="N11" s="42"/>
      <c r="O11" s="42"/>
      <c r="P11" s="42"/>
      <c r="Q11" s="42"/>
      <c r="R11" s="1"/>
      <c r="S11" s="42"/>
      <c r="T11" s="42"/>
      <c r="U11" s="42"/>
      <c r="V11" s="42"/>
      <c r="W11" s="42"/>
      <c r="X11" s="1"/>
    </row>
    <row r="12" spans="1:24">
      <c r="A12" s="41" t="s">
        <v>96</v>
      </c>
      <c r="B12" s="41" t="s">
        <v>558</v>
      </c>
      <c r="C12" s="41" t="s">
        <v>559</v>
      </c>
      <c r="D12" s="41"/>
      <c r="E12" s="1"/>
      <c r="F12" s="42"/>
      <c r="G12" s="42"/>
      <c r="H12" s="42"/>
      <c r="I12" s="42"/>
      <c r="J12" s="1"/>
      <c r="K12" s="42"/>
      <c r="L12" s="42"/>
      <c r="M12" s="42"/>
      <c r="N12" s="42"/>
      <c r="O12" s="42"/>
      <c r="P12" s="42"/>
      <c r="Q12" s="42"/>
      <c r="R12" s="1"/>
      <c r="S12" s="42"/>
      <c r="T12" s="42"/>
      <c r="U12" s="42"/>
      <c r="V12" s="42"/>
      <c r="W12" s="42"/>
      <c r="X12" s="1"/>
    </row>
    <row r="13" spans="1:24">
      <c r="A13" s="41" t="s">
        <v>96</v>
      </c>
      <c r="B13" s="41" t="s">
        <v>563</v>
      </c>
      <c r="C13" s="41" t="s">
        <v>564</v>
      </c>
      <c r="D13" s="41"/>
      <c r="E13" s="1"/>
      <c r="F13" s="42"/>
      <c r="G13" s="42"/>
      <c r="H13" s="42"/>
      <c r="I13" s="42"/>
      <c r="J13" s="1"/>
      <c r="K13" s="42"/>
      <c r="L13" s="42"/>
      <c r="M13" s="42"/>
      <c r="N13" s="42"/>
      <c r="O13" s="42"/>
      <c r="P13" s="42"/>
      <c r="Q13" s="42"/>
      <c r="R13" s="1"/>
      <c r="S13" s="42"/>
      <c r="T13" s="42"/>
      <c r="U13" s="42"/>
      <c r="V13" s="42"/>
      <c r="W13" s="42"/>
      <c r="X13" s="1"/>
    </row>
    <row r="14" spans="1:24">
      <c r="A14" s="41" t="s">
        <v>97</v>
      </c>
      <c r="B14" s="41" t="s">
        <v>565</v>
      </c>
      <c r="C14" s="41" t="s">
        <v>566</v>
      </c>
      <c r="D14" s="41"/>
      <c r="E14" s="1"/>
      <c r="F14" s="42"/>
      <c r="G14" s="42"/>
      <c r="H14" s="42"/>
      <c r="I14" s="42"/>
      <c r="J14" s="1"/>
      <c r="K14" s="42"/>
      <c r="L14" s="42"/>
      <c r="M14" s="42"/>
      <c r="N14" s="42"/>
      <c r="O14" s="42"/>
      <c r="P14" s="42"/>
      <c r="Q14" s="42"/>
      <c r="R14" s="1"/>
      <c r="S14" s="42"/>
      <c r="T14" s="42"/>
      <c r="U14" s="42"/>
      <c r="V14" s="42"/>
      <c r="W14" s="42"/>
      <c r="X14" s="1"/>
    </row>
    <row r="15" spans="1:24">
      <c r="A15" s="41" t="s">
        <v>97</v>
      </c>
      <c r="B15" s="41" t="s">
        <v>567</v>
      </c>
      <c r="C15" s="41" t="s">
        <v>568</v>
      </c>
      <c r="D15" s="41"/>
      <c r="E15" s="1"/>
      <c r="F15" s="42"/>
      <c r="G15" s="42"/>
      <c r="H15" s="42"/>
      <c r="I15" s="42"/>
      <c r="J15" s="1"/>
      <c r="K15" s="42"/>
      <c r="L15" s="42"/>
      <c r="M15" s="42"/>
      <c r="N15" s="42"/>
      <c r="O15" s="42"/>
      <c r="P15" s="42"/>
      <c r="Q15" s="42"/>
      <c r="R15" s="1"/>
      <c r="S15" s="42"/>
      <c r="T15" s="42"/>
      <c r="U15" s="42"/>
      <c r="V15" s="42"/>
      <c r="W15" s="42"/>
      <c r="X15" s="1"/>
    </row>
    <row r="16" spans="1:24">
      <c r="A16" s="41" t="s">
        <v>97</v>
      </c>
      <c r="B16" s="41" t="s">
        <v>569</v>
      </c>
      <c r="C16" s="41" t="s">
        <v>570</v>
      </c>
      <c r="D16" s="41"/>
      <c r="E16" s="1"/>
      <c r="F16" s="42"/>
      <c r="G16" s="42"/>
      <c r="H16" s="42"/>
      <c r="I16" s="42"/>
      <c r="J16" s="1"/>
      <c r="K16" s="42"/>
      <c r="L16" s="42"/>
      <c r="M16" s="42"/>
      <c r="N16" s="42"/>
      <c r="O16" s="42"/>
      <c r="P16" s="42"/>
      <c r="Q16" s="42"/>
      <c r="R16" s="1"/>
      <c r="S16" s="42"/>
      <c r="T16" s="42"/>
      <c r="U16" s="42"/>
      <c r="V16" s="42"/>
      <c r="W16" s="42"/>
      <c r="X16" s="1"/>
    </row>
    <row r="17" spans="1:24">
      <c r="A17" s="41" t="s">
        <v>97</v>
      </c>
      <c r="B17" s="41" t="s">
        <v>571</v>
      </c>
      <c r="C17" s="41" t="s">
        <v>572</v>
      </c>
      <c r="D17" s="41"/>
      <c r="E17" s="1"/>
      <c r="F17" s="42"/>
      <c r="G17" s="42"/>
      <c r="H17" s="42"/>
      <c r="I17" s="42"/>
      <c r="J17" s="1"/>
      <c r="K17" s="42"/>
      <c r="L17" s="42"/>
      <c r="M17" s="42"/>
      <c r="N17" s="42"/>
      <c r="O17" s="42"/>
      <c r="P17" s="42"/>
      <c r="Q17" s="42"/>
      <c r="R17" s="1"/>
      <c r="S17" s="42"/>
      <c r="T17" s="42"/>
      <c r="U17" s="42"/>
      <c r="V17" s="42"/>
      <c r="W17" s="42"/>
      <c r="X17" s="1"/>
    </row>
    <row r="18" spans="1:24">
      <c r="A18" s="41" t="s">
        <v>97</v>
      </c>
      <c r="B18" s="41" t="s">
        <v>209</v>
      </c>
      <c r="C18" s="41" t="s">
        <v>573</v>
      </c>
      <c r="D18" s="41"/>
      <c r="E18" s="1"/>
      <c r="F18" s="42"/>
      <c r="G18" s="42"/>
      <c r="H18" s="42"/>
      <c r="I18" s="42"/>
      <c r="J18" s="1"/>
      <c r="K18" s="42"/>
      <c r="L18" s="42"/>
      <c r="M18" s="42"/>
      <c r="N18" s="42"/>
      <c r="O18" s="42"/>
      <c r="P18" s="42"/>
      <c r="Q18" s="42"/>
      <c r="R18" s="1"/>
      <c r="S18" s="42"/>
      <c r="T18" s="42"/>
      <c r="U18" s="42"/>
      <c r="V18" s="42"/>
      <c r="W18" s="42"/>
      <c r="X18" s="1"/>
    </row>
    <row r="19" spans="1:24">
      <c r="A19" s="41" t="s">
        <v>97</v>
      </c>
      <c r="B19" s="41" t="s">
        <v>574</v>
      </c>
      <c r="C19" s="41" t="s">
        <v>575</v>
      </c>
      <c r="D19" s="41"/>
      <c r="E19" s="1"/>
      <c r="F19" s="42"/>
      <c r="G19" s="42"/>
      <c r="H19" s="42"/>
      <c r="I19" s="42"/>
      <c r="J19" s="1"/>
      <c r="K19" s="42"/>
      <c r="L19" s="42"/>
      <c r="M19" s="42"/>
      <c r="N19" s="42"/>
      <c r="O19" s="42"/>
      <c r="P19" s="42"/>
      <c r="Q19" s="42"/>
      <c r="R19" s="1"/>
      <c r="S19" s="42"/>
      <c r="T19" s="42"/>
      <c r="U19" s="42"/>
      <c r="V19" s="42"/>
      <c r="W19" s="42"/>
      <c r="X19" s="1"/>
    </row>
    <row r="20" spans="1:24">
      <c r="A20" s="41" t="s">
        <v>97</v>
      </c>
      <c r="B20" s="41" t="s">
        <v>576</v>
      </c>
      <c r="C20" s="41" t="s">
        <v>577</v>
      </c>
      <c r="D20" s="41"/>
      <c r="E20" s="1"/>
      <c r="F20" s="42"/>
      <c r="G20" s="42"/>
      <c r="H20" s="42"/>
      <c r="I20" s="42"/>
      <c r="J20" s="1"/>
      <c r="K20" s="42"/>
      <c r="L20" s="42"/>
      <c r="M20" s="42"/>
      <c r="N20" s="42"/>
      <c r="O20" s="42"/>
      <c r="P20" s="42"/>
      <c r="Q20" s="42"/>
      <c r="R20" s="1"/>
      <c r="S20" s="42"/>
      <c r="T20" s="42"/>
      <c r="U20" s="42"/>
      <c r="V20" s="42"/>
      <c r="W20" s="42"/>
      <c r="X20" s="1"/>
    </row>
    <row r="21" spans="1:24">
      <c r="A21" s="41" t="s">
        <v>97</v>
      </c>
      <c r="B21" s="41" t="s">
        <v>578</v>
      </c>
      <c r="C21" s="41" t="s">
        <v>579</v>
      </c>
      <c r="D21" s="41"/>
      <c r="E21" s="1"/>
      <c r="F21" s="42"/>
      <c r="G21" s="42"/>
      <c r="H21" s="42"/>
      <c r="I21" s="42"/>
      <c r="J21" s="1"/>
      <c r="K21" s="42"/>
      <c r="L21" s="42"/>
      <c r="M21" s="42"/>
      <c r="N21" s="42"/>
      <c r="O21" s="42"/>
      <c r="P21" s="42"/>
      <c r="Q21" s="42"/>
      <c r="R21" s="1"/>
      <c r="S21" s="42"/>
      <c r="T21" s="42"/>
      <c r="U21" s="42"/>
      <c r="V21" s="42"/>
      <c r="W21" s="42"/>
      <c r="X21" s="1"/>
    </row>
    <row r="22" spans="1:24">
      <c r="A22" s="41" t="s">
        <v>286</v>
      </c>
      <c r="B22" s="41" t="s">
        <v>324</v>
      </c>
      <c r="C22" s="41" t="s">
        <v>580</v>
      </c>
      <c r="D22" s="41"/>
      <c r="E22" s="1"/>
      <c r="F22" s="42"/>
      <c r="G22" s="42"/>
      <c r="H22" s="42"/>
      <c r="I22" s="42"/>
      <c r="J22" s="1"/>
      <c r="K22" s="42"/>
      <c r="L22" s="42"/>
      <c r="M22" s="42"/>
      <c r="N22" s="42"/>
      <c r="O22" s="42"/>
      <c r="P22" s="42"/>
      <c r="Q22" s="42"/>
      <c r="R22" s="1"/>
      <c r="S22" s="42"/>
      <c r="T22" s="42"/>
      <c r="U22" s="42"/>
      <c r="V22" s="42"/>
      <c r="W22" s="42"/>
      <c r="X22" s="1"/>
    </row>
    <row r="23" spans="1:24">
      <c r="A23" s="41" t="s">
        <v>286</v>
      </c>
      <c r="B23" s="41" t="s">
        <v>581</v>
      </c>
      <c r="C23" s="41" t="s">
        <v>582</v>
      </c>
      <c r="D23" s="41"/>
      <c r="E23" s="1"/>
      <c r="F23" s="42"/>
      <c r="G23" s="42"/>
      <c r="H23" s="42"/>
      <c r="I23" s="42"/>
      <c r="J23" s="1"/>
      <c r="K23" s="42"/>
      <c r="L23" s="42"/>
      <c r="M23" s="42"/>
      <c r="N23" s="42"/>
      <c r="O23" s="42"/>
      <c r="P23" s="42"/>
      <c r="Q23" s="42"/>
      <c r="R23" s="1"/>
      <c r="S23" s="42"/>
      <c r="T23" s="42"/>
      <c r="U23" s="42"/>
      <c r="V23" s="42"/>
      <c r="W23" s="42"/>
      <c r="X23" s="1"/>
    </row>
    <row r="24" spans="1:24">
      <c r="A24" s="41" t="s">
        <v>286</v>
      </c>
      <c r="B24" s="41" t="s">
        <v>558</v>
      </c>
      <c r="C24" s="41" t="s">
        <v>559</v>
      </c>
      <c r="D24" s="41"/>
      <c r="E24" s="1"/>
      <c r="F24" s="42"/>
      <c r="G24" s="42"/>
      <c r="H24" s="42"/>
      <c r="I24" s="42"/>
      <c r="J24" s="1"/>
      <c r="K24" s="42"/>
      <c r="L24" s="42"/>
      <c r="M24" s="42"/>
      <c r="N24" s="42"/>
      <c r="O24" s="42"/>
      <c r="P24" s="42"/>
      <c r="Q24" s="42"/>
      <c r="R24" s="1"/>
      <c r="S24" s="42"/>
      <c r="T24" s="42"/>
      <c r="U24" s="42"/>
      <c r="V24" s="42"/>
      <c r="W24" s="42"/>
      <c r="X24" s="1"/>
    </row>
    <row r="25" spans="1:24">
      <c r="A25" s="41" t="s">
        <v>583</v>
      </c>
      <c r="B25" s="41" t="s">
        <v>584</v>
      </c>
      <c r="C25" s="41"/>
      <c r="D25" s="41"/>
      <c r="E25" s="1"/>
      <c r="F25" s="42"/>
      <c r="G25" s="42"/>
      <c r="H25" s="42"/>
      <c r="I25" s="42"/>
      <c r="J25" s="1"/>
      <c r="K25" s="42"/>
      <c r="L25" s="42"/>
      <c r="M25" s="42"/>
      <c r="N25" s="42"/>
      <c r="O25" s="42"/>
      <c r="P25" s="42"/>
      <c r="Q25" s="42"/>
      <c r="R25" s="1"/>
      <c r="S25" s="42"/>
      <c r="T25" s="42"/>
      <c r="U25" s="42"/>
      <c r="V25" s="42"/>
      <c r="W25" s="42"/>
      <c r="X25" s="1"/>
    </row>
    <row r="26" spans="1:24">
      <c r="A26" s="41" t="s">
        <v>583</v>
      </c>
      <c r="B26" s="41" t="s">
        <v>327</v>
      </c>
      <c r="C26" s="41"/>
      <c r="D26" s="41"/>
      <c r="E26" s="1"/>
      <c r="F26" s="42"/>
      <c r="G26" s="42"/>
      <c r="H26" s="42"/>
      <c r="I26" s="42"/>
      <c r="J26" s="1"/>
      <c r="K26" s="42"/>
      <c r="L26" s="42"/>
      <c r="M26" s="42"/>
      <c r="N26" s="42"/>
      <c r="O26" s="42"/>
      <c r="P26" s="42"/>
      <c r="Q26" s="42"/>
      <c r="R26" s="1"/>
      <c r="S26" s="42"/>
      <c r="T26" s="42"/>
      <c r="U26" s="42"/>
      <c r="V26" s="42"/>
      <c r="W26" s="42"/>
      <c r="X26" s="1"/>
    </row>
    <row r="27" spans="1:24">
      <c r="A27" s="41" t="s">
        <v>583</v>
      </c>
      <c r="B27" s="41" t="s">
        <v>585</v>
      </c>
      <c r="C27" s="41"/>
      <c r="D27" s="41"/>
      <c r="E27" s="1"/>
      <c r="F27" s="42"/>
      <c r="G27" s="42"/>
      <c r="H27" s="42"/>
      <c r="I27" s="42"/>
      <c r="J27" s="1"/>
      <c r="K27" s="42"/>
      <c r="L27" s="42"/>
      <c r="M27" s="42"/>
      <c r="N27" s="42"/>
      <c r="O27" s="42"/>
      <c r="P27" s="42"/>
      <c r="Q27" s="42"/>
      <c r="R27" s="1"/>
      <c r="S27" s="42"/>
      <c r="T27" s="42"/>
      <c r="U27" s="42"/>
      <c r="V27" s="42"/>
      <c r="W27" s="42"/>
      <c r="X27" s="1"/>
    </row>
    <row r="28" spans="1:24">
      <c r="A28" s="41" t="s">
        <v>583</v>
      </c>
      <c r="B28" s="41" t="s">
        <v>586</v>
      </c>
      <c r="C28" s="41"/>
      <c r="D28" s="41"/>
      <c r="E28" s="1"/>
      <c r="F28" s="42"/>
      <c r="G28" s="42"/>
      <c r="H28" s="42"/>
      <c r="I28" s="42"/>
      <c r="J28" s="1"/>
      <c r="K28" s="42"/>
      <c r="L28" s="42"/>
      <c r="M28" s="42"/>
      <c r="N28" s="42"/>
      <c r="O28" s="42"/>
      <c r="P28" s="42"/>
      <c r="Q28" s="42"/>
      <c r="R28" s="1"/>
      <c r="S28" s="42"/>
      <c r="T28" s="42"/>
      <c r="U28" s="42"/>
      <c r="V28" s="42"/>
      <c r="W28" s="42"/>
      <c r="X28" s="1"/>
    </row>
    <row r="29" spans="1:24">
      <c r="A29" s="41" t="s">
        <v>583</v>
      </c>
      <c r="B29" s="41" t="s">
        <v>587</v>
      </c>
      <c r="C29" s="41"/>
      <c r="D29" s="41"/>
      <c r="E29" s="1"/>
      <c r="F29" s="42"/>
      <c r="G29" s="42"/>
      <c r="H29" s="42"/>
      <c r="I29" s="42"/>
      <c r="J29" s="1"/>
      <c r="K29" s="42"/>
      <c r="L29" s="42"/>
      <c r="M29" s="42"/>
      <c r="N29" s="42"/>
      <c r="O29" s="42"/>
      <c r="P29" s="42"/>
      <c r="Q29" s="42"/>
      <c r="R29" s="1"/>
      <c r="S29" s="42"/>
      <c r="T29" s="42"/>
      <c r="U29" s="42"/>
      <c r="V29" s="42"/>
      <c r="W29" s="42"/>
      <c r="X29" s="1"/>
    </row>
    <row r="30" spans="1:24">
      <c r="A30" s="41" t="s">
        <v>583</v>
      </c>
      <c r="B30" s="41" t="s">
        <v>588</v>
      </c>
      <c r="C30" s="41"/>
      <c r="D30" s="41"/>
      <c r="E30" s="1"/>
      <c r="F30" s="42"/>
      <c r="G30" s="42"/>
      <c r="H30" s="42"/>
      <c r="I30" s="42"/>
      <c r="J30" s="1"/>
      <c r="K30" s="42"/>
      <c r="L30" s="42"/>
      <c r="M30" s="42"/>
      <c r="N30" s="42"/>
      <c r="O30" s="42"/>
      <c r="P30" s="42"/>
      <c r="Q30" s="42"/>
      <c r="R30" s="1"/>
      <c r="S30" s="42"/>
      <c r="T30" s="42"/>
      <c r="U30" s="42"/>
      <c r="V30" s="42"/>
      <c r="W30" s="42"/>
      <c r="X30" s="1"/>
    </row>
    <row r="31" spans="1:24">
      <c r="A31" s="41" t="s">
        <v>295</v>
      </c>
      <c r="B31" s="41" t="s">
        <v>589</v>
      </c>
      <c r="C31" s="41"/>
      <c r="D31" s="41"/>
      <c r="E31" s="1"/>
      <c r="F31" s="42"/>
      <c r="G31" s="42"/>
      <c r="H31" s="42"/>
      <c r="I31" s="42"/>
      <c r="J31" s="1"/>
      <c r="K31" s="42"/>
      <c r="L31" s="42"/>
      <c r="M31" s="42"/>
      <c r="N31" s="42"/>
      <c r="O31" s="42"/>
      <c r="P31" s="42"/>
      <c r="Q31" s="42"/>
      <c r="R31" s="1"/>
      <c r="S31" s="42"/>
      <c r="T31" s="42"/>
      <c r="U31" s="42"/>
      <c r="V31" s="42"/>
      <c r="W31" s="42"/>
      <c r="X31" s="1"/>
    </row>
    <row r="32" spans="1:24">
      <c r="A32" s="41" t="s">
        <v>295</v>
      </c>
      <c r="B32" s="41" t="s">
        <v>590</v>
      </c>
      <c r="C32" s="41"/>
      <c r="D32" s="41"/>
      <c r="E32" s="1"/>
      <c r="F32" s="42"/>
      <c r="G32" s="42"/>
      <c r="H32" s="42"/>
      <c r="I32" s="42"/>
      <c r="J32" s="1"/>
      <c r="K32" s="42"/>
      <c r="L32" s="42"/>
      <c r="M32" s="42"/>
      <c r="N32" s="42"/>
      <c r="O32" s="42"/>
      <c r="P32" s="42"/>
      <c r="Q32" s="42"/>
      <c r="R32" s="1"/>
      <c r="S32" s="42"/>
      <c r="T32" s="42"/>
      <c r="U32" s="42"/>
      <c r="V32" s="42"/>
      <c r="W32" s="42"/>
      <c r="X32" s="1"/>
    </row>
    <row r="33" spans="1:24">
      <c r="A33" s="41" t="s">
        <v>295</v>
      </c>
      <c r="B33" s="41" t="s">
        <v>591</v>
      </c>
      <c r="C33" s="41"/>
      <c r="D33" s="41"/>
      <c r="E33" s="1"/>
      <c r="F33" s="42"/>
      <c r="G33" s="42"/>
      <c r="H33" s="42"/>
      <c r="I33" s="42"/>
      <c r="J33" s="1"/>
      <c r="K33" s="42"/>
      <c r="L33" s="42"/>
      <c r="M33" s="42"/>
      <c r="N33" s="42"/>
      <c r="O33" s="42"/>
      <c r="P33" s="42"/>
      <c r="Q33" s="42"/>
      <c r="R33" s="1"/>
      <c r="S33" s="42"/>
      <c r="T33" s="42"/>
      <c r="U33" s="42"/>
      <c r="V33" s="42"/>
      <c r="W33" s="42"/>
      <c r="X33" s="1"/>
    </row>
    <row r="34" spans="1:24">
      <c r="A34" s="41" t="s">
        <v>259</v>
      </c>
      <c r="B34" s="41" t="s">
        <v>281</v>
      </c>
      <c r="C34" s="41"/>
      <c r="D34" s="41"/>
      <c r="E34" s="1"/>
      <c r="F34" s="42"/>
      <c r="G34" s="42"/>
      <c r="H34" s="42"/>
      <c r="I34" s="42"/>
      <c r="J34" s="1"/>
      <c r="K34" s="42"/>
      <c r="L34" s="42"/>
      <c r="M34" s="42"/>
      <c r="N34" s="42"/>
      <c r="O34" s="42"/>
      <c r="P34" s="42"/>
      <c r="Q34" s="42"/>
      <c r="R34" s="1"/>
      <c r="S34" s="42"/>
      <c r="T34" s="42"/>
      <c r="U34" s="42"/>
      <c r="V34" s="42"/>
      <c r="W34" s="42"/>
      <c r="X34" s="1"/>
    </row>
    <row r="35" spans="1:24">
      <c r="A35" s="41" t="s">
        <v>259</v>
      </c>
      <c r="B35" s="41" t="s">
        <v>277</v>
      </c>
      <c r="C35" s="41"/>
      <c r="D35" s="41"/>
      <c r="E35" s="1"/>
      <c r="F35" s="42"/>
      <c r="G35" s="42"/>
      <c r="H35" s="42"/>
      <c r="I35" s="42"/>
      <c r="J35" s="1"/>
      <c r="K35" s="42"/>
      <c r="L35" s="42"/>
      <c r="M35" s="42"/>
      <c r="N35" s="42"/>
      <c r="O35" s="42"/>
      <c r="P35" s="42"/>
      <c r="Q35" s="42"/>
      <c r="R35" s="1"/>
      <c r="S35" s="42"/>
      <c r="T35" s="42"/>
      <c r="U35" s="42"/>
      <c r="V35" s="42"/>
      <c r="W35" s="42"/>
      <c r="X35" s="1"/>
    </row>
    <row r="36" spans="1:24">
      <c r="A36" s="41" t="s">
        <v>259</v>
      </c>
      <c r="B36" s="41" t="s">
        <v>592</v>
      </c>
      <c r="C36" s="41"/>
      <c r="D36" s="41"/>
      <c r="E36" s="1"/>
      <c r="F36" s="42"/>
      <c r="G36" s="42"/>
      <c r="H36" s="42"/>
      <c r="I36" s="42"/>
      <c r="J36" s="1"/>
      <c r="K36" s="42"/>
      <c r="L36" s="42"/>
      <c r="M36" s="42"/>
      <c r="N36" s="42"/>
      <c r="O36" s="42"/>
      <c r="P36" s="42"/>
      <c r="Q36" s="42"/>
      <c r="R36" s="1"/>
      <c r="S36" s="42"/>
      <c r="T36" s="42"/>
      <c r="U36" s="42"/>
      <c r="V36" s="42"/>
      <c r="W36" s="42"/>
      <c r="X36" s="1"/>
    </row>
    <row r="37" spans="1:24">
      <c r="A37" s="41" t="s">
        <v>70</v>
      </c>
      <c r="B37" s="41" t="s">
        <v>179</v>
      </c>
      <c r="C37" s="41"/>
      <c r="D37" s="41"/>
      <c r="E37" s="1"/>
      <c r="F37" s="42"/>
      <c r="G37" s="42"/>
      <c r="H37" s="42"/>
      <c r="I37" s="42"/>
      <c r="J37" s="1"/>
      <c r="K37" s="42"/>
      <c r="L37" s="42"/>
      <c r="M37" s="42"/>
      <c r="N37" s="42"/>
      <c r="O37" s="42"/>
      <c r="P37" s="42"/>
      <c r="Q37" s="42"/>
      <c r="R37" s="1"/>
      <c r="S37" s="42"/>
      <c r="T37" s="42"/>
      <c r="U37" s="42"/>
      <c r="V37" s="42"/>
      <c r="W37" s="42"/>
      <c r="X37" s="1"/>
    </row>
    <row r="38" spans="1:24">
      <c r="A38" s="41" t="s">
        <v>70</v>
      </c>
      <c r="B38" s="41" t="s">
        <v>202</v>
      </c>
      <c r="C38" s="41"/>
      <c r="D38" s="41"/>
      <c r="E38" s="1"/>
      <c r="F38" s="42"/>
      <c r="G38" s="42"/>
      <c r="H38" s="42"/>
      <c r="I38" s="42"/>
      <c r="J38" s="1"/>
      <c r="K38" s="42"/>
      <c r="L38" s="42"/>
      <c r="M38" s="42"/>
      <c r="N38" s="42"/>
      <c r="O38" s="42"/>
      <c r="P38" s="42"/>
      <c r="Q38" s="42"/>
      <c r="R38" s="1"/>
      <c r="S38" s="42"/>
      <c r="T38" s="42"/>
      <c r="U38" s="42"/>
      <c r="V38" s="42"/>
      <c r="W38" s="42"/>
      <c r="X38" s="1"/>
    </row>
    <row r="39" spans="1:24">
      <c r="A39" s="41" t="s">
        <v>70</v>
      </c>
      <c r="B39" s="41" t="s">
        <v>593</v>
      </c>
      <c r="C39" s="41"/>
      <c r="D39" s="41"/>
      <c r="E39" s="1"/>
      <c r="F39" s="42"/>
      <c r="G39" s="42"/>
      <c r="H39" s="42"/>
      <c r="I39" s="42"/>
      <c r="J39" s="1"/>
      <c r="K39" s="42"/>
      <c r="L39" s="42"/>
      <c r="M39" s="42"/>
      <c r="N39" s="42"/>
      <c r="O39" s="42"/>
      <c r="P39" s="42"/>
      <c r="Q39" s="42"/>
      <c r="R39" s="1"/>
      <c r="S39" s="42"/>
      <c r="T39" s="42"/>
      <c r="U39" s="42"/>
      <c r="V39" s="42"/>
      <c r="W39" s="42"/>
      <c r="X39" s="1"/>
    </row>
    <row r="40" spans="1:24">
      <c r="A40" s="41" t="s">
        <v>288</v>
      </c>
      <c r="B40" s="41" t="s">
        <v>594</v>
      </c>
      <c r="C40" s="41"/>
      <c r="D40" s="41"/>
      <c r="E40" s="1"/>
      <c r="F40" s="42"/>
      <c r="G40" s="42"/>
      <c r="H40" s="42"/>
      <c r="I40" s="42"/>
      <c r="J40" s="1"/>
      <c r="K40" s="42"/>
      <c r="L40" s="42"/>
      <c r="M40" s="42"/>
      <c r="N40" s="42"/>
      <c r="O40" s="42"/>
      <c r="P40" s="42"/>
      <c r="Q40" s="42"/>
      <c r="R40" s="1"/>
      <c r="S40" s="42"/>
      <c r="T40" s="42"/>
      <c r="U40" s="42"/>
      <c r="V40" s="42"/>
      <c r="W40" s="42"/>
      <c r="X40" s="1"/>
    </row>
    <row r="41" spans="1:24">
      <c r="A41" s="41" t="s">
        <v>288</v>
      </c>
      <c r="B41" s="41" t="s">
        <v>325</v>
      </c>
      <c r="C41" s="41"/>
      <c r="D41" s="41"/>
      <c r="E41" s="1"/>
      <c r="F41" s="1"/>
      <c r="G41" s="1"/>
      <c r="H41" s="1"/>
      <c r="I41" s="1"/>
      <c r="J41" s="1"/>
      <c r="K41" s="42"/>
      <c r="L41" s="42"/>
      <c r="M41" s="42"/>
      <c r="N41" s="42"/>
      <c r="O41" s="42"/>
      <c r="P41" s="42"/>
      <c r="Q41" s="42"/>
      <c r="R41" s="1"/>
      <c r="S41" s="42"/>
      <c r="T41" s="42"/>
      <c r="U41" s="42"/>
      <c r="V41" s="42"/>
      <c r="W41" s="42"/>
      <c r="X41" s="1"/>
    </row>
    <row r="42" spans="1:24">
      <c r="A42" s="41" t="s">
        <v>288</v>
      </c>
      <c r="B42" s="41" t="s">
        <v>595</v>
      </c>
      <c r="C42" s="41"/>
      <c r="D42" s="41"/>
      <c r="E42" s="1"/>
      <c r="F42" s="1"/>
      <c r="G42" s="1"/>
      <c r="H42" s="1"/>
      <c r="I42" s="1"/>
      <c r="J42" s="1"/>
      <c r="K42" s="42"/>
      <c r="L42" s="42"/>
      <c r="M42" s="42"/>
      <c r="N42" s="42"/>
      <c r="O42" s="42"/>
      <c r="P42" s="42"/>
      <c r="Q42" s="42"/>
      <c r="R42" s="1"/>
      <c r="S42" s="42"/>
      <c r="T42" s="42"/>
      <c r="U42" s="42"/>
      <c r="V42" s="42"/>
      <c r="W42" s="42"/>
      <c r="X42" s="1"/>
    </row>
    <row r="43" spans="1:24">
      <c r="A43" s="41" t="s">
        <v>217</v>
      </c>
      <c r="B43" s="41" t="s">
        <v>236</v>
      </c>
      <c r="C43" s="41" t="s">
        <v>596</v>
      </c>
      <c r="D43" s="41"/>
      <c r="E43" s="1"/>
      <c r="F43" s="1"/>
      <c r="G43" s="1"/>
      <c r="H43" s="1"/>
      <c r="I43" s="1"/>
      <c r="J43" s="1"/>
      <c r="K43" s="42"/>
      <c r="L43" s="42"/>
      <c r="M43" s="42"/>
      <c r="N43" s="42"/>
      <c r="O43" s="42"/>
      <c r="P43" s="42"/>
      <c r="Q43" s="42"/>
      <c r="R43" s="1"/>
      <c r="S43" s="42"/>
      <c r="T43" s="42"/>
      <c r="U43" s="42"/>
      <c r="V43" s="42"/>
      <c r="W43" s="42"/>
      <c r="X43" s="1"/>
    </row>
    <row r="44" spans="1:24">
      <c r="A44" s="41" t="s">
        <v>217</v>
      </c>
      <c r="B44" s="41" t="s">
        <v>241</v>
      </c>
      <c r="C44" s="41" t="s">
        <v>597</v>
      </c>
      <c r="D44" s="41"/>
      <c r="E44" s="1"/>
      <c r="F44" s="1"/>
      <c r="G44" s="1"/>
      <c r="H44" s="1"/>
      <c r="I44" s="1"/>
      <c r="J44" s="1"/>
      <c r="K44" s="42"/>
      <c r="L44" s="42"/>
      <c r="M44" s="42"/>
      <c r="N44" s="42"/>
      <c r="O44" s="42"/>
      <c r="P44" s="42"/>
      <c r="Q44" s="42"/>
      <c r="R44" s="1"/>
      <c r="S44" s="42"/>
      <c r="T44" s="42"/>
      <c r="U44" s="42"/>
      <c r="V44" s="42"/>
      <c r="W44" s="42"/>
      <c r="X44" s="1"/>
    </row>
    <row r="45" spans="1:24">
      <c r="A45" s="41" t="s">
        <v>217</v>
      </c>
      <c r="B45" s="41" t="s">
        <v>598</v>
      </c>
      <c r="C45" s="41" t="s">
        <v>599</v>
      </c>
      <c r="D45" s="41"/>
      <c r="E45" s="1"/>
      <c r="F45" s="1"/>
      <c r="G45" s="1"/>
      <c r="H45" s="1"/>
      <c r="I45" s="1"/>
      <c r="J45" s="1"/>
      <c r="K45" s="42"/>
      <c r="L45" s="42"/>
      <c r="M45" s="42"/>
      <c r="N45" s="42"/>
      <c r="O45" s="42"/>
      <c r="P45" s="42"/>
      <c r="Q45" s="42"/>
      <c r="R45" s="1"/>
      <c r="S45" s="42"/>
      <c r="T45" s="42"/>
      <c r="U45" s="42"/>
      <c r="V45" s="42"/>
      <c r="W45" s="42"/>
      <c r="X45" s="1"/>
    </row>
    <row r="46" spans="1:24">
      <c r="A46" s="41" t="s">
        <v>600</v>
      </c>
      <c r="B46" s="41" t="s">
        <v>239</v>
      </c>
      <c r="C46" s="41" t="s">
        <v>601</v>
      </c>
      <c r="D46" s="41"/>
      <c r="E46" s="1"/>
      <c r="F46" s="1"/>
      <c r="G46" s="1"/>
      <c r="H46" s="1"/>
      <c r="I46" s="1"/>
      <c r="J46" s="1"/>
      <c r="K46" s="42"/>
      <c r="L46" s="42"/>
      <c r="M46" s="42"/>
      <c r="N46" s="42"/>
      <c r="O46" s="42"/>
      <c r="P46" s="42"/>
      <c r="Q46" s="42"/>
      <c r="R46" s="1"/>
      <c r="S46" s="42"/>
      <c r="T46" s="42"/>
      <c r="U46" s="42"/>
      <c r="V46" s="42"/>
      <c r="W46" s="42"/>
      <c r="X46" s="1"/>
    </row>
    <row r="47" spans="1:24">
      <c r="A47" s="41" t="s">
        <v>600</v>
      </c>
      <c r="B47" s="41" t="s">
        <v>246</v>
      </c>
      <c r="C47" s="41" t="s">
        <v>602</v>
      </c>
      <c r="D47" s="41"/>
      <c r="E47" s="1"/>
      <c r="F47" s="1"/>
      <c r="G47" s="1"/>
      <c r="H47" s="1"/>
      <c r="I47" s="1"/>
      <c r="J47" s="1"/>
      <c r="K47" s="42"/>
      <c r="L47" s="42"/>
      <c r="M47" s="42"/>
      <c r="N47" s="42"/>
      <c r="O47" s="42"/>
      <c r="P47" s="42"/>
      <c r="Q47" s="42"/>
      <c r="R47" s="1"/>
      <c r="S47" s="42"/>
      <c r="T47" s="42"/>
      <c r="U47" s="42"/>
      <c r="V47" s="42"/>
      <c r="W47" s="42"/>
      <c r="X47" s="1"/>
    </row>
    <row r="48" spans="1:24">
      <c r="A48" s="41" t="s">
        <v>600</v>
      </c>
      <c r="B48" s="41" t="s">
        <v>603</v>
      </c>
      <c r="C48" s="41" t="s">
        <v>577</v>
      </c>
      <c r="D48" s="41"/>
      <c r="E48" s="1"/>
      <c r="F48" s="1"/>
      <c r="G48" s="1"/>
      <c r="H48" s="1"/>
      <c r="I48" s="1"/>
      <c r="J48" s="1"/>
      <c r="K48" s="42"/>
      <c r="L48" s="42"/>
      <c r="M48" s="42"/>
      <c r="N48" s="42"/>
      <c r="O48" s="42"/>
      <c r="P48" s="42"/>
      <c r="Q48" s="42"/>
      <c r="R48" s="1"/>
      <c r="S48" s="42"/>
      <c r="T48" s="42"/>
      <c r="U48" s="42"/>
      <c r="V48" s="42"/>
      <c r="W48" s="42"/>
      <c r="X48" s="1"/>
    </row>
    <row r="49" spans="1:24">
      <c r="A49" s="41" t="s">
        <v>600</v>
      </c>
      <c r="B49" s="41" t="s">
        <v>604</v>
      </c>
      <c r="C49" s="41" t="s">
        <v>605</v>
      </c>
      <c r="D49" s="41"/>
      <c r="E49" s="1"/>
      <c r="F49" s="1"/>
      <c r="G49" s="1"/>
      <c r="H49" s="1"/>
      <c r="I49" s="1"/>
      <c r="J49" s="1"/>
      <c r="K49" s="42"/>
      <c r="L49" s="42"/>
      <c r="M49" s="42"/>
      <c r="N49" s="42"/>
      <c r="O49" s="42"/>
      <c r="P49" s="42"/>
      <c r="Q49" s="42"/>
      <c r="R49" s="1"/>
      <c r="S49" s="42"/>
      <c r="T49" s="42"/>
      <c r="U49" s="42"/>
      <c r="V49" s="42"/>
      <c r="W49" s="42"/>
      <c r="X49" s="1"/>
    </row>
    <row r="50" spans="1:24">
      <c r="A50" s="41" t="s">
        <v>600</v>
      </c>
      <c r="B50" s="41" t="s">
        <v>606</v>
      </c>
      <c r="C50" s="41" t="s">
        <v>607</v>
      </c>
      <c r="D50" s="41"/>
      <c r="E50" s="1"/>
      <c r="F50" s="1"/>
      <c r="G50" s="1"/>
      <c r="H50" s="1"/>
      <c r="I50" s="1"/>
      <c r="J50" s="1"/>
      <c r="K50" s="42"/>
      <c r="L50" s="42"/>
      <c r="M50" s="42"/>
      <c r="N50" s="42"/>
      <c r="O50" s="42"/>
      <c r="P50" s="42"/>
      <c r="Q50" s="42"/>
      <c r="R50" s="1"/>
      <c r="S50" s="42"/>
      <c r="T50" s="42"/>
      <c r="U50" s="42"/>
      <c r="V50" s="42"/>
      <c r="W50" s="42"/>
      <c r="X50" s="1"/>
    </row>
    <row r="51" spans="1:24">
      <c r="A51" s="41" t="s">
        <v>608</v>
      </c>
      <c r="B51" s="41" t="s">
        <v>238</v>
      </c>
      <c r="C51" s="41" t="s">
        <v>609</v>
      </c>
      <c r="D51" s="41"/>
      <c r="E51" s="1"/>
      <c r="F51" s="1"/>
      <c r="G51" s="1"/>
      <c r="H51" s="1"/>
      <c r="I51" s="1"/>
      <c r="J51" s="1"/>
      <c r="K51" s="42"/>
      <c r="L51" s="42"/>
      <c r="M51" s="42"/>
      <c r="N51" s="42"/>
      <c r="O51" s="42"/>
      <c r="P51" s="42"/>
      <c r="Q51" s="42"/>
      <c r="R51" s="1"/>
      <c r="S51" s="42"/>
      <c r="T51" s="42"/>
      <c r="U51" s="42"/>
      <c r="V51" s="42"/>
      <c r="W51" s="42"/>
      <c r="X51" s="1"/>
    </row>
    <row r="52" spans="1:24">
      <c r="A52" s="41" t="s">
        <v>608</v>
      </c>
      <c r="B52" s="41" t="s">
        <v>181</v>
      </c>
      <c r="C52" s="41" t="s">
        <v>610</v>
      </c>
      <c r="D52" s="41"/>
      <c r="E52" s="1"/>
      <c r="F52" s="1"/>
      <c r="G52" s="1"/>
      <c r="H52" s="1"/>
      <c r="I52" s="1"/>
      <c r="J52" s="1"/>
      <c r="K52" s="42"/>
      <c r="L52" s="42"/>
      <c r="M52" s="42"/>
      <c r="N52" s="42"/>
      <c r="O52" s="42"/>
      <c r="P52" s="42"/>
      <c r="Q52" s="42"/>
      <c r="R52" s="1"/>
      <c r="S52" s="42"/>
      <c r="T52" s="42"/>
      <c r="U52" s="42"/>
      <c r="V52" s="42"/>
      <c r="W52" s="42"/>
      <c r="X52" s="1"/>
    </row>
    <row r="53" spans="1:24">
      <c r="A53" s="41" t="s">
        <v>611</v>
      </c>
      <c r="B53" s="41" t="s">
        <v>274</v>
      </c>
      <c r="C53" s="41"/>
      <c r="D53" s="41"/>
      <c r="E53" s="1"/>
      <c r="F53" s="1"/>
      <c r="G53" s="1"/>
      <c r="H53" s="1"/>
      <c r="I53" s="1"/>
      <c r="J53" s="1"/>
      <c r="K53" s="42"/>
      <c r="L53" s="42"/>
      <c r="M53" s="42"/>
      <c r="N53" s="42"/>
      <c r="O53" s="42"/>
      <c r="P53" s="42"/>
      <c r="Q53" s="42"/>
      <c r="R53" s="1"/>
      <c r="S53" s="42"/>
      <c r="T53" s="42"/>
      <c r="U53" s="42"/>
      <c r="V53" s="42"/>
      <c r="W53" s="42"/>
      <c r="X53" s="1"/>
    </row>
    <row r="54" spans="1:24">
      <c r="A54" s="41" t="s">
        <v>611</v>
      </c>
      <c r="B54" s="41" t="s">
        <v>279</v>
      </c>
      <c r="C54" s="41"/>
      <c r="D54" s="41"/>
      <c r="E54" s="1"/>
      <c r="F54" s="1"/>
      <c r="G54" s="1"/>
      <c r="H54" s="1"/>
      <c r="I54" s="1"/>
      <c r="J54" s="1"/>
      <c r="K54" s="42"/>
      <c r="L54" s="42"/>
      <c r="M54" s="42"/>
      <c r="N54" s="42"/>
      <c r="O54" s="42"/>
      <c r="P54" s="42"/>
      <c r="Q54" s="42"/>
      <c r="R54" s="1"/>
      <c r="S54" s="42"/>
      <c r="T54" s="42"/>
      <c r="U54" s="42"/>
      <c r="V54" s="42"/>
      <c r="W54" s="42"/>
      <c r="X54" s="1"/>
    </row>
    <row r="55" spans="1:24">
      <c r="A55" s="41" t="s">
        <v>611</v>
      </c>
      <c r="B55" s="41" t="s">
        <v>612</v>
      </c>
      <c r="C55" s="41"/>
      <c r="D55" s="41"/>
      <c r="E55" s="1"/>
      <c r="F55" s="1"/>
      <c r="G55" s="1"/>
      <c r="H55" s="1"/>
      <c r="I55" s="1"/>
      <c r="J55" s="1"/>
      <c r="K55" s="42"/>
      <c r="L55" s="42"/>
      <c r="M55" s="42"/>
      <c r="N55" s="42"/>
      <c r="O55" s="42"/>
      <c r="P55" s="42"/>
      <c r="Q55" s="42"/>
      <c r="R55" s="1"/>
      <c r="S55" s="42"/>
      <c r="T55" s="42"/>
      <c r="U55" s="42"/>
      <c r="V55" s="42"/>
      <c r="W55" s="42"/>
      <c r="X55" s="1"/>
    </row>
    <row r="56" spans="1:24">
      <c r="A56" s="41" t="s">
        <v>611</v>
      </c>
      <c r="B56" s="41" t="s">
        <v>613</v>
      </c>
      <c r="C56" s="41"/>
      <c r="D56" s="41"/>
      <c r="E56" s="1"/>
      <c r="F56" s="1"/>
      <c r="G56" s="1"/>
      <c r="H56" s="1"/>
      <c r="I56" s="1"/>
      <c r="J56" s="1"/>
      <c r="K56" s="42"/>
      <c r="L56" s="42"/>
      <c r="M56" s="42"/>
      <c r="N56" s="42"/>
      <c r="O56" s="42"/>
      <c r="P56" s="42"/>
      <c r="Q56" s="42"/>
      <c r="R56" s="1"/>
      <c r="S56" s="42"/>
      <c r="T56" s="42"/>
      <c r="U56" s="42"/>
      <c r="V56" s="42"/>
      <c r="W56" s="42"/>
      <c r="X56" s="1"/>
    </row>
    <row r="57" spans="1:24">
      <c r="A57" s="41" t="s">
        <v>251</v>
      </c>
      <c r="B57" s="41" t="s">
        <v>273</v>
      </c>
      <c r="C57" s="41"/>
      <c r="D57" s="41"/>
      <c r="E57" s="1"/>
      <c r="F57" s="1"/>
      <c r="G57" s="1"/>
      <c r="H57" s="1"/>
      <c r="I57" s="1"/>
      <c r="J57" s="1"/>
      <c r="K57" s="42"/>
      <c r="L57" s="42"/>
      <c r="M57" s="42"/>
      <c r="N57" s="42"/>
      <c r="O57" s="42"/>
      <c r="P57" s="42"/>
      <c r="Q57" s="42"/>
      <c r="R57" s="1"/>
      <c r="S57" s="42"/>
      <c r="T57" s="42"/>
      <c r="U57" s="42"/>
      <c r="V57" s="42"/>
      <c r="W57" s="42"/>
      <c r="X57" s="1"/>
    </row>
    <row r="58" spans="1:24">
      <c r="A58" s="41" t="s">
        <v>251</v>
      </c>
      <c r="B58" s="41" t="s">
        <v>614</v>
      </c>
      <c r="C58" s="41"/>
      <c r="D58" s="41"/>
      <c r="E58" s="1"/>
      <c r="F58" s="1"/>
      <c r="G58" s="1"/>
      <c r="H58" s="1"/>
      <c r="I58" s="1"/>
      <c r="J58" s="1"/>
      <c r="K58" s="42"/>
      <c r="L58" s="42"/>
      <c r="M58" s="42"/>
      <c r="N58" s="42"/>
      <c r="O58" s="42"/>
      <c r="P58" s="42"/>
      <c r="Q58" s="42"/>
      <c r="R58" s="1"/>
      <c r="S58" s="42"/>
      <c r="T58" s="42"/>
      <c r="U58" s="42"/>
      <c r="V58" s="42"/>
      <c r="W58" s="42"/>
      <c r="X58" s="1"/>
    </row>
    <row r="59" spans="1:24">
      <c r="A59" s="41" t="s">
        <v>251</v>
      </c>
      <c r="B59" s="41" t="s">
        <v>590</v>
      </c>
      <c r="C59" s="41"/>
      <c r="D59" s="41"/>
      <c r="E59" s="1"/>
      <c r="F59" s="1"/>
      <c r="G59" s="1"/>
      <c r="H59" s="1"/>
      <c r="I59" s="1"/>
      <c r="J59" s="1"/>
      <c r="K59" s="42"/>
      <c r="L59" s="42"/>
      <c r="M59" s="42"/>
      <c r="N59" s="42"/>
      <c r="O59" s="42"/>
      <c r="P59" s="42"/>
      <c r="Q59" s="42"/>
      <c r="R59" s="1"/>
      <c r="S59" s="42"/>
      <c r="T59" s="42"/>
      <c r="U59" s="42"/>
      <c r="V59" s="42"/>
      <c r="W59" s="42"/>
      <c r="X59" s="1"/>
    </row>
    <row r="60" spans="1:24">
      <c r="A60" s="41" t="s">
        <v>251</v>
      </c>
      <c r="B60" s="41" t="s">
        <v>278</v>
      </c>
      <c r="C60" s="41"/>
      <c r="D60" s="41"/>
      <c r="E60" s="1"/>
      <c r="F60" s="1"/>
      <c r="G60" s="1"/>
      <c r="H60" s="1"/>
      <c r="I60" s="1"/>
      <c r="J60" s="1"/>
      <c r="K60" s="42"/>
      <c r="L60" s="42"/>
      <c r="M60" s="42"/>
      <c r="N60" s="42"/>
      <c r="O60" s="42"/>
      <c r="P60" s="42"/>
      <c r="Q60" s="42"/>
      <c r="R60" s="1"/>
      <c r="S60" s="42"/>
      <c r="T60" s="42"/>
      <c r="U60" s="42"/>
      <c r="V60" s="42"/>
      <c r="W60" s="42"/>
      <c r="X60" s="1"/>
    </row>
    <row r="61" spans="1:24">
      <c r="A61" s="41" t="s">
        <v>75</v>
      </c>
      <c r="B61" s="41" t="s">
        <v>615</v>
      </c>
      <c r="C61" s="41"/>
      <c r="D61" s="41"/>
      <c r="E61" s="1"/>
      <c r="F61" s="1"/>
      <c r="G61" s="1"/>
      <c r="H61" s="1"/>
      <c r="I61" s="1"/>
      <c r="J61" s="1"/>
      <c r="K61" s="42"/>
      <c r="L61" s="42"/>
      <c r="M61" s="42"/>
      <c r="N61" s="42"/>
      <c r="O61" s="42"/>
      <c r="P61" s="42"/>
      <c r="Q61" s="42"/>
      <c r="R61" s="1"/>
      <c r="S61" s="1"/>
      <c r="T61" s="1"/>
      <c r="U61" s="1"/>
      <c r="V61" s="1"/>
      <c r="W61" s="1"/>
      <c r="X61" s="1"/>
    </row>
    <row r="62" spans="1:24">
      <c r="A62" s="41" t="s">
        <v>75</v>
      </c>
      <c r="B62" s="41" t="s">
        <v>616</v>
      </c>
      <c r="C62" s="41"/>
      <c r="D62" s="41"/>
      <c r="E62" s="1"/>
      <c r="F62" s="1"/>
      <c r="G62" s="1"/>
      <c r="H62" s="1"/>
      <c r="I62" s="1"/>
      <c r="J62" s="1"/>
      <c r="K62" s="42"/>
      <c r="L62" s="42"/>
      <c r="M62" s="42"/>
      <c r="N62" s="42"/>
      <c r="O62" s="42"/>
      <c r="P62" s="42"/>
      <c r="Q62" s="42"/>
      <c r="R62" s="1"/>
      <c r="S62" s="1"/>
      <c r="T62" s="1"/>
      <c r="U62" s="1"/>
      <c r="V62" s="1"/>
      <c r="W62" s="1"/>
      <c r="X62" s="1"/>
    </row>
    <row r="63" spans="1:24">
      <c r="A63" s="41" t="s">
        <v>75</v>
      </c>
      <c r="B63" s="41" t="s">
        <v>617</v>
      </c>
      <c r="C63" s="41"/>
      <c r="D63" s="41"/>
      <c r="E63" s="1"/>
      <c r="F63" s="1"/>
      <c r="G63" s="1"/>
      <c r="H63" s="1"/>
      <c r="I63" s="1"/>
      <c r="J63" s="1"/>
      <c r="K63" s="42"/>
      <c r="L63" s="42"/>
      <c r="M63" s="42"/>
      <c r="N63" s="42"/>
      <c r="O63" s="42"/>
      <c r="P63" s="42"/>
      <c r="Q63" s="42"/>
      <c r="R63" s="1"/>
      <c r="S63" s="1"/>
      <c r="T63" s="1"/>
      <c r="U63" s="1"/>
      <c r="V63" s="1"/>
      <c r="W63" s="1"/>
      <c r="X63" s="1"/>
    </row>
    <row r="64" spans="1:24">
      <c r="A64" s="41" t="s">
        <v>77</v>
      </c>
      <c r="B64" s="41" t="s">
        <v>182</v>
      </c>
      <c r="C64" s="41"/>
      <c r="D64" s="41"/>
      <c r="E64" s="1"/>
      <c r="F64" s="1"/>
      <c r="G64" s="1"/>
      <c r="H64" s="1"/>
      <c r="I64" s="1"/>
      <c r="J64" s="1"/>
      <c r="K64" s="42"/>
      <c r="L64" s="42"/>
      <c r="M64" s="42"/>
      <c r="N64" s="42"/>
      <c r="O64" s="42"/>
      <c r="P64" s="42"/>
      <c r="Q64" s="42"/>
      <c r="R64" s="1"/>
      <c r="S64" s="1"/>
      <c r="T64" s="1"/>
      <c r="U64" s="1"/>
      <c r="V64" s="1"/>
      <c r="W64" s="1"/>
      <c r="X64" s="1"/>
    </row>
    <row r="65" spans="1:24">
      <c r="A65" s="41" t="s">
        <v>77</v>
      </c>
      <c r="B65" s="41" t="s">
        <v>203</v>
      </c>
      <c r="C65" s="41"/>
      <c r="D65" s="41"/>
      <c r="E65" s="1"/>
      <c r="F65" s="1"/>
      <c r="G65" s="1"/>
      <c r="H65" s="1"/>
      <c r="I65" s="1"/>
      <c r="J65" s="1"/>
      <c r="K65" s="42"/>
      <c r="L65" s="42"/>
      <c r="M65" s="42"/>
      <c r="N65" s="42"/>
      <c r="O65" s="42"/>
      <c r="P65" s="42"/>
      <c r="Q65" s="42"/>
      <c r="R65" s="1"/>
      <c r="S65" s="1"/>
      <c r="T65" s="1"/>
      <c r="U65" s="1"/>
      <c r="V65" s="1"/>
      <c r="W65" s="1"/>
      <c r="X65" s="1"/>
    </row>
    <row r="66" spans="1:24">
      <c r="A66" s="41" t="s">
        <v>88</v>
      </c>
      <c r="B66" s="41" t="s">
        <v>187</v>
      </c>
      <c r="C66" s="41"/>
      <c r="D66" s="41"/>
      <c r="E66" s="1"/>
      <c r="F66" s="1"/>
      <c r="G66" s="1"/>
      <c r="H66" s="1"/>
      <c r="I66" s="1"/>
      <c r="J66" s="1"/>
      <c r="K66" s="42"/>
      <c r="L66" s="42"/>
      <c r="M66" s="42"/>
      <c r="N66" s="42"/>
      <c r="O66" s="42"/>
      <c r="P66" s="42"/>
      <c r="Q66" s="42"/>
      <c r="R66" s="1"/>
      <c r="S66" s="1"/>
      <c r="T66" s="1"/>
      <c r="U66" s="1"/>
      <c r="V66" s="1"/>
      <c r="W66" s="1"/>
      <c r="X66" s="1"/>
    </row>
    <row r="67" spans="1:24">
      <c r="A67" s="41" t="s">
        <v>88</v>
      </c>
      <c r="B67" s="41" t="s">
        <v>618</v>
      </c>
      <c r="C67" s="41"/>
      <c r="D67" s="41"/>
      <c r="E67" s="1"/>
      <c r="F67" s="1"/>
      <c r="G67" s="1"/>
      <c r="H67" s="1"/>
      <c r="I67" s="1"/>
      <c r="J67" s="1"/>
      <c r="K67" s="42"/>
      <c r="L67" s="42"/>
      <c r="M67" s="42"/>
      <c r="N67" s="42"/>
      <c r="O67" s="42"/>
      <c r="P67" s="42"/>
      <c r="Q67" s="42"/>
      <c r="R67" s="1"/>
      <c r="S67" s="1"/>
      <c r="T67" s="1"/>
      <c r="U67" s="1"/>
      <c r="V67" s="1"/>
      <c r="W67" s="1"/>
      <c r="X67" s="1"/>
    </row>
    <row r="68" spans="1:24">
      <c r="A68" s="41" t="s">
        <v>88</v>
      </c>
      <c r="B68" s="41" t="s">
        <v>204</v>
      </c>
      <c r="C68" s="41"/>
      <c r="D68" s="41"/>
      <c r="E68" s="1"/>
      <c r="F68" s="1"/>
      <c r="G68" s="1"/>
      <c r="H68" s="1"/>
      <c r="I68" s="1"/>
      <c r="J68" s="1"/>
      <c r="K68" s="42"/>
      <c r="L68" s="42"/>
      <c r="M68" s="42"/>
      <c r="N68" s="42"/>
      <c r="O68" s="42"/>
      <c r="P68" s="42"/>
      <c r="Q68" s="42"/>
      <c r="R68" s="1"/>
      <c r="S68" s="1"/>
      <c r="T68" s="1"/>
      <c r="U68" s="1"/>
      <c r="V68" s="1"/>
      <c r="W68" s="1"/>
      <c r="X68" s="1"/>
    </row>
    <row r="69" spans="1:24">
      <c r="A69" s="41" t="s">
        <v>89</v>
      </c>
      <c r="B69" s="41" t="s">
        <v>188</v>
      </c>
      <c r="C69" s="41"/>
      <c r="D69" s="41"/>
      <c r="E69" s="1"/>
      <c r="F69" s="1"/>
      <c r="G69" s="1"/>
      <c r="H69" s="1"/>
      <c r="I69" s="1"/>
      <c r="J69" s="1"/>
      <c r="K69" s="42"/>
      <c r="L69" s="42"/>
      <c r="M69" s="42"/>
      <c r="N69" s="42"/>
      <c r="O69" s="42"/>
      <c r="P69" s="42"/>
      <c r="Q69" s="42"/>
      <c r="R69" s="1"/>
      <c r="S69" s="1"/>
      <c r="T69" s="1"/>
      <c r="U69" s="1"/>
      <c r="V69" s="1"/>
      <c r="W69" s="1"/>
      <c r="X69" s="1"/>
    </row>
    <row r="70" spans="1:24">
      <c r="A70" s="41" t="s">
        <v>89</v>
      </c>
      <c r="B70" s="41" t="s">
        <v>619</v>
      </c>
      <c r="C70" s="41"/>
      <c r="D70" s="41"/>
      <c r="E70" s="1"/>
      <c r="F70" s="1"/>
      <c r="G70" s="1"/>
      <c r="H70" s="1"/>
      <c r="I70" s="1"/>
      <c r="J70" s="1"/>
      <c r="K70" s="42"/>
      <c r="L70" s="42"/>
      <c r="M70" s="42"/>
      <c r="N70" s="42"/>
      <c r="O70" s="42"/>
      <c r="P70" s="42"/>
      <c r="Q70" s="42"/>
      <c r="R70" s="1"/>
      <c r="S70" s="1"/>
      <c r="T70" s="1"/>
      <c r="U70" s="1"/>
      <c r="V70" s="1"/>
      <c r="W70" s="1"/>
      <c r="X70" s="1"/>
    </row>
    <row r="71" spans="1:24">
      <c r="A71" s="41" t="s">
        <v>89</v>
      </c>
      <c r="B71" s="41" t="s">
        <v>620</v>
      </c>
      <c r="C71" s="41"/>
      <c r="D71" s="41"/>
      <c r="E71" s="1"/>
      <c r="F71" s="1"/>
      <c r="G71" s="1"/>
      <c r="H71" s="1"/>
      <c r="I71" s="1"/>
      <c r="J71" s="1"/>
      <c r="K71" s="42"/>
      <c r="L71" s="42"/>
      <c r="M71" s="42"/>
      <c r="N71" s="42"/>
      <c r="O71" s="42"/>
      <c r="P71" s="42"/>
      <c r="Q71" s="42"/>
      <c r="R71" s="1"/>
      <c r="S71" s="1"/>
      <c r="T71" s="1"/>
      <c r="U71" s="1"/>
      <c r="V71" s="1"/>
      <c r="W71" s="1"/>
      <c r="X71" s="1"/>
    </row>
    <row r="72" spans="1:24">
      <c r="A72" s="41" t="s">
        <v>94</v>
      </c>
      <c r="B72" s="41" t="s">
        <v>621</v>
      </c>
      <c r="C72" s="41"/>
      <c r="D72" s="41"/>
      <c r="E72" s="1"/>
      <c r="F72" s="1"/>
      <c r="G72" s="1"/>
      <c r="H72" s="1"/>
      <c r="I72" s="1"/>
      <c r="J72" s="1"/>
      <c r="K72" s="42"/>
      <c r="L72" s="42"/>
      <c r="M72" s="42"/>
      <c r="N72" s="42"/>
      <c r="O72" s="42"/>
      <c r="P72" s="42"/>
      <c r="Q72" s="42"/>
      <c r="R72" s="1"/>
      <c r="S72" s="1"/>
      <c r="T72" s="1"/>
      <c r="U72" s="1"/>
      <c r="V72" s="1"/>
      <c r="W72" s="1"/>
      <c r="X72" s="1"/>
    </row>
    <row r="73" spans="1:24">
      <c r="A73" s="41" t="s">
        <v>94</v>
      </c>
      <c r="B73" s="41" t="s">
        <v>190</v>
      </c>
      <c r="C73" s="41"/>
      <c r="D73" s="41"/>
      <c r="E73" s="1"/>
      <c r="F73" s="1"/>
      <c r="G73" s="1"/>
      <c r="H73" s="1"/>
      <c r="I73" s="1"/>
      <c r="J73" s="1"/>
      <c r="K73" s="42"/>
      <c r="L73" s="42"/>
      <c r="M73" s="42"/>
      <c r="N73" s="42"/>
      <c r="O73" s="42"/>
      <c r="P73" s="42"/>
      <c r="Q73" s="42"/>
      <c r="R73" s="1"/>
      <c r="S73" s="1"/>
      <c r="T73" s="1"/>
      <c r="U73" s="1"/>
      <c r="V73" s="1"/>
      <c r="W73" s="1"/>
      <c r="X73" s="1"/>
    </row>
    <row r="74" spans="1:24">
      <c r="A74" s="41" t="s">
        <v>94</v>
      </c>
      <c r="B74" s="41" t="s">
        <v>206</v>
      </c>
      <c r="C74" s="41"/>
      <c r="D74" s="41"/>
      <c r="E74" s="1"/>
      <c r="F74" s="1"/>
      <c r="G74" s="1"/>
      <c r="H74" s="1"/>
      <c r="I74" s="1"/>
      <c r="J74" s="1"/>
      <c r="K74" s="42"/>
      <c r="L74" s="42"/>
      <c r="M74" s="42"/>
      <c r="N74" s="42"/>
      <c r="O74" s="42"/>
      <c r="P74" s="42"/>
      <c r="Q74" s="42"/>
      <c r="R74" s="1"/>
      <c r="S74" s="1"/>
      <c r="T74" s="1"/>
      <c r="U74" s="1"/>
      <c r="V74" s="1"/>
      <c r="W74" s="1"/>
      <c r="X74" s="1"/>
    </row>
    <row r="75" spans="1:24">
      <c r="A75" s="41" t="s">
        <v>94</v>
      </c>
      <c r="B75" s="41" t="s">
        <v>622</v>
      </c>
      <c r="C75" s="41"/>
      <c r="D75" s="41"/>
      <c r="E75" s="1"/>
      <c r="F75" s="1"/>
      <c r="G75" s="1"/>
      <c r="H75" s="1"/>
      <c r="I75" s="1"/>
      <c r="J75" s="1"/>
      <c r="K75" s="42"/>
      <c r="L75" s="42"/>
      <c r="M75" s="42"/>
      <c r="N75" s="42"/>
      <c r="O75" s="42"/>
      <c r="P75" s="42"/>
      <c r="Q75" s="42"/>
      <c r="R75" s="1"/>
      <c r="S75" s="1"/>
      <c r="T75" s="1"/>
      <c r="U75" s="1"/>
      <c r="V75" s="1"/>
      <c r="W75" s="1"/>
      <c r="X75" s="1"/>
    </row>
    <row r="76" spans="1:24">
      <c r="A76" s="41" t="s">
        <v>214</v>
      </c>
      <c r="B76" s="41" t="s">
        <v>192</v>
      </c>
      <c r="C76" s="41" t="s">
        <v>561</v>
      </c>
      <c r="D76" s="41"/>
      <c r="E76" s="1"/>
      <c r="F76" s="1"/>
      <c r="G76" s="1"/>
      <c r="H76" s="1"/>
      <c r="I76" s="1"/>
      <c r="J76" s="1"/>
      <c r="K76" s="42"/>
      <c r="L76" s="42"/>
      <c r="M76" s="42"/>
      <c r="N76" s="42"/>
      <c r="O76" s="42"/>
      <c r="P76" s="42"/>
      <c r="Q76" s="42"/>
      <c r="R76" s="1"/>
      <c r="S76" s="1"/>
      <c r="T76" s="1"/>
      <c r="U76" s="1"/>
      <c r="V76" s="1"/>
      <c r="W76" s="1"/>
      <c r="X76" s="1"/>
    </row>
    <row r="77" spans="1:24">
      <c r="A77" s="41" t="s">
        <v>214</v>
      </c>
      <c r="B77" s="41" t="s">
        <v>208</v>
      </c>
      <c r="C77" s="41" t="s">
        <v>562</v>
      </c>
      <c r="D77" s="41"/>
      <c r="E77" s="1"/>
      <c r="F77" s="1"/>
      <c r="G77" s="1"/>
      <c r="H77" s="1"/>
      <c r="I77" s="1"/>
      <c r="J77" s="1"/>
      <c r="K77" s="42"/>
      <c r="L77" s="42"/>
      <c r="M77" s="42"/>
      <c r="N77" s="42"/>
      <c r="O77" s="42"/>
      <c r="P77" s="42"/>
      <c r="Q77" s="42"/>
      <c r="R77" s="1"/>
      <c r="S77" s="1"/>
      <c r="T77" s="1"/>
      <c r="U77" s="1"/>
      <c r="V77" s="1"/>
      <c r="W77" s="1"/>
      <c r="X77" s="1"/>
    </row>
    <row r="78" spans="1:24">
      <c r="A78" s="1"/>
      <c r="B78" s="1"/>
      <c r="C78" s="1"/>
      <c r="D78" s="1"/>
      <c r="E78" s="1"/>
      <c r="F78" s="1"/>
      <c r="G78" s="1"/>
      <c r="H78" s="1"/>
      <c r="I78" s="1"/>
      <c r="J78" s="1"/>
      <c r="K78" s="42"/>
      <c r="L78" s="42"/>
      <c r="M78" s="42"/>
      <c r="N78" s="42"/>
      <c r="O78" s="42"/>
      <c r="P78" s="42"/>
      <c r="Q78" s="42"/>
      <c r="R78" s="1"/>
      <c r="S78" s="1"/>
      <c r="T78" s="1"/>
      <c r="U78" s="1"/>
      <c r="V78" s="1"/>
      <c r="W78" s="1"/>
      <c r="X78" s="1"/>
    </row>
    <row r="79" spans="1:24">
      <c r="A79" s="1"/>
      <c r="B79" s="1"/>
      <c r="C79" s="1"/>
      <c r="D79" s="1"/>
      <c r="E79" s="1"/>
      <c r="F79" s="1"/>
      <c r="G79" s="1"/>
      <c r="H79" s="1"/>
      <c r="I79" s="1"/>
      <c r="J79" s="1"/>
      <c r="K79" s="42"/>
      <c r="L79" s="42"/>
      <c r="M79" s="42"/>
      <c r="N79" s="42"/>
      <c r="O79" s="42"/>
      <c r="P79" s="42"/>
      <c r="Q79" s="42"/>
      <c r="R79" s="1"/>
      <c r="S79" s="1"/>
      <c r="T79" s="1"/>
      <c r="U79" s="1"/>
      <c r="V79" s="1"/>
      <c r="W79" s="1"/>
      <c r="X79" s="1"/>
    </row>
    <row r="80" spans="1:24">
      <c r="A80" s="1"/>
      <c r="B80" s="1"/>
      <c r="C80" s="1"/>
      <c r="D80" s="1"/>
      <c r="E80" s="1"/>
      <c r="F80" s="1"/>
      <c r="G80" s="1"/>
      <c r="H80" s="1"/>
      <c r="I80" s="1"/>
      <c r="J80" s="1"/>
      <c r="K80" s="42"/>
      <c r="L80" s="42"/>
      <c r="M80" s="42"/>
      <c r="N80" s="42"/>
      <c r="O80" s="42"/>
      <c r="P80" s="42"/>
      <c r="Q80" s="42"/>
      <c r="R80" s="1"/>
      <c r="S80" s="1"/>
      <c r="T80" s="1"/>
      <c r="U80" s="1"/>
      <c r="V80" s="1"/>
      <c r="W80" s="1"/>
      <c r="X80" s="1"/>
    </row>
    <row r="81" spans="1:24">
      <c r="A81" s="1"/>
      <c r="B81" s="1"/>
      <c r="C81" s="1"/>
      <c r="D81" s="1"/>
      <c r="E81" s="1"/>
      <c r="F81" s="1"/>
      <c r="G81" s="1"/>
      <c r="H81" s="1"/>
      <c r="I81" s="1"/>
      <c r="J81" s="1"/>
      <c r="K81" s="42"/>
      <c r="L81" s="42"/>
      <c r="M81" s="42"/>
      <c r="N81" s="42"/>
      <c r="O81" s="42"/>
      <c r="P81" s="42"/>
      <c r="Q81" s="42"/>
      <c r="R81" s="1"/>
      <c r="S81" s="1"/>
      <c r="T81" s="1"/>
      <c r="U81" s="1"/>
      <c r="V81" s="1"/>
      <c r="W81" s="1"/>
      <c r="X81" s="1"/>
    </row>
    <row r="82" spans="1:24">
      <c r="A82" s="1"/>
      <c r="B82" s="1"/>
      <c r="C82" s="1"/>
      <c r="D82" s="1"/>
      <c r="E82" s="1"/>
      <c r="F82" s="1"/>
      <c r="G82" s="1"/>
      <c r="H82" s="1"/>
      <c r="I82" s="1"/>
      <c r="J82" s="1"/>
      <c r="K82" s="42"/>
      <c r="L82" s="42"/>
      <c r="M82" s="42"/>
      <c r="N82" s="42"/>
      <c r="O82" s="42"/>
      <c r="P82" s="42"/>
      <c r="Q82" s="42"/>
      <c r="R82" s="1"/>
      <c r="S82" s="1"/>
      <c r="T82" s="1"/>
      <c r="U82" s="1"/>
      <c r="V82" s="1"/>
      <c r="W82" s="1"/>
      <c r="X82" s="1"/>
    </row>
    <row r="83" spans="1:24">
      <c r="A83" s="1"/>
      <c r="B83" s="1"/>
      <c r="C83" s="1"/>
      <c r="D83" s="1"/>
      <c r="E83" s="1"/>
      <c r="F83" s="1"/>
      <c r="G83" s="1"/>
      <c r="H83" s="1"/>
      <c r="I83" s="1"/>
      <c r="J83" s="1"/>
      <c r="K83" s="42"/>
      <c r="L83" s="42"/>
      <c r="M83" s="42"/>
      <c r="N83" s="42"/>
      <c r="O83" s="42"/>
      <c r="P83" s="42"/>
      <c r="Q83" s="42"/>
      <c r="R83" s="1"/>
      <c r="S83" s="1"/>
      <c r="T83" s="1"/>
      <c r="U83" s="1"/>
      <c r="V83" s="1"/>
      <c r="W83" s="1"/>
      <c r="X83" s="1"/>
    </row>
    <row r="84" spans="1:24">
      <c r="A84" s="1"/>
      <c r="B84" s="1"/>
      <c r="C84" s="1"/>
      <c r="D84" s="1"/>
      <c r="E84" s="1"/>
      <c r="F84" s="1"/>
      <c r="G84" s="1"/>
      <c r="H84" s="1"/>
      <c r="I84" s="1"/>
      <c r="J84" s="1"/>
      <c r="K84" s="42"/>
      <c r="L84" s="42"/>
      <c r="M84" s="42"/>
      <c r="N84" s="42"/>
      <c r="O84" s="42"/>
      <c r="P84" s="42"/>
      <c r="Q84" s="42"/>
      <c r="R84" s="1"/>
      <c r="S84" s="1"/>
      <c r="T84" s="1"/>
      <c r="U84" s="1"/>
      <c r="V84" s="1"/>
      <c r="W84" s="1"/>
      <c r="X84" s="1"/>
    </row>
    <row r="85" spans="1:24">
      <c r="A85" s="1"/>
      <c r="B85" s="1"/>
      <c r="C85" s="1"/>
      <c r="D85" s="1"/>
      <c r="E85" s="1"/>
      <c r="F85" s="1"/>
      <c r="G85" s="1"/>
      <c r="H85" s="1"/>
      <c r="I85" s="1"/>
      <c r="J85" s="1"/>
      <c r="K85" s="42"/>
      <c r="L85" s="42"/>
      <c r="M85" s="42"/>
      <c r="N85" s="42"/>
      <c r="O85" s="42"/>
      <c r="P85" s="42"/>
      <c r="Q85" s="42"/>
      <c r="R85" s="1"/>
      <c r="S85" s="1"/>
      <c r="T85" s="1"/>
      <c r="U85" s="1"/>
      <c r="V85" s="1"/>
      <c r="W85" s="1"/>
      <c r="X85" s="1"/>
    </row>
    <row r="86" spans="1:24">
      <c r="A86" s="1"/>
      <c r="B86" s="1"/>
      <c r="C86" s="1"/>
      <c r="D86" s="1"/>
      <c r="E86" s="1"/>
      <c r="F86" s="1"/>
      <c r="G86" s="1"/>
      <c r="H86" s="1"/>
      <c r="I86" s="1"/>
      <c r="J86" s="1"/>
      <c r="K86" s="42"/>
      <c r="L86" s="42"/>
      <c r="M86" s="42"/>
      <c r="N86" s="42"/>
      <c r="O86" s="42"/>
      <c r="P86" s="42"/>
      <c r="Q86" s="42"/>
      <c r="R86" s="1"/>
      <c r="S86" s="1"/>
      <c r="T86" s="1"/>
      <c r="U86" s="1"/>
      <c r="V86" s="1"/>
      <c r="W86" s="1"/>
      <c r="X86" s="1"/>
    </row>
    <row r="87" spans="1:24">
      <c r="A87" s="1"/>
      <c r="B87" s="1"/>
      <c r="C87" s="1"/>
      <c r="D87" s="1"/>
      <c r="E87" s="1"/>
      <c r="F87" s="1"/>
      <c r="G87" s="1"/>
      <c r="H87" s="1"/>
      <c r="I87" s="1"/>
      <c r="J87" s="1"/>
      <c r="K87" s="42"/>
      <c r="L87" s="42"/>
      <c r="M87" s="42"/>
      <c r="N87" s="42"/>
      <c r="O87" s="42"/>
      <c r="P87" s="42"/>
      <c r="Q87" s="42"/>
      <c r="R87" s="1"/>
      <c r="S87" s="1"/>
      <c r="T87" s="1"/>
      <c r="U87" s="1"/>
      <c r="V87" s="1"/>
      <c r="W87" s="1"/>
      <c r="X87" s="1"/>
    </row>
    <row r="88" spans="1:24">
      <c r="A88" s="1"/>
      <c r="B88" s="1"/>
      <c r="C88" s="1"/>
      <c r="D88" s="1"/>
      <c r="E88" s="1"/>
      <c r="F88" s="1"/>
      <c r="G88" s="1"/>
      <c r="H88" s="1"/>
      <c r="I88" s="1"/>
      <c r="J88" s="1"/>
      <c r="K88" s="42"/>
      <c r="L88" s="42"/>
      <c r="M88" s="42"/>
      <c r="N88" s="42"/>
      <c r="O88" s="42"/>
      <c r="P88" s="42"/>
      <c r="Q88" s="42"/>
      <c r="R88" s="1"/>
      <c r="S88" s="1"/>
      <c r="T88" s="1"/>
      <c r="U88" s="1"/>
      <c r="V88" s="1"/>
      <c r="W88" s="1"/>
      <c r="X88" s="1"/>
    </row>
    <row r="89" spans="1:24">
      <c r="A89" s="1"/>
      <c r="B89" s="1"/>
      <c r="C89" s="1"/>
      <c r="D89" s="1"/>
      <c r="E89" s="1"/>
      <c r="F89" s="1"/>
      <c r="G89" s="1"/>
      <c r="H89" s="1"/>
      <c r="I89" s="1"/>
      <c r="J89" s="1"/>
      <c r="K89" s="42"/>
      <c r="L89" s="42"/>
      <c r="M89" s="42"/>
      <c r="N89" s="42"/>
      <c r="O89" s="42"/>
      <c r="P89" s="42"/>
      <c r="Q89" s="42"/>
      <c r="R89" s="1"/>
      <c r="S89" s="1"/>
      <c r="T89" s="1"/>
      <c r="U89" s="1"/>
      <c r="V89" s="1"/>
      <c r="W89" s="1"/>
      <c r="X89" s="1"/>
    </row>
    <row r="90" spans="1:24">
      <c r="A90" s="1"/>
      <c r="B90" s="1"/>
      <c r="C90" s="1"/>
      <c r="D90" s="1"/>
      <c r="E90" s="1"/>
      <c r="F90" s="1"/>
      <c r="G90" s="1"/>
      <c r="H90" s="1"/>
      <c r="I90" s="1"/>
      <c r="J90" s="1"/>
      <c r="K90" s="42"/>
      <c r="L90" s="42"/>
      <c r="M90" s="42"/>
      <c r="N90" s="42"/>
      <c r="O90" s="42"/>
      <c r="P90" s="42"/>
      <c r="Q90" s="42"/>
      <c r="R90" s="1"/>
      <c r="S90" s="1"/>
      <c r="T90" s="1"/>
      <c r="U90" s="1"/>
      <c r="V90" s="1"/>
      <c r="W90" s="1"/>
      <c r="X90" s="1"/>
    </row>
    <row r="91" spans="1:24">
      <c r="A91" s="1"/>
      <c r="B91" s="1"/>
      <c r="C91" s="1"/>
      <c r="D91" s="1"/>
      <c r="E91" s="1"/>
      <c r="F91" s="1"/>
      <c r="G91" s="1"/>
      <c r="H91" s="1"/>
      <c r="I91" s="1"/>
      <c r="J91" s="1"/>
      <c r="K91" s="42"/>
      <c r="L91" s="42"/>
      <c r="M91" s="42"/>
      <c r="N91" s="42"/>
      <c r="O91" s="42"/>
      <c r="P91" s="42"/>
      <c r="Q91" s="42"/>
      <c r="R91" s="1"/>
      <c r="S91" s="1"/>
      <c r="T91" s="1"/>
      <c r="U91" s="1"/>
      <c r="V91" s="1"/>
      <c r="W91" s="1"/>
      <c r="X91" s="1"/>
    </row>
    <row r="92" spans="1:24">
      <c r="A92" s="1"/>
      <c r="B92" s="1"/>
      <c r="C92" s="1"/>
      <c r="D92" s="1"/>
      <c r="E92" s="1"/>
      <c r="F92" s="1"/>
      <c r="G92" s="1"/>
      <c r="H92" s="1"/>
      <c r="I92" s="1"/>
      <c r="J92" s="1"/>
      <c r="K92" s="42"/>
      <c r="L92" s="42"/>
      <c r="M92" s="42"/>
      <c r="N92" s="42"/>
      <c r="O92" s="42"/>
      <c r="P92" s="42"/>
      <c r="Q92" s="42"/>
      <c r="R92" s="1"/>
      <c r="S92" s="1"/>
      <c r="T92" s="1"/>
      <c r="U92" s="1"/>
      <c r="V92" s="1"/>
      <c r="W92" s="1"/>
      <c r="X92" s="1"/>
    </row>
    <row r="93" spans="1:24">
      <c r="A93" s="1"/>
      <c r="B93" s="1"/>
      <c r="C93" s="1"/>
      <c r="D93" s="1"/>
      <c r="E93" s="1"/>
      <c r="F93" s="1"/>
      <c r="G93" s="1"/>
      <c r="H93" s="1"/>
      <c r="I93" s="1"/>
      <c r="J93" s="1"/>
      <c r="K93" s="42"/>
      <c r="L93" s="42"/>
      <c r="M93" s="42"/>
      <c r="N93" s="42"/>
      <c r="O93" s="42"/>
      <c r="P93" s="42"/>
      <c r="Q93" s="42"/>
      <c r="R93" s="1"/>
      <c r="S93" s="1"/>
      <c r="T93" s="1"/>
      <c r="U93" s="1"/>
      <c r="V93" s="1"/>
      <c r="W93" s="1"/>
      <c r="X93" s="1"/>
    </row>
    <row r="94" spans="1:24">
      <c r="A94" s="1"/>
      <c r="B94" s="1"/>
      <c r="C94" s="1"/>
      <c r="D94" s="1"/>
      <c r="E94" s="1"/>
      <c r="F94" s="1"/>
      <c r="G94" s="1"/>
      <c r="H94" s="1"/>
      <c r="I94" s="1"/>
      <c r="J94" s="1"/>
      <c r="K94" s="42"/>
      <c r="L94" s="42"/>
      <c r="M94" s="42"/>
      <c r="N94" s="42"/>
      <c r="O94" s="42"/>
      <c r="P94" s="42"/>
      <c r="Q94" s="42"/>
      <c r="R94" s="1"/>
      <c r="S94" s="1"/>
      <c r="T94" s="1"/>
      <c r="U94" s="1"/>
      <c r="V94" s="1"/>
      <c r="W94" s="1"/>
      <c r="X94" s="1"/>
    </row>
    <row r="95" spans="1:24">
      <c r="A95" s="1"/>
      <c r="B95" s="1"/>
      <c r="C95" s="1"/>
      <c r="D95" s="1"/>
      <c r="E95" s="1"/>
      <c r="F95" s="1"/>
      <c r="G95" s="1"/>
      <c r="H95" s="1"/>
      <c r="I95" s="1"/>
      <c r="J95" s="1"/>
      <c r="K95" s="42"/>
      <c r="L95" s="42"/>
      <c r="M95" s="42"/>
      <c r="N95" s="42"/>
      <c r="O95" s="42"/>
      <c r="P95" s="42"/>
      <c r="Q95" s="42"/>
      <c r="R95" s="1"/>
      <c r="S95" s="1"/>
      <c r="T95" s="1"/>
      <c r="U95" s="1"/>
      <c r="V95" s="1"/>
      <c r="W95" s="1"/>
      <c r="X95" s="1"/>
    </row>
    <row r="96" spans="1:24">
      <c r="A96" s="1"/>
      <c r="B96" s="1"/>
      <c r="C96" s="1"/>
      <c r="D96" s="1"/>
      <c r="E96" s="1"/>
      <c r="F96" s="1"/>
      <c r="G96" s="1"/>
      <c r="H96" s="1"/>
      <c r="I96" s="1"/>
      <c r="J96" s="1"/>
      <c r="K96" s="42"/>
      <c r="L96" s="42"/>
      <c r="M96" s="42"/>
      <c r="N96" s="42"/>
      <c r="O96" s="42"/>
      <c r="P96" s="42"/>
      <c r="Q96" s="42"/>
      <c r="R96" s="1"/>
      <c r="S96" s="1"/>
      <c r="T96" s="1"/>
      <c r="U96" s="1"/>
      <c r="V96" s="1"/>
      <c r="W96" s="1"/>
      <c r="X96" s="1"/>
    </row>
    <row r="97" spans="1:24">
      <c r="A97" s="1"/>
      <c r="B97" s="1"/>
      <c r="C97" s="1"/>
      <c r="D97" s="1"/>
      <c r="E97" s="1"/>
      <c r="F97" s="1"/>
      <c r="G97" s="1"/>
      <c r="H97" s="1"/>
      <c r="I97" s="1"/>
      <c r="J97" s="1"/>
      <c r="K97" s="42"/>
      <c r="L97" s="42"/>
      <c r="M97" s="42"/>
      <c r="N97" s="42"/>
      <c r="O97" s="42"/>
      <c r="P97" s="42"/>
      <c r="Q97" s="42"/>
      <c r="R97" s="1"/>
      <c r="S97" s="1"/>
      <c r="T97" s="1"/>
      <c r="U97" s="1"/>
      <c r="V97" s="1"/>
      <c r="W97" s="1"/>
      <c r="X97" s="1"/>
    </row>
    <row r="98" spans="1:24">
      <c r="A98" s="1"/>
      <c r="B98" s="1"/>
      <c r="C98" s="1"/>
      <c r="D98" s="1"/>
      <c r="E98" s="1"/>
      <c r="F98" s="1"/>
      <c r="G98" s="1"/>
      <c r="H98" s="1"/>
      <c r="I98" s="1"/>
      <c r="J98" s="1"/>
      <c r="K98" s="42"/>
      <c r="L98" s="42"/>
      <c r="M98" s="42"/>
      <c r="N98" s="42"/>
      <c r="O98" s="42"/>
      <c r="P98" s="42"/>
      <c r="Q98" s="42"/>
      <c r="R98" s="1"/>
      <c r="S98" s="1"/>
      <c r="T98" s="1"/>
      <c r="U98" s="1"/>
      <c r="V98" s="1"/>
      <c r="W98" s="1"/>
      <c r="X98" s="1"/>
    </row>
    <row r="99" spans="1:24">
      <c r="A99" s="1"/>
      <c r="B99" s="1"/>
      <c r="C99" s="1"/>
      <c r="D99" s="1"/>
      <c r="E99" s="1"/>
      <c r="F99" s="1"/>
      <c r="G99" s="1"/>
      <c r="H99" s="1"/>
      <c r="I99" s="1"/>
      <c r="J99" s="1"/>
      <c r="K99" s="42"/>
      <c r="L99" s="42"/>
      <c r="M99" s="42"/>
      <c r="N99" s="42"/>
      <c r="O99" s="42"/>
      <c r="P99" s="42"/>
      <c r="Q99" s="42"/>
      <c r="R99" s="1"/>
      <c r="S99" s="1"/>
      <c r="T99" s="1"/>
      <c r="U99" s="1"/>
      <c r="V99" s="1"/>
      <c r="W99" s="1"/>
      <c r="X99" s="1"/>
    </row>
    <row r="100" spans="1: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42"/>
      <c r="L100" s="42"/>
      <c r="M100" s="42"/>
      <c r="N100" s="42"/>
      <c r="O100" s="42"/>
      <c r="P100" s="42"/>
      <c r="Q100" s="42"/>
      <c r="R100" s="1"/>
      <c r="S100" s="1"/>
      <c r="T100" s="1"/>
      <c r="U100" s="1"/>
      <c r="V100" s="1"/>
      <c r="W100" s="1"/>
      <c r="X100" s="1"/>
    </row>
    <row r="101" spans="1: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</sheetData>
  <mergeCells count="2">
    <mergeCell ref="A1:X1"/>
    <mergeCell ref="A2:X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showGridLines="0" tabSelected="1" workbookViewId="0">
      <selection activeCell="C16" sqref="C16"/>
    </sheetView>
  </sheetViews>
  <sheetFormatPr defaultRowHeight="14.25"/>
  <cols>
    <col min="1" max="1" width="18" customWidth="1"/>
    <col min="2" max="3" width="48" customWidth="1"/>
    <col min="4" max="4" width="62" customWidth="1"/>
  </cols>
  <sheetData>
    <row r="1" spans="1:10" ht="33.950000000000003" customHeight="1">
      <c r="A1" s="43" t="s">
        <v>623</v>
      </c>
      <c r="B1" s="43" t="s">
        <v>623</v>
      </c>
      <c r="C1" s="43" t="s">
        <v>623</v>
      </c>
      <c r="D1" s="43" t="s">
        <v>623</v>
      </c>
      <c r="E1" s="43" t="s">
        <v>623</v>
      </c>
      <c r="F1" s="43" t="s">
        <v>623</v>
      </c>
      <c r="G1" s="43" t="s">
        <v>623</v>
      </c>
      <c r="H1" s="43" t="s">
        <v>623</v>
      </c>
      <c r="I1" s="43" t="s">
        <v>623</v>
      </c>
      <c r="J1" s="43" t="s">
        <v>623</v>
      </c>
    </row>
    <row r="2" spans="1:10" ht="27.95" customHeight="1">
      <c r="A2" s="44" t="s">
        <v>624</v>
      </c>
      <c r="B2" s="44" t="s">
        <v>624</v>
      </c>
      <c r="C2" s="44" t="s">
        <v>624</v>
      </c>
      <c r="D2" s="44" t="s">
        <v>624</v>
      </c>
      <c r="E2" s="44" t="s">
        <v>624</v>
      </c>
      <c r="F2" s="44" t="s">
        <v>624</v>
      </c>
      <c r="G2" s="44" t="s">
        <v>624</v>
      </c>
      <c r="H2" s="44" t="s">
        <v>624</v>
      </c>
      <c r="I2" s="44" t="s">
        <v>624</v>
      </c>
      <c r="J2" s="44" t="s">
        <v>624</v>
      </c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625</v>
      </c>
      <c r="B4" s="2" t="s">
        <v>626</v>
      </c>
      <c r="C4" s="2" t="s">
        <v>627</v>
      </c>
      <c r="D4" s="2" t="s">
        <v>628</v>
      </c>
      <c r="E4" s="1"/>
      <c r="F4" s="1"/>
      <c r="G4" s="1"/>
      <c r="H4" s="1"/>
      <c r="I4" s="1"/>
      <c r="J4" s="1"/>
    </row>
    <row r="5" spans="1:10">
      <c r="A5" s="3" t="s">
        <v>629</v>
      </c>
      <c r="B5" s="3" t="s">
        <v>630</v>
      </c>
      <c r="C5" s="3" t="s">
        <v>631</v>
      </c>
      <c r="D5" s="3" t="s">
        <v>632</v>
      </c>
      <c r="E5" s="1"/>
      <c r="F5" s="1"/>
      <c r="G5" s="1"/>
      <c r="H5" s="1"/>
      <c r="I5" s="1"/>
      <c r="J5" s="1"/>
    </row>
    <row r="6" spans="1:10" ht="28.5">
      <c r="A6" s="3" t="s">
        <v>562</v>
      </c>
      <c r="B6" s="3" t="s">
        <v>633</v>
      </c>
      <c r="C6" s="3" t="s">
        <v>210</v>
      </c>
      <c r="D6" s="3" t="s">
        <v>634</v>
      </c>
      <c r="E6" s="1"/>
      <c r="F6" s="1"/>
      <c r="G6" s="1"/>
      <c r="H6" s="1"/>
      <c r="I6" s="1"/>
      <c r="J6" s="1"/>
    </row>
    <row r="7" spans="1:10">
      <c r="A7" s="3" t="s">
        <v>635</v>
      </c>
      <c r="B7" s="3" t="s">
        <v>65</v>
      </c>
      <c r="C7" s="3" t="s">
        <v>636</v>
      </c>
      <c r="D7" s="3" t="s">
        <v>637</v>
      </c>
      <c r="E7" s="1"/>
      <c r="F7" s="1"/>
      <c r="G7" s="1"/>
      <c r="H7" s="1"/>
      <c r="I7" s="1"/>
      <c r="J7" s="1"/>
    </row>
    <row r="8" spans="1:10">
      <c r="A8" s="3" t="s">
        <v>638</v>
      </c>
      <c r="B8" s="3" t="s">
        <v>639</v>
      </c>
      <c r="C8" s="3" t="s">
        <v>640</v>
      </c>
      <c r="D8" s="3" t="s">
        <v>641</v>
      </c>
      <c r="E8" s="1"/>
      <c r="F8" s="1"/>
      <c r="G8" s="1"/>
      <c r="H8" s="1"/>
      <c r="I8" s="1"/>
      <c r="J8" s="1"/>
    </row>
    <row r="9" spans="1:10">
      <c r="A9" s="3" t="s">
        <v>642</v>
      </c>
      <c r="B9" s="3" t="s">
        <v>643</v>
      </c>
      <c r="C9" s="3" t="s">
        <v>644</v>
      </c>
      <c r="D9" s="3" t="s">
        <v>645</v>
      </c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تعليمات</vt:lpstr>
      <vt:lpstr>الزبائن</vt:lpstr>
      <vt:lpstr>أرقام التواصل</vt:lpstr>
      <vt:lpstr>الوسطاء</vt:lpstr>
      <vt:lpstr>أسماء مقترحة</vt:lpstr>
      <vt:lpstr>قاموس الأعمدة</vt:lpstr>
      <vt:lpstr>قوائم مرجعية</vt:lpstr>
      <vt:lpstr>عينات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Obaid World</cp:lastModifiedBy>
  <dcterms:modified xsi:type="dcterms:W3CDTF">2026-07-05T11:55:25Z</dcterms:modified>
</cp:coreProperties>
</file>